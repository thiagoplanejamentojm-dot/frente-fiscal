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ainel" sheetId="2" state="visible" r:id="rId2"/>
    <sheet name="Membros_Acesso" sheetId="3" state="visible" r:id="rId3"/>
    <sheet name="Custodia" sheetId="4" state="visible" r:id="rId4"/>
    <sheet name="Log_Testes" sheetId="5" state="visible" r:id="rId5"/>
    <sheet name="Divergencias" sheetId="6" state="visible" r:id="rId6"/>
    <sheet name="Red_Team" sheetId="7" state="visible" r:id="rId7"/>
    <sheet name="Atas_Comite" sheetId="8" state="visible" r:id="rId8"/>
    <sheet name="Contraditorio" sheetId="9" state="visible" r:id="rId9"/>
    <sheet name="Completude" sheetId="10" state="visible" r:id="rId10"/>
    <sheet name="Completude_Conjuntos" sheetId="11" state="visible" r:id="rId11"/>
    <sheet name="Fontes" sheetId="12" state="visible" r:id="rId12"/>
    <sheet name="Parametros" sheetId="13" state="visible" r:id="rId13"/>
    <sheet name="Listas" sheetId="14" state="visible" r:id="rId14"/>
  </sheets>
  <definedNames>
    <definedName name="_xlnm._FilterDatabase" localSheetId="2" hidden="1">'Membros_Acesso'!$A$1:$J$301</definedName>
    <definedName name="_xlnm._FilterDatabase" localSheetId="3" hidden="1">'Custodia'!$A$1:$V$301</definedName>
    <definedName name="_xlnm._FilterDatabase" localSheetId="4" hidden="1">'Log_Testes'!$A$1:$O$301</definedName>
    <definedName name="_xlnm._FilterDatabase" localSheetId="5" hidden="1">'Divergencias'!$A$1:$Q$301</definedName>
    <definedName name="_xlnm._FilterDatabase" localSheetId="6" hidden="1">'Red_Team'!$A$1:$J$301</definedName>
    <definedName name="_xlnm._FilterDatabase" localSheetId="7" hidden="1">'Atas_Comite'!$A$1:$Q$301</definedName>
    <definedName name="_xlnm._FilterDatabase" localSheetId="8" hidden="1">'Contraditorio'!$A$1:$N$301</definedName>
    <definedName name="_xlnm._FilterDatabase" localSheetId="9" hidden="1">'Completude'!$A$1:$M$301</definedName>
    <definedName name="_xlnm._FilterDatabase" localSheetId="10" hidden="1">'Completude_Conjuntos'!$A$1:$K$301</definedName>
    <definedName name="_xlnm._FilterDatabase" localSheetId="11" hidden="1">'Fontes'!$A$1:$O$301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/yyyy"/>
    <numFmt numFmtId="166" formatCode="dd/mm/yyyy hh:mm"/>
    <numFmt numFmtId="167" formatCode="yyyy-mm-dd"/>
    <numFmt numFmtId="168" formatCode="#,##0.00;(#,##0.00);&quot;-&quot;"/>
    <numFmt numFmtId="169" formatCode="0.0%;(0.0%);&quot;-&quot;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000FF"/>
      <sz val="10"/>
    </font>
    <font>
      <name val="Arial"/>
      <color rgb="00000000"/>
      <sz val="10"/>
    </font>
    <font>
      <name val="Arial"/>
      <b val="1"/>
      <color rgb="001F3A5F"/>
      <sz val="11"/>
    </font>
    <font>
      <name val="Arial"/>
      <b val="1"/>
      <color rgb="001F3A5F"/>
      <sz val="14"/>
    </font>
    <font>
      <name val="Arial"/>
      <i val="1"/>
      <color rgb="00555555"/>
      <sz val="9"/>
    </font>
    <font>
      <name val="Arial"/>
      <b val="1"/>
      <color rgb="001F3A5F"/>
      <sz val="16"/>
    </font>
    <font>
      <name val="Arial"/>
      <b val="1"/>
      <sz val="10"/>
    </font>
    <font>
      <name val="Arial"/>
      <b val="1"/>
      <color rgb="001F3A5F"/>
      <sz val="12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DC"/>
      </patternFill>
    </fill>
    <fill>
      <patternFill patternType="solid">
        <fgColor rgb="00EEF2F6"/>
      </patternFill>
    </fill>
  </fills>
  <borders count="2">
    <border>
      <left/>
      <right/>
      <top/>
      <bottom/>
      <diagonal/>
    </border>
    <border>
      <left style="thin">
        <color rgb="00C8CED6"/>
      </left>
      <right style="thin">
        <color rgb="00C8CED6"/>
      </right>
      <top style="thin">
        <color rgb="00C8CED6"/>
      </top>
      <bottom style="thin">
        <color rgb="00C8CED6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2" fillId="0" borderId="0" applyAlignment="1" pivotButton="0" quotePrefix="0" xfId="0">
      <alignment vertical="top" wrapText="1"/>
    </xf>
    <xf numFmtId="0" fontId="10" fillId="0" borderId="0" pivotButton="0" quotePrefix="0" xfId="0"/>
    <xf numFmtId="0" fontId="9" fillId="3" borderId="0" pivotButton="0" quotePrefix="0" xfId="0"/>
    <xf numFmtId="0" fontId="9" fillId="4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vertical="center" wrapText="1"/>
    </xf>
    <xf numFmtId="0" fontId="3" fillId="3" borderId="1" pivotButton="0" quotePrefix="0" xfId="0"/>
    <xf numFmtId="0" fontId="2" fillId="4" borderId="1" pivotButton="0" quotePrefix="0" xfId="0"/>
    <xf numFmtId="0" fontId="2" fillId="3" borderId="1" pivotButton="0" quotePrefix="0" xfId="0"/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5" fontId="3" fillId="3" borderId="1" applyAlignment="1" pivotButton="0" quotePrefix="0" xfId="0">
      <alignment vertical="top" wrapText="1"/>
    </xf>
    <xf numFmtId="165" fontId="2" fillId="3" borderId="1" applyAlignment="1" pivotButton="0" quotePrefix="0" xfId="0">
      <alignment vertical="top" wrapText="1"/>
    </xf>
    <xf numFmtId="166" fontId="3" fillId="3" borderId="1" applyAlignment="1" pivotButton="0" quotePrefix="0" xfId="0">
      <alignment vertical="top" wrapText="1"/>
    </xf>
    <xf numFmtId="166" fontId="2" fillId="3" borderId="1" applyAlignment="1" pivotButton="0" quotePrefix="0" xfId="0">
      <alignment vertical="top" wrapText="1"/>
    </xf>
    <xf numFmtId="168" fontId="3" fillId="3" borderId="1" applyAlignment="1" pivotButton="0" quotePrefix="0" xfId="0">
      <alignment vertical="top" wrapText="1"/>
    </xf>
    <xf numFmtId="168" fontId="4" fillId="4" borderId="1" applyAlignment="1" pivotButton="0" quotePrefix="0" xfId="0">
      <alignment vertical="top" wrapText="1"/>
    </xf>
    <xf numFmtId="169" fontId="4" fillId="4" borderId="1" applyAlignment="1" pivotButton="0" quotePrefix="0" xfId="0">
      <alignment vertical="top" wrapText="1"/>
    </xf>
    <xf numFmtId="168" fontId="2" fillId="3" borderId="1" applyAlignment="1" pivotButton="0" quotePrefix="0" xfId="0">
      <alignment vertical="top" wrapText="1"/>
    </xf>
    <xf numFmtId="166" fontId="4" fillId="4" borderId="1" applyAlignment="1" pivotButton="0" quotePrefix="0" xfId="0">
      <alignment vertical="top" wrapText="1"/>
    </xf>
    <xf numFmtId="0" fontId="5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 wrapText="1"/>
    </xf>
    <xf numFmtId="4" fontId="2" fillId="3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6F0DA"/>
        </patternFill>
      </fill>
    </dxf>
    <dxf>
      <fill>
        <patternFill patternType="solid">
          <fgColor rgb="00F8D7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Controle de Verificação – Documentos Fiscais e Bancários (protocolo v2.0)</t>
        </is>
      </c>
    </row>
    <row r="2">
      <c r="A2" s="2" t="inlineStr"/>
      <c r="B2" s="3" t="n"/>
    </row>
    <row r="3">
      <c r="A3" s="4" t="inlineStr">
        <is>
          <t>Legenda de cores</t>
        </is>
      </c>
    </row>
    <row r="4">
      <c r="A4" s="5" t="inlineStr">
        <is>
          <t>Fundo amarelo</t>
        </is>
      </c>
      <c r="B4" s="3" t="inlineStr">
        <is>
          <t>Célula de preenchimento manual.</t>
        </is>
      </c>
    </row>
    <row r="5">
      <c r="A5" s="6" t="inlineStr">
        <is>
          <t>Fundo cinza-azulado</t>
        </is>
      </c>
      <c r="B5" s="3" t="inlineStr">
        <is>
          <t>Fórmula: não editar. Calcula status e gates automaticamente.</t>
        </is>
      </c>
    </row>
    <row r="6">
      <c r="A6" s="7" t="inlineStr">
        <is>
          <t>Texto azul em itálico</t>
        </is>
      </c>
      <c r="B6" s="3" t="inlineStr">
        <is>
          <t>Linha de EXEMPLO. Substitua ou apague antes de usar.</t>
        </is>
      </c>
    </row>
    <row r="7">
      <c r="A7" s="2" t="inlineStr">
        <is>
          <t>Fundo vermelho / verde</t>
        </is>
      </c>
      <c r="B7" s="3" t="inlineStr">
        <is>
          <t>Alerta (hash não confere, revisor = executor, divergência, objeção aberta) / ok.</t>
        </is>
      </c>
    </row>
    <row r="8">
      <c r="A8" s="2" t="inlineStr"/>
      <c r="B8" s="3" t="n"/>
    </row>
    <row r="9">
      <c r="A9" s="4" t="inlineStr">
        <is>
          <t>Abas</t>
        </is>
      </c>
    </row>
    <row r="10">
      <c r="A10" s="2" t="inlineStr">
        <is>
          <t>Painel</t>
        </is>
      </c>
      <c r="B10" s="3" t="inlineStr">
        <is>
          <t>Status de cada item: custódia, testes, revisão cega, divergências, Red Team, veredito, contraditório e se está pronto para revisão jurídica.</t>
        </is>
      </c>
    </row>
    <row r="11">
      <c r="A11" s="2" t="inlineStr">
        <is>
          <t>Membros_Acesso</t>
        </is>
      </c>
      <c r="B11" s="3" t="inlineStr">
        <is>
          <t>Quem tem acesso, em qual célula, conflito de interesse declarado. Use codinomes, nunca nomes reais.</t>
        </is>
      </c>
    </row>
    <row r="12">
      <c r="A12" s="2" t="inlineStr">
        <is>
          <t>Custodia</t>
        </is>
      </c>
      <c r="B12" s="3" t="inlineStr">
        <is>
          <t>Uma linha por arquivo e por versão (F1–F2), com a classe de origem A/B/C (protocolo, seção 4). O Gate F2 só fica 'Sim' com classe, origem (URL e arquivamento, ou referência nos autos quando o canal é 'Processo judicial'), captura, hashes conferidos e dois locais de guarda.</t>
        </is>
      </c>
    </row>
    <row r="13">
      <c r="A13" s="2" t="inlineStr">
        <is>
          <t>Log_Testes</t>
        </is>
      </c>
      <c r="B13" s="3" t="inlineStr">
        <is>
          <t>Cada teste da perícia (F4) e do conteúdo (F5). O revisor cego preenche a coluna M sem ver a coluna H.</t>
        </is>
      </c>
    </row>
    <row r="14">
      <c r="A14" s="2" t="inlineStr">
        <is>
          <t>Divergencias</t>
        </is>
      </c>
      <c r="B14" s="3" t="inlineStr">
        <is>
          <t>Matriz de divergências (F5.2). Diferenças de critério (ex.: custo no IR × valor declarado no TSE) e diferenças dentro da tolerância (aba Parametros) não entram na matriz.</t>
        </is>
      </c>
    </row>
    <row r="15">
      <c r="A15" s="2" t="inlineStr">
        <is>
          <t>Parametros</t>
        </is>
      </c>
      <c r="B15" s="3" t="inlineStr">
        <is>
          <t>Valores definidos no protocolo congelado, como a tolerância de arredondamento. Mudar um valor aqui é desvio de protocolo: registre em ata.</t>
        </is>
      </c>
    </row>
    <row r="16">
      <c r="A16" s="2" t="inlineStr">
        <is>
          <t>Red_Team</t>
        </is>
      </c>
      <c r="B16" s="3" t="inlineStr">
        <is>
          <t>Objeções e explicações inocentes. Nenhum veredito é válido com objeção 'Aberta' para o item.</t>
        </is>
      </c>
    </row>
    <row r="17">
      <c r="A17" s="2" t="inlineStr">
        <is>
          <t>Atas_Comite</t>
        </is>
      </c>
      <c r="B17" s="3" t="inlineStr">
        <is>
          <t>Votos do Comitê sobre cada arquivo. 'Indícios técnicos de alteração' exige 3 votos; os demais, maioria. 'Origem institucional' só vale para item classe A; item classe C só aceita 'Alegação da defesa (classe C)'.</t>
        </is>
      </c>
    </row>
    <row r="18">
      <c r="A18" s="2" t="inlineStr">
        <is>
          <t>Completude</t>
        </is>
      </c>
      <c r="B18" s="3" t="inlineStr">
        <is>
          <t>Testes C1–C6 do módulo F5 (P4). Cole o lacunas_candidatas.csv (ou o completude.csv inteiro) a partir de A2: as colunas A–E batem com o CSV. Depois preencha F (ID do conjunto) e G–K. Revisor cego ≠ analista.</t>
        </is>
      </c>
    </row>
    <row r="19">
      <c r="A19" s="2" t="inlineStr">
        <is>
          <t>Fontes</t>
        </is>
      </c>
      <c r="B19" s="3" t="inlineStr">
        <is>
          <t>Log de cada consulta a fonte pública (guia de fontes, seção 4.4). 'Registro completo?' exige data, coletor, fonte, URL, arquivo local, SHA-256 com 64 caracteres, link arquivado (ou 'não aplicável') e uma ata existente em Atas_Comite. Use o ID F-xxx na coluna 'Fonte primária' da aba Divergencias.</t>
        </is>
      </c>
    </row>
    <row r="20">
      <c r="A20" s="2" t="inlineStr">
        <is>
          <t>Completude_Conjuntos</t>
        </is>
      </c>
      <c r="B20" s="3" t="inlineStr">
        <is>
          <t>Resultado de completude por conjunto (bancário/fiscal), escala da seção 9.3. 'Lacunas não explicadas' exige 3 votos; os demais, maioria. Resultado do Comitê diferente do automático só vale com justificativa em ata.</t>
        </is>
      </c>
    </row>
    <row r="21">
      <c r="A21" s="2" t="inlineStr">
        <is>
          <t>Contraditorio</t>
        </is>
      </c>
      <c r="B21" s="3" t="inlineStr">
        <is>
          <t>Envio aos citados, prazo e resposta. Uma linha por item (repita o envio para cada ID). Status muda sozinho quando o prazo vence.</t>
        </is>
      </c>
    </row>
    <row r="22">
      <c r="A22" s="2" t="inlineStr">
        <is>
          <t>Listas</t>
        </is>
      </c>
      <c r="B22" s="3" t="inlineStr">
        <is>
          <t>Valores das listas suspensas. Pode ampliar, mas não renomear o cabeçalho.</t>
        </is>
      </c>
    </row>
    <row r="23">
      <c r="A23" s="2" t="inlineStr"/>
      <c r="B23" s="3" t="n"/>
    </row>
    <row r="24">
      <c r="A24" s="4" t="inlineStr">
        <is>
          <t>Regras embutidas</t>
        </is>
      </c>
    </row>
    <row r="25">
      <c r="A25" s="2" t="inlineStr">
        <is>
          <t>Separação de funções</t>
        </is>
      </c>
      <c r="B25" s="3" t="inlineStr">
        <is>
          <t>Revisor ≠ executor (Log_Testes) e revisor ≠ analista (Divergencias) são checados automaticamente.</t>
        </is>
      </c>
    </row>
    <row r="26">
      <c r="A26" s="2" t="inlineStr">
        <is>
          <t>Pronto para publicar</t>
        </is>
      </c>
      <c r="B26" s="3" t="inlineStr">
        <is>
          <t>Custódia ok + ao menos 1 teste F4 (dispensado para classe C) + nenhuma revisão pendente ou divergente + nenhuma objeção aberta + veredito válido + contraditório respondido ou com prazo vencido.</t>
        </is>
      </c>
    </row>
    <row r="27">
      <c r="A27" s="2" t="inlineStr">
        <is>
          <t>Versões</t>
        </is>
      </c>
      <c r="B27" s="3" t="inlineStr">
        <is>
          <t>Nova versão de um arquivo = nova linha em Custodia com o mesmo ID e Versão+1. Nunca sobrescreva. O Painel usa a primeira linha do ID.</t>
        </is>
      </c>
    </row>
    <row r="28">
      <c r="A28" s="2" t="inlineStr"/>
      <c r="B28" s="3" t="n"/>
    </row>
    <row r="29">
      <c r="A29" s="4" t="inlineStr">
        <is>
          <t>Segurança</t>
        </is>
      </c>
    </row>
    <row r="30">
      <c r="A30" s="2" t="inlineStr">
        <is>
          <t>Onde guardar</t>
        </is>
      </c>
      <c r="B30" s="3" t="inlineStr">
        <is>
          <t>Esta planilha contém dados sensíveis do processo. Mantenha em armazenamento criptografado com acesso restrito; não compartilhe por link aberto.</t>
        </is>
      </c>
    </row>
    <row r="31">
      <c r="A31" s="2" t="inlineStr">
        <is>
          <t>Dados pessoais</t>
        </is>
      </c>
      <c r="B31" s="3" t="inlineStr">
        <is>
          <t>Não registre CPFs de terceiros, endereços ou dados de dependentes aqui. Referencie o arquivo e a página.</t>
        </is>
      </c>
    </row>
    <row r="32">
      <c r="A32" s="2" t="inlineStr">
        <is>
          <t>Comandos de hash</t>
        </is>
      </c>
      <c r="B32" s="3" t="inlineStr">
        <is>
          <t>macOS/Linux: shasum -a 256 ARQUIVO   |   shasum -a 512 ARQUIVO   ·   Windows: certutil -hashfile ARQUIVO SHA256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9" customWidth="1" min="4" max="4"/>
    <col width="9" customWidth="1" min="5" max="5"/>
    <col width="11" customWidth="1" min="6" max="6"/>
    <col width="11" customWidth="1" min="7" max="7"/>
    <col width="11" customWidth="1" min="8" max="8"/>
    <col width="9" customWidth="1" min="9" max="9"/>
    <col width="10" customWidth="1" min="10" max="10"/>
    <col width="34" customWidth="1" min="11" max="11"/>
    <col width="20" customWidth="1" min="12" max="12"/>
    <col width="24" customWidth="1" min="13" max="13"/>
    <col width="22" customWidth="1" min="14" max="14"/>
    <col width="20" customWidth="1" min="15" max="15"/>
  </cols>
  <sheetData>
    <row r="1">
      <c r="A1" s="8" t="inlineStr">
        <is>
          <t>Painel de controle – status por item (versão 1 de cada documento)</t>
        </is>
      </c>
    </row>
    <row r="2">
      <c r="A2" s="9" t="inlineStr">
        <is>
          <t>Digite o ID do item na coluna A (amarela); o restante é calculado a partir das outras abas.</t>
        </is>
      </c>
    </row>
    <row r="3" ht="40" customHeight="1">
      <c r="A3" s="10" t="inlineStr">
        <is>
          <t>ID item</t>
        </is>
      </c>
      <c r="B3" s="10" t="inlineStr">
        <is>
          <t>Tipo</t>
        </is>
      </c>
      <c r="C3" s="10" t="inlineStr">
        <is>
          <t>F2 custódia ok?</t>
        </is>
      </c>
      <c r="D3" s="10" t="inlineStr">
        <is>
          <t>Testes F4</t>
        </is>
      </c>
      <c r="E3" s="10" t="inlineStr">
        <is>
          <t>Testes F5</t>
        </is>
      </c>
      <c r="F3" s="10" t="inlineStr">
        <is>
          <t>Testes sem revisão cega</t>
        </is>
      </c>
      <c r="G3" s="10" t="inlineStr">
        <is>
          <t>Divergências na revisão</t>
        </is>
      </c>
      <c r="H3" s="10" t="inlineStr">
        <is>
          <t>Divergências na matriz</t>
        </is>
      </c>
      <c r="I3" s="10" t="inlineStr">
        <is>
          <t>Gravidade alta</t>
        </is>
      </c>
      <c r="J3" s="10" t="inlineStr">
        <is>
          <t>Objeções abertas</t>
        </is>
      </c>
      <c r="K3" s="10" t="inlineStr">
        <is>
          <t>Último veredito</t>
        </is>
      </c>
      <c r="L3" s="10" t="inlineStr">
        <is>
          <t>Veredito válido?</t>
        </is>
      </c>
      <c r="M3" s="10" t="inlineStr">
        <is>
          <t>Contraditório</t>
        </is>
      </c>
      <c r="N3" s="10" t="inlineStr">
        <is>
          <t>Pronto para publicar?</t>
        </is>
      </c>
      <c r="O3" s="10" t="inlineStr">
        <is>
          <t>Classe de origem</t>
        </is>
      </c>
    </row>
    <row r="4">
      <c r="A4" s="11" t="inlineStr">
        <is>
          <t>DOC-001</t>
        </is>
      </c>
      <c r="B4" s="12">
        <f>IF(A4="","",IFERROR(INDEX(Custodia!$C$2:$C$301,MATCH(A4,Custodia!$A$2:$A$301,0)),"não custodiado"))</f>
        <v/>
      </c>
      <c r="C4" s="12">
        <f>IF(A4="","",IFERROR(INDEX(Custodia!$S$2:$S$301,MATCH(A4,Custodia!$A$2:$A$301,0)),"NÃO"))</f>
        <v/>
      </c>
      <c r="D4" s="12">
        <f>IF(A4="","",COUNTIFS(Log_Testes!$B$2:$B$301,A4,Log_Testes!$C$2:$C$301,"F4*"))</f>
        <v/>
      </c>
      <c r="E4" s="12">
        <f>IF(A4="","",COUNTIFS(Log_Testes!$B$2:$B$301,A4,Log_Testes!$C$2:$C$301,"F5*"))</f>
        <v/>
      </c>
      <c r="F4" s="12">
        <f>IF(A4="","",COUNTIFS(Log_Testes!$B$2:$B$301,A4,Log_Testes!$A$2:$A$301,"&lt;&gt;",Log_Testes!$M$2:$M$301,""))</f>
        <v/>
      </c>
      <c r="G4" s="12">
        <f>IF(A4="","",COUNTIFS(Log_Testes!$B$2:$B$301,A4,Log_Testes!$N$2:$N$301,"DIVERGE*"))</f>
        <v/>
      </c>
      <c r="H4" s="12">
        <f>IF(A4="","",COUNTIFS(Divergencias!$B$2:$B$301,A4,Divergencias!$Q$2:$Q$301,"Sim"))</f>
        <v/>
      </c>
      <c r="I4" s="12">
        <f>IF(A4="","",COUNTIFS(Divergencias!$B$2:$B$301,A4,Divergencias!$Q$2:$Q$301,"Sim",Divergencias!$M$2:$M$301,"Alta"))</f>
        <v/>
      </c>
      <c r="J4" s="12">
        <f>IF(A4="","",COUNTIFS(Red_Team!$B$2:$B$301,A4,Red_Team!$I$2:$I$301,"Aberta"))</f>
        <v/>
      </c>
      <c r="K4" s="12">
        <f>IF(A4="","",IFERROR(INDEX(Atas_Comite!$D$2:$D$301,MATCH(A4,Atas_Comite!$P$2:$P$301,0)),"sem ata"))</f>
        <v/>
      </c>
      <c r="L4" s="12">
        <f>IF(A4="","",IFERROR(INDEX(Atas_Comite!$O$2:$O$301,MATCH(A4,Atas_Comite!$P$2:$P$301,0)),"—"))</f>
        <v/>
      </c>
      <c r="M4" s="12">
        <f>IF(A4="","",IFERROR(INDEX(Contraditorio!$M$2:$M$301,MATCH(A4,Contraditorio!$N$2:$N$301,0)),"não enviado"))</f>
        <v/>
      </c>
      <c r="N4" s="12">
        <f>IF(A4="","",IF(AND(C4="Sim",OR(D4&gt;0,LEFT(O4,1)="C"),F4=0,G4=0,J4=0,L4="Sim",OR(M4="Respondido",M4="Prazo encerrado – sem resposta")),"SIM → revisão jurídica","Não"))</f>
        <v/>
      </c>
      <c r="O4" s="12">
        <f>IF(A4="","",IFERROR(INDEX(Custodia!$U$2:$U$301,MATCH(A4,Custodia!$A$2:$A$301,0)),"—"))</f>
        <v/>
      </c>
    </row>
    <row r="5">
      <c r="A5" s="13" t="n"/>
      <c r="B5" s="12">
        <f>IF(A5="","",IFERROR(INDEX(Custodia!$C$2:$C$301,MATCH(A5,Custodia!$A$2:$A$301,0)),"não custodiado"))</f>
        <v/>
      </c>
      <c r="C5" s="12">
        <f>IF(A5="","",IFERROR(INDEX(Custodia!$S$2:$S$301,MATCH(A5,Custodia!$A$2:$A$301,0)),"NÃO"))</f>
        <v/>
      </c>
      <c r="D5" s="12">
        <f>IF(A5="","",COUNTIFS(Log_Testes!$B$2:$B$301,A5,Log_Testes!$C$2:$C$301,"F4*"))</f>
        <v/>
      </c>
      <c r="E5" s="12">
        <f>IF(A5="","",COUNTIFS(Log_Testes!$B$2:$B$301,A5,Log_Testes!$C$2:$C$301,"F5*"))</f>
        <v/>
      </c>
      <c r="F5" s="12">
        <f>IF(A5="","",COUNTIFS(Log_Testes!$B$2:$B$301,A5,Log_Testes!$A$2:$A$301,"&lt;&gt;",Log_Testes!$M$2:$M$301,""))</f>
        <v/>
      </c>
      <c r="G5" s="12">
        <f>IF(A5="","",COUNTIFS(Log_Testes!$B$2:$B$301,A5,Log_Testes!$N$2:$N$301,"DIVERGE*"))</f>
        <v/>
      </c>
      <c r="H5" s="12">
        <f>IF(A5="","",COUNTIFS(Divergencias!$B$2:$B$301,A5,Divergencias!$Q$2:$Q$301,"Sim"))</f>
        <v/>
      </c>
      <c r="I5" s="12">
        <f>IF(A5="","",COUNTIFS(Divergencias!$B$2:$B$301,A5,Divergencias!$Q$2:$Q$301,"Sim",Divergencias!$M$2:$M$301,"Alta"))</f>
        <v/>
      </c>
      <c r="J5" s="12">
        <f>IF(A5="","",COUNTIFS(Red_Team!$B$2:$B$301,A5,Red_Team!$I$2:$I$301,"Aberta"))</f>
        <v/>
      </c>
      <c r="K5" s="12">
        <f>IF(A5="","",IFERROR(INDEX(Atas_Comite!$D$2:$D$301,MATCH(A5,Atas_Comite!$P$2:$P$301,0)),"sem ata"))</f>
        <v/>
      </c>
      <c r="L5" s="12">
        <f>IF(A5="","",IFERROR(INDEX(Atas_Comite!$O$2:$O$301,MATCH(A5,Atas_Comite!$P$2:$P$301,0)),"—"))</f>
        <v/>
      </c>
      <c r="M5" s="12">
        <f>IF(A5="","",IFERROR(INDEX(Contraditorio!$M$2:$M$301,MATCH(A5,Contraditorio!$N$2:$N$301,0)),"não enviado"))</f>
        <v/>
      </c>
      <c r="N5" s="12">
        <f>IF(A5="","",IF(AND(C5="Sim",OR(D5&gt;0,LEFT(O5,1)="C"),F5=0,G5=0,J5=0,L5="Sim",OR(M5="Respondido",M5="Prazo encerrado – sem resposta")),"SIM → revisão jurídica","Não"))</f>
        <v/>
      </c>
      <c r="O5" s="12">
        <f>IF(A5="","",IFERROR(INDEX(Custodia!$U$2:$U$301,MATCH(A5,Custodia!$A$2:$A$301,0)),"—"))</f>
        <v/>
      </c>
    </row>
    <row r="6">
      <c r="A6" s="13" t="n"/>
      <c r="B6" s="12">
        <f>IF(A6="","",IFERROR(INDEX(Custodia!$C$2:$C$301,MATCH(A6,Custodia!$A$2:$A$301,0)),"não custodiado"))</f>
        <v/>
      </c>
      <c r="C6" s="12">
        <f>IF(A6="","",IFERROR(INDEX(Custodia!$S$2:$S$301,MATCH(A6,Custodia!$A$2:$A$301,0)),"NÃO"))</f>
        <v/>
      </c>
      <c r="D6" s="12">
        <f>IF(A6="","",COUNTIFS(Log_Testes!$B$2:$B$301,A6,Log_Testes!$C$2:$C$301,"F4*"))</f>
        <v/>
      </c>
      <c r="E6" s="12">
        <f>IF(A6="","",COUNTIFS(Log_Testes!$B$2:$B$301,A6,Log_Testes!$C$2:$C$301,"F5*"))</f>
        <v/>
      </c>
      <c r="F6" s="12">
        <f>IF(A6="","",COUNTIFS(Log_Testes!$B$2:$B$301,A6,Log_Testes!$A$2:$A$301,"&lt;&gt;",Log_Testes!$M$2:$M$301,""))</f>
        <v/>
      </c>
      <c r="G6" s="12">
        <f>IF(A6="","",COUNTIFS(Log_Testes!$B$2:$B$301,A6,Log_Testes!$N$2:$N$301,"DIVERGE*"))</f>
        <v/>
      </c>
      <c r="H6" s="12">
        <f>IF(A6="","",COUNTIFS(Divergencias!$B$2:$B$301,A6,Divergencias!$Q$2:$Q$301,"Sim"))</f>
        <v/>
      </c>
      <c r="I6" s="12">
        <f>IF(A6="","",COUNTIFS(Divergencias!$B$2:$B$301,A6,Divergencias!$Q$2:$Q$301,"Sim",Divergencias!$M$2:$M$301,"Alta"))</f>
        <v/>
      </c>
      <c r="J6" s="12">
        <f>IF(A6="","",COUNTIFS(Red_Team!$B$2:$B$301,A6,Red_Team!$I$2:$I$301,"Aberta"))</f>
        <v/>
      </c>
      <c r="K6" s="12">
        <f>IF(A6="","",IFERROR(INDEX(Atas_Comite!$D$2:$D$301,MATCH(A6,Atas_Comite!$P$2:$P$301,0)),"sem ata"))</f>
        <v/>
      </c>
      <c r="L6" s="12">
        <f>IF(A6="","",IFERROR(INDEX(Atas_Comite!$O$2:$O$301,MATCH(A6,Atas_Comite!$P$2:$P$301,0)),"—"))</f>
        <v/>
      </c>
      <c r="M6" s="12">
        <f>IF(A6="","",IFERROR(INDEX(Contraditorio!$M$2:$M$301,MATCH(A6,Contraditorio!$N$2:$N$301,0)),"não enviado"))</f>
        <v/>
      </c>
      <c r="N6" s="12">
        <f>IF(A6="","",IF(AND(C6="Sim",OR(D6&gt;0,LEFT(O6,1)="C"),F6=0,G6=0,J6=0,L6="Sim",OR(M6="Respondido",M6="Prazo encerrado – sem resposta")),"SIM → revisão jurídica","Não"))</f>
        <v/>
      </c>
      <c r="O6" s="12">
        <f>IF(A6="","",IFERROR(INDEX(Custodia!$U$2:$U$301,MATCH(A6,Custodia!$A$2:$A$301,0)),"—"))</f>
        <v/>
      </c>
    </row>
    <row r="7">
      <c r="A7" s="13" t="n"/>
      <c r="B7" s="12">
        <f>IF(A7="","",IFERROR(INDEX(Custodia!$C$2:$C$301,MATCH(A7,Custodia!$A$2:$A$301,0)),"não custodiado"))</f>
        <v/>
      </c>
      <c r="C7" s="12">
        <f>IF(A7="","",IFERROR(INDEX(Custodia!$S$2:$S$301,MATCH(A7,Custodia!$A$2:$A$301,0)),"NÃO"))</f>
        <v/>
      </c>
      <c r="D7" s="12">
        <f>IF(A7="","",COUNTIFS(Log_Testes!$B$2:$B$301,A7,Log_Testes!$C$2:$C$301,"F4*"))</f>
        <v/>
      </c>
      <c r="E7" s="12">
        <f>IF(A7="","",COUNTIFS(Log_Testes!$B$2:$B$301,A7,Log_Testes!$C$2:$C$301,"F5*"))</f>
        <v/>
      </c>
      <c r="F7" s="12">
        <f>IF(A7="","",COUNTIFS(Log_Testes!$B$2:$B$301,A7,Log_Testes!$A$2:$A$301,"&lt;&gt;",Log_Testes!$M$2:$M$301,""))</f>
        <v/>
      </c>
      <c r="G7" s="12">
        <f>IF(A7="","",COUNTIFS(Log_Testes!$B$2:$B$301,A7,Log_Testes!$N$2:$N$301,"DIVERGE*"))</f>
        <v/>
      </c>
      <c r="H7" s="12">
        <f>IF(A7="","",COUNTIFS(Divergencias!$B$2:$B$301,A7,Divergencias!$Q$2:$Q$301,"Sim"))</f>
        <v/>
      </c>
      <c r="I7" s="12">
        <f>IF(A7="","",COUNTIFS(Divergencias!$B$2:$B$301,A7,Divergencias!$Q$2:$Q$301,"Sim",Divergencias!$M$2:$M$301,"Alta"))</f>
        <v/>
      </c>
      <c r="J7" s="12">
        <f>IF(A7="","",COUNTIFS(Red_Team!$B$2:$B$301,A7,Red_Team!$I$2:$I$301,"Aberta"))</f>
        <v/>
      </c>
      <c r="K7" s="12">
        <f>IF(A7="","",IFERROR(INDEX(Atas_Comite!$D$2:$D$301,MATCH(A7,Atas_Comite!$P$2:$P$301,0)),"sem ata"))</f>
        <v/>
      </c>
      <c r="L7" s="12">
        <f>IF(A7="","",IFERROR(INDEX(Atas_Comite!$O$2:$O$301,MATCH(A7,Atas_Comite!$P$2:$P$301,0)),"—"))</f>
        <v/>
      </c>
      <c r="M7" s="12">
        <f>IF(A7="","",IFERROR(INDEX(Contraditorio!$M$2:$M$301,MATCH(A7,Contraditorio!$N$2:$N$301,0)),"não enviado"))</f>
        <v/>
      </c>
      <c r="N7" s="12">
        <f>IF(A7="","",IF(AND(C7="Sim",OR(D7&gt;0,LEFT(O7,1)="C"),F7=0,G7=0,J7=0,L7="Sim",OR(M7="Respondido",M7="Prazo encerrado – sem resposta")),"SIM → revisão jurídica","Não"))</f>
        <v/>
      </c>
      <c r="O7" s="12">
        <f>IF(A7="","",IFERROR(INDEX(Custodia!$U$2:$U$301,MATCH(A7,Custodia!$A$2:$A$301,0)),"—"))</f>
        <v/>
      </c>
    </row>
    <row r="8">
      <c r="A8" s="13" t="n"/>
      <c r="B8" s="12">
        <f>IF(A8="","",IFERROR(INDEX(Custodia!$C$2:$C$301,MATCH(A8,Custodia!$A$2:$A$301,0)),"não custodiado"))</f>
        <v/>
      </c>
      <c r="C8" s="12">
        <f>IF(A8="","",IFERROR(INDEX(Custodia!$S$2:$S$301,MATCH(A8,Custodia!$A$2:$A$301,0)),"NÃO"))</f>
        <v/>
      </c>
      <c r="D8" s="12">
        <f>IF(A8="","",COUNTIFS(Log_Testes!$B$2:$B$301,A8,Log_Testes!$C$2:$C$301,"F4*"))</f>
        <v/>
      </c>
      <c r="E8" s="12">
        <f>IF(A8="","",COUNTIFS(Log_Testes!$B$2:$B$301,A8,Log_Testes!$C$2:$C$301,"F5*"))</f>
        <v/>
      </c>
      <c r="F8" s="12">
        <f>IF(A8="","",COUNTIFS(Log_Testes!$B$2:$B$301,A8,Log_Testes!$A$2:$A$301,"&lt;&gt;",Log_Testes!$M$2:$M$301,""))</f>
        <v/>
      </c>
      <c r="G8" s="12">
        <f>IF(A8="","",COUNTIFS(Log_Testes!$B$2:$B$301,A8,Log_Testes!$N$2:$N$301,"DIVERGE*"))</f>
        <v/>
      </c>
      <c r="H8" s="12">
        <f>IF(A8="","",COUNTIFS(Divergencias!$B$2:$B$301,A8,Divergencias!$Q$2:$Q$301,"Sim"))</f>
        <v/>
      </c>
      <c r="I8" s="12">
        <f>IF(A8="","",COUNTIFS(Divergencias!$B$2:$B$301,A8,Divergencias!$Q$2:$Q$301,"Sim",Divergencias!$M$2:$M$301,"Alta"))</f>
        <v/>
      </c>
      <c r="J8" s="12">
        <f>IF(A8="","",COUNTIFS(Red_Team!$B$2:$B$301,A8,Red_Team!$I$2:$I$301,"Aberta"))</f>
        <v/>
      </c>
      <c r="K8" s="12">
        <f>IF(A8="","",IFERROR(INDEX(Atas_Comite!$D$2:$D$301,MATCH(A8,Atas_Comite!$P$2:$P$301,0)),"sem ata"))</f>
        <v/>
      </c>
      <c r="L8" s="12">
        <f>IF(A8="","",IFERROR(INDEX(Atas_Comite!$O$2:$O$301,MATCH(A8,Atas_Comite!$P$2:$P$301,0)),"—"))</f>
        <v/>
      </c>
      <c r="M8" s="12">
        <f>IF(A8="","",IFERROR(INDEX(Contraditorio!$M$2:$M$301,MATCH(A8,Contraditorio!$N$2:$N$301,0)),"não enviado"))</f>
        <v/>
      </c>
      <c r="N8" s="12">
        <f>IF(A8="","",IF(AND(C8="Sim",OR(D8&gt;0,LEFT(O8,1)="C"),F8=0,G8=0,J8=0,L8="Sim",OR(M8="Respondido",M8="Prazo encerrado – sem resposta")),"SIM → revisão jurídica","Não"))</f>
        <v/>
      </c>
      <c r="O8" s="12">
        <f>IF(A8="","",IFERROR(INDEX(Custodia!$U$2:$U$301,MATCH(A8,Custodia!$A$2:$A$301,0)),"—"))</f>
        <v/>
      </c>
    </row>
    <row r="9">
      <c r="A9" s="13" t="n"/>
      <c r="B9" s="12">
        <f>IF(A9="","",IFERROR(INDEX(Custodia!$C$2:$C$301,MATCH(A9,Custodia!$A$2:$A$301,0)),"não custodiado"))</f>
        <v/>
      </c>
      <c r="C9" s="12">
        <f>IF(A9="","",IFERROR(INDEX(Custodia!$S$2:$S$301,MATCH(A9,Custodia!$A$2:$A$301,0)),"NÃO"))</f>
        <v/>
      </c>
      <c r="D9" s="12">
        <f>IF(A9="","",COUNTIFS(Log_Testes!$B$2:$B$301,A9,Log_Testes!$C$2:$C$301,"F4*"))</f>
        <v/>
      </c>
      <c r="E9" s="12">
        <f>IF(A9="","",COUNTIFS(Log_Testes!$B$2:$B$301,A9,Log_Testes!$C$2:$C$301,"F5*"))</f>
        <v/>
      </c>
      <c r="F9" s="12">
        <f>IF(A9="","",COUNTIFS(Log_Testes!$B$2:$B$301,A9,Log_Testes!$A$2:$A$301,"&lt;&gt;",Log_Testes!$M$2:$M$301,""))</f>
        <v/>
      </c>
      <c r="G9" s="12">
        <f>IF(A9="","",COUNTIFS(Log_Testes!$B$2:$B$301,A9,Log_Testes!$N$2:$N$301,"DIVERGE*"))</f>
        <v/>
      </c>
      <c r="H9" s="12">
        <f>IF(A9="","",COUNTIFS(Divergencias!$B$2:$B$301,A9,Divergencias!$Q$2:$Q$301,"Sim"))</f>
        <v/>
      </c>
      <c r="I9" s="12">
        <f>IF(A9="","",COUNTIFS(Divergencias!$B$2:$B$301,A9,Divergencias!$Q$2:$Q$301,"Sim",Divergencias!$M$2:$M$301,"Alta"))</f>
        <v/>
      </c>
      <c r="J9" s="12">
        <f>IF(A9="","",COUNTIFS(Red_Team!$B$2:$B$301,A9,Red_Team!$I$2:$I$301,"Aberta"))</f>
        <v/>
      </c>
      <c r="K9" s="12">
        <f>IF(A9="","",IFERROR(INDEX(Atas_Comite!$D$2:$D$301,MATCH(A9,Atas_Comite!$P$2:$P$301,0)),"sem ata"))</f>
        <v/>
      </c>
      <c r="L9" s="12">
        <f>IF(A9="","",IFERROR(INDEX(Atas_Comite!$O$2:$O$301,MATCH(A9,Atas_Comite!$P$2:$P$301,0)),"—"))</f>
        <v/>
      </c>
      <c r="M9" s="12">
        <f>IF(A9="","",IFERROR(INDEX(Contraditorio!$M$2:$M$301,MATCH(A9,Contraditorio!$N$2:$N$301,0)),"não enviado"))</f>
        <v/>
      </c>
      <c r="N9" s="12">
        <f>IF(A9="","",IF(AND(C9="Sim",OR(D9&gt;0,LEFT(O9,1)="C"),F9=0,G9=0,J9=0,L9="Sim",OR(M9="Respondido",M9="Prazo encerrado – sem resposta")),"SIM → revisão jurídica","Não"))</f>
        <v/>
      </c>
      <c r="O9" s="12">
        <f>IF(A9="","",IFERROR(INDEX(Custodia!$U$2:$U$301,MATCH(A9,Custodia!$A$2:$A$301,0)),"—"))</f>
        <v/>
      </c>
    </row>
    <row r="10">
      <c r="A10" s="13" t="n"/>
      <c r="B10" s="12">
        <f>IF(A10="","",IFERROR(INDEX(Custodia!$C$2:$C$301,MATCH(A10,Custodia!$A$2:$A$301,0)),"não custodiado"))</f>
        <v/>
      </c>
      <c r="C10" s="12">
        <f>IF(A10="","",IFERROR(INDEX(Custodia!$S$2:$S$301,MATCH(A10,Custodia!$A$2:$A$301,0)),"NÃO"))</f>
        <v/>
      </c>
      <c r="D10" s="12">
        <f>IF(A10="","",COUNTIFS(Log_Testes!$B$2:$B$301,A10,Log_Testes!$C$2:$C$301,"F4*"))</f>
        <v/>
      </c>
      <c r="E10" s="12">
        <f>IF(A10="","",COUNTIFS(Log_Testes!$B$2:$B$301,A10,Log_Testes!$C$2:$C$301,"F5*"))</f>
        <v/>
      </c>
      <c r="F10" s="12">
        <f>IF(A10="","",COUNTIFS(Log_Testes!$B$2:$B$301,A10,Log_Testes!$A$2:$A$301,"&lt;&gt;",Log_Testes!$M$2:$M$301,""))</f>
        <v/>
      </c>
      <c r="G10" s="12">
        <f>IF(A10="","",COUNTIFS(Log_Testes!$B$2:$B$301,A10,Log_Testes!$N$2:$N$301,"DIVERGE*"))</f>
        <v/>
      </c>
      <c r="H10" s="12">
        <f>IF(A10="","",COUNTIFS(Divergencias!$B$2:$B$301,A10,Divergencias!$Q$2:$Q$301,"Sim"))</f>
        <v/>
      </c>
      <c r="I10" s="12">
        <f>IF(A10="","",COUNTIFS(Divergencias!$B$2:$B$301,A10,Divergencias!$Q$2:$Q$301,"Sim",Divergencias!$M$2:$M$301,"Alta"))</f>
        <v/>
      </c>
      <c r="J10" s="12">
        <f>IF(A10="","",COUNTIFS(Red_Team!$B$2:$B$301,A10,Red_Team!$I$2:$I$301,"Aberta"))</f>
        <v/>
      </c>
      <c r="K10" s="12">
        <f>IF(A10="","",IFERROR(INDEX(Atas_Comite!$D$2:$D$301,MATCH(A10,Atas_Comite!$P$2:$P$301,0)),"sem ata"))</f>
        <v/>
      </c>
      <c r="L10" s="12">
        <f>IF(A10="","",IFERROR(INDEX(Atas_Comite!$O$2:$O$301,MATCH(A10,Atas_Comite!$P$2:$P$301,0)),"—"))</f>
        <v/>
      </c>
      <c r="M10" s="12">
        <f>IF(A10="","",IFERROR(INDEX(Contraditorio!$M$2:$M$301,MATCH(A10,Contraditorio!$N$2:$N$301,0)),"não enviado"))</f>
        <v/>
      </c>
      <c r="N10" s="12">
        <f>IF(A10="","",IF(AND(C10="Sim",OR(D10&gt;0,LEFT(O10,1)="C"),F10=0,G10=0,J10=0,L10="Sim",OR(M10="Respondido",M10="Prazo encerrado – sem resposta")),"SIM → revisão jurídica","Não"))</f>
        <v/>
      </c>
      <c r="O10" s="12">
        <f>IF(A10="","",IFERROR(INDEX(Custodia!$U$2:$U$301,MATCH(A10,Custodia!$A$2:$A$301,0)),"—"))</f>
        <v/>
      </c>
    </row>
    <row r="11">
      <c r="A11" s="13" t="n"/>
      <c r="B11" s="12">
        <f>IF(A11="","",IFERROR(INDEX(Custodia!$C$2:$C$301,MATCH(A11,Custodia!$A$2:$A$301,0)),"não custodiado"))</f>
        <v/>
      </c>
      <c r="C11" s="12">
        <f>IF(A11="","",IFERROR(INDEX(Custodia!$S$2:$S$301,MATCH(A11,Custodia!$A$2:$A$301,0)),"NÃO"))</f>
        <v/>
      </c>
      <c r="D11" s="12">
        <f>IF(A11="","",COUNTIFS(Log_Testes!$B$2:$B$301,A11,Log_Testes!$C$2:$C$301,"F4*"))</f>
        <v/>
      </c>
      <c r="E11" s="12">
        <f>IF(A11="","",COUNTIFS(Log_Testes!$B$2:$B$301,A11,Log_Testes!$C$2:$C$301,"F5*"))</f>
        <v/>
      </c>
      <c r="F11" s="12">
        <f>IF(A11="","",COUNTIFS(Log_Testes!$B$2:$B$301,A11,Log_Testes!$A$2:$A$301,"&lt;&gt;",Log_Testes!$M$2:$M$301,""))</f>
        <v/>
      </c>
      <c r="G11" s="12">
        <f>IF(A11="","",COUNTIFS(Log_Testes!$B$2:$B$301,A11,Log_Testes!$N$2:$N$301,"DIVERGE*"))</f>
        <v/>
      </c>
      <c r="H11" s="12">
        <f>IF(A11="","",COUNTIFS(Divergencias!$B$2:$B$301,A11,Divergencias!$Q$2:$Q$301,"Sim"))</f>
        <v/>
      </c>
      <c r="I11" s="12">
        <f>IF(A11="","",COUNTIFS(Divergencias!$B$2:$B$301,A11,Divergencias!$Q$2:$Q$301,"Sim",Divergencias!$M$2:$M$301,"Alta"))</f>
        <v/>
      </c>
      <c r="J11" s="12">
        <f>IF(A11="","",COUNTIFS(Red_Team!$B$2:$B$301,A11,Red_Team!$I$2:$I$301,"Aberta"))</f>
        <v/>
      </c>
      <c r="K11" s="12">
        <f>IF(A11="","",IFERROR(INDEX(Atas_Comite!$D$2:$D$301,MATCH(A11,Atas_Comite!$P$2:$P$301,0)),"sem ata"))</f>
        <v/>
      </c>
      <c r="L11" s="12">
        <f>IF(A11="","",IFERROR(INDEX(Atas_Comite!$O$2:$O$301,MATCH(A11,Atas_Comite!$P$2:$P$301,0)),"—"))</f>
        <v/>
      </c>
      <c r="M11" s="12">
        <f>IF(A11="","",IFERROR(INDEX(Contraditorio!$M$2:$M$301,MATCH(A11,Contraditorio!$N$2:$N$301,0)),"não enviado"))</f>
        <v/>
      </c>
      <c r="N11" s="12">
        <f>IF(A11="","",IF(AND(C11="Sim",OR(D11&gt;0,LEFT(O11,1)="C"),F11=0,G11=0,J11=0,L11="Sim",OR(M11="Respondido",M11="Prazo encerrado – sem resposta")),"SIM → revisão jurídica","Não"))</f>
        <v/>
      </c>
      <c r="O11" s="12">
        <f>IF(A11="","",IFERROR(INDEX(Custodia!$U$2:$U$301,MATCH(A11,Custodia!$A$2:$A$301,0)),"—"))</f>
        <v/>
      </c>
    </row>
    <row r="12">
      <c r="A12" s="13" t="n"/>
      <c r="B12" s="12">
        <f>IF(A12="","",IFERROR(INDEX(Custodia!$C$2:$C$301,MATCH(A12,Custodia!$A$2:$A$301,0)),"não custodiado"))</f>
        <v/>
      </c>
      <c r="C12" s="12">
        <f>IF(A12="","",IFERROR(INDEX(Custodia!$S$2:$S$301,MATCH(A12,Custodia!$A$2:$A$301,0)),"NÃO"))</f>
        <v/>
      </c>
      <c r="D12" s="12">
        <f>IF(A12="","",COUNTIFS(Log_Testes!$B$2:$B$301,A12,Log_Testes!$C$2:$C$301,"F4*"))</f>
        <v/>
      </c>
      <c r="E12" s="12">
        <f>IF(A12="","",COUNTIFS(Log_Testes!$B$2:$B$301,A12,Log_Testes!$C$2:$C$301,"F5*"))</f>
        <v/>
      </c>
      <c r="F12" s="12">
        <f>IF(A12="","",COUNTIFS(Log_Testes!$B$2:$B$301,A12,Log_Testes!$A$2:$A$301,"&lt;&gt;",Log_Testes!$M$2:$M$301,""))</f>
        <v/>
      </c>
      <c r="G12" s="12">
        <f>IF(A12="","",COUNTIFS(Log_Testes!$B$2:$B$301,A12,Log_Testes!$N$2:$N$301,"DIVERGE*"))</f>
        <v/>
      </c>
      <c r="H12" s="12">
        <f>IF(A12="","",COUNTIFS(Divergencias!$B$2:$B$301,A12,Divergencias!$Q$2:$Q$301,"Sim"))</f>
        <v/>
      </c>
      <c r="I12" s="12">
        <f>IF(A12="","",COUNTIFS(Divergencias!$B$2:$B$301,A12,Divergencias!$Q$2:$Q$301,"Sim",Divergencias!$M$2:$M$301,"Alta"))</f>
        <v/>
      </c>
      <c r="J12" s="12">
        <f>IF(A12="","",COUNTIFS(Red_Team!$B$2:$B$301,A12,Red_Team!$I$2:$I$301,"Aberta"))</f>
        <v/>
      </c>
      <c r="K12" s="12">
        <f>IF(A12="","",IFERROR(INDEX(Atas_Comite!$D$2:$D$301,MATCH(A12,Atas_Comite!$P$2:$P$301,0)),"sem ata"))</f>
        <v/>
      </c>
      <c r="L12" s="12">
        <f>IF(A12="","",IFERROR(INDEX(Atas_Comite!$O$2:$O$301,MATCH(A12,Atas_Comite!$P$2:$P$301,0)),"—"))</f>
        <v/>
      </c>
      <c r="M12" s="12">
        <f>IF(A12="","",IFERROR(INDEX(Contraditorio!$M$2:$M$301,MATCH(A12,Contraditorio!$N$2:$N$301,0)),"não enviado"))</f>
        <v/>
      </c>
      <c r="N12" s="12">
        <f>IF(A12="","",IF(AND(C12="Sim",OR(D12&gt;0,LEFT(O12,1)="C"),F12=0,G12=0,J12=0,L12="Sim",OR(M12="Respondido",M12="Prazo encerrado – sem resposta")),"SIM → revisão jurídica","Não"))</f>
        <v/>
      </c>
      <c r="O12" s="12">
        <f>IF(A12="","",IFERROR(INDEX(Custodia!$U$2:$U$301,MATCH(A12,Custodia!$A$2:$A$301,0)),"—"))</f>
        <v/>
      </c>
    </row>
    <row r="13">
      <c r="A13" s="13" t="n"/>
      <c r="B13" s="12">
        <f>IF(A13="","",IFERROR(INDEX(Custodia!$C$2:$C$301,MATCH(A13,Custodia!$A$2:$A$301,0)),"não custodiado"))</f>
        <v/>
      </c>
      <c r="C13" s="12">
        <f>IF(A13="","",IFERROR(INDEX(Custodia!$S$2:$S$301,MATCH(A13,Custodia!$A$2:$A$301,0)),"NÃO"))</f>
        <v/>
      </c>
      <c r="D13" s="12">
        <f>IF(A13="","",COUNTIFS(Log_Testes!$B$2:$B$301,A13,Log_Testes!$C$2:$C$301,"F4*"))</f>
        <v/>
      </c>
      <c r="E13" s="12">
        <f>IF(A13="","",COUNTIFS(Log_Testes!$B$2:$B$301,A13,Log_Testes!$C$2:$C$301,"F5*"))</f>
        <v/>
      </c>
      <c r="F13" s="12">
        <f>IF(A13="","",COUNTIFS(Log_Testes!$B$2:$B$301,A13,Log_Testes!$A$2:$A$301,"&lt;&gt;",Log_Testes!$M$2:$M$301,""))</f>
        <v/>
      </c>
      <c r="G13" s="12">
        <f>IF(A13="","",COUNTIFS(Log_Testes!$B$2:$B$301,A13,Log_Testes!$N$2:$N$301,"DIVERGE*"))</f>
        <v/>
      </c>
      <c r="H13" s="12">
        <f>IF(A13="","",COUNTIFS(Divergencias!$B$2:$B$301,A13,Divergencias!$Q$2:$Q$301,"Sim"))</f>
        <v/>
      </c>
      <c r="I13" s="12">
        <f>IF(A13="","",COUNTIFS(Divergencias!$B$2:$B$301,A13,Divergencias!$Q$2:$Q$301,"Sim",Divergencias!$M$2:$M$301,"Alta"))</f>
        <v/>
      </c>
      <c r="J13" s="12">
        <f>IF(A13="","",COUNTIFS(Red_Team!$B$2:$B$301,A13,Red_Team!$I$2:$I$301,"Aberta"))</f>
        <v/>
      </c>
      <c r="K13" s="12">
        <f>IF(A13="","",IFERROR(INDEX(Atas_Comite!$D$2:$D$301,MATCH(A13,Atas_Comite!$P$2:$P$301,0)),"sem ata"))</f>
        <v/>
      </c>
      <c r="L13" s="12">
        <f>IF(A13="","",IFERROR(INDEX(Atas_Comite!$O$2:$O$301,MATCH(A13,Atas_Comite!$P$2:$P$301,0)),"—"))</f>
        <v/>
      </c>
      <c r="M13" s="12">
        <f>IF(A13="","",IFERROR(INDEX(Contraditorio!$M$2:$M$301,MATCH(A13,Contraditorio!$N$2:$N$301,0)),"não enviado"))</f>
        <v/>
      </c>
      <c r="N13" s="12">
        <f>IF(A13="","",IF(AND(C13="Sim",OR(D13&gt;0,LEFT(O13,1)="C"),F13=0,G13=0,J13=0,L13="Sim",OR(M13="Respondido",M13="Prazo encerrado – sem resposta")),"SIM → revisão jurídica","Não"))</f>
        <v/>
      </c>
      <c r="O13" s="12">
        <f>IF(A13="","",IFERROR(INDEX(Custodia!$U$2:$U$301,MATCH(A13,Custodia!$A$2:$A$301,0)),"—"))</f>
        <v/>
      </c>
    </row>
    <row r="14">
      <c r="A14" s="13" t="n"/>
      <c r="B14" s="12">
        <f>IF(A14="","",IFERROR(INDEX(Custodia!$C$2:$C$301,MATCH(A14,Custodia!$A$2:$A$301,0)),"não custodiado"))</f>
        <v/>
      </c>
      <c r="C14" s="12">
        <f>IF(A14="","",IFERROR(INDEX(Custodia!$S$2:$S$301,MATCH(A14,Custodia!$A$2:$A$301,0)),"NÃO"))</f>
        <v/>
      </c>
      <c r="D14" s="12">
        <f>IF(A14="","",COUNTIFS(Log_Testes!$B$2:$B$301,A14,Log_Testes!$C$2:$C$301,"F4*"))</f>
        <v/>
      </c>
      <c r="E14" s="12">
        <f>IF(A14="","",COUNTIFS(Log_Testes!$B$2:$B$301,A14,Log_Testes!$C$2:$C$301,"F5*"))</f>
        <v/>
      </c>
      <c r="F14" s="12">
        <f>IF(A14="","",COUNTIFS(Log_Testes!$B$2:$B$301,A14,Log_Testes!$A$2:$A$301,"&lt;&gt;",Log_Testes!$M$2:$M$301,""))</f>
        <v/>
      </c>
      <c r="G14" s="12">
        <f>IF(A14="","",COUNTIFS(Log_Testes!$B$2:$B$301,A14,Log_Testes!$N$2:$N$301,"DIVERGE*"))</f>
        <v/>
      </c>
      <c r="H14" s="12">
        <f>IF(A14="","",COUNTIFS(Divergencias!$B$2:$B$301,A14,Divergencias!$Q$2:$Q$301,"Sim"))</f>
        <v/>
      </c>
      <c r="I14" s="12">
        <f>IF(A14="","",COUNTIFS(Divergencias!$B$2:$B$301,A14,Divergencias!$Q$2:$Q$301,"Sim",Divergencias!$M$2:$M$301,"Alta"))</f>
        <v/>
      </c>
      <c r="J14" s="12">
        <f>IF(A14="","",COUNTIFS(Red_Team!$B$2:$B$301,A14,Red_Team!$I$2:$I$301,"Aberta"))</f>
        <v/>
      </c>
      <c r="K14" s="12">
        <f>IF(A14="","",IFERROR(INDEX(Atas_Comite!$D$2:$D$301,MATCH(A14,Atas_Comite!$P$2:$P$301,0)),"sem ata"))</f>
        <v/>
      </c>
      <c r="L14" s="12">
        <f>IF(A14="","",IFERROR(INDEX(Atas_Comite!$O$2:$O$301,MATCH(A14,Atas_Comite!$P$2:$P$301,0)),"—"))</f>
        <v/>
      </c>
      <c r="M14" s="12">
        <f>IF(A14="","",IFERROR(INDEX(Contraditorio!$M$2:$M$301,MATCH(A14,Contraditorio!$N$2:$N$301,0)),"não enviado"))</f>
        <v/>
      </c>
      <c r="N14" s="12">
        <f>IF(A14="","",IF(AND(C14="Sim",OR(D14&gt;0,LEFT(O14,1)="C"),F14=0,G14=0,J14=0,L14="Sim",OR(M14="Respondido",M14="Prazo encerrado – sem resposta")),"SIM → revisão jurídica","Não"))</f>
        <v/>
      </c>
      <c r="O14" s="12">
        <f>IF(A14="","",IFERROR(INDEX(Custodia!$U$2:$U$301,MATCH(A14,Custodia!$A$2:$A$301,0)),"—"))</f>
        <v/>
      </c>
    </row>
    <row r="15">
      <c r="A15" s="13" t="n"/>
      <c r="B15" s="12">
        <f>IF(A15="","",IFERROR(INDEX(Custodia!$C$2:$C$301,MATCH(A15,Custodia!$A$2:$A$301,0)),"não custodiado"))</f>
        <v/>
      </c>
      <c r="C15" s="12">
        <f>IF(A15="","",IFERROR(INDEX(Custodia!$S$2:$S$301,MATCH(A15,Custodia!$A$2:$A$301,0)),"NÃO"))</f>
        <v/>
      </c>
      <c r="D15" s="12">
        <f>IF(A15="","",COUNTIFS(Log_Testes!$B$2:$B$301,A15,Log_Testes!$C$2:$C$301,"F4*"))</f>
        <v/>
      </c>
      <c r="E15" s="12">
        <f>IF(A15="","",COUNTIFS(Log_Testes!$B$2:$B$301,A15,Log_Testes!$C$2:$C$301,"F5*"))</f>
        <v/>
      </c>
      <c r="F15" s="12">
        <f>IF(A15="","",COUNTIFS(Log_Testes!$B$2:$B$301,A15,Log_Testes!$A$2:$A$301,"&lt;&gt;",Log_Testes!$M$2:$M$301,""))</f>
        <v/>
      </c>
      <c r="G15" s="12">
        <f>IF(A15="","",COUNTIFS(Log_Testes!$B$2:$B$301,A15,Log_Testes!$N$2:$N$301,"DIVERGE*"))</f>
        <v/>
      </c>
      <c r="H15" s="12">
        <f>IF(A15="","",COUNTIFS(Divergencias!$B$2:$B$301,A15,Divergencias!$Q$2:$Q$301,"Sim"))</f>
        <v/>
      </c>
      <c r="I15" s="12">
        <f>IF(A15="","",COUNTIFS(Divergencias!$B$2:$B$301,A15,Divergencias!$Q$2:$Q$301,"Sim",Divergencias!$M$2:$M$301,"Alta"))</f>
        <v/>
      </c>
      <c r="J15" s="12">
        <f>IF(A15="","",COUNTIFS(Red_Team!$B$2:$B$301,A15,Red_Team!$I$2:$I$301,"Aberta"))</f>
        <v/>
      </c>
      <c r="K15" s="12">
        <f>IF(A15="","",IFERROR(INDEX(Atas_Comite!$D$2:$D$301,MATCH(A15,Atas_Comite!$P$2:$P$301,0)),"sem ata"))</f>
        <v/>
      </c>
      <c r="L15" s="12">
        <f>IF(A15="","",IFERROR(INDEX(Atas_Comite!$O$2:$O$301,MATCH(A15,Atas_Comite!$P$2:$P$301,0)),"—"))</f>
        <v/>
      </c>
      <c r="M15" s="12">
        <f>IF(A15="","",IFERROR(INDEX(Contraditorio!$M$2:$M$301,MATCH(A15,Contraditorio!$N$2:$N$301,0)),"não enviado"))</f>
        <v/>
      </c>
      <c r="N15" s="12">
        <f>IF(A15="","",IF(AND(C15="Sim",OR(D15&gt;0,LEFT(O15,1)="C"),F15=0,G15=0,J15=0,L15="Sim",OR(M15="Respondido",M15="Prazo encerrado – sem resposta")),"SIM → revisão jurídica","Não"))</f>
        <v/>
      </c>
      <c r="O15" s="12">
        <f>IF(A15="","",IFERROR(INDEX(Custodia!$U$2:$U$301,MATCH(A15,Custodia!$A$2:$A$301,0)),"—"))</f>
        <v/>
      </c>
    </row>
    <row r="16">
      <c r="A16" s="13" t="n"/>
      <c r="B16" s="12">
        <f>IF(A16="","",IFERROR(INDEX(Custodia!$C$2:$C$301,MATCH(A16,Custodia!$A$2:$A$301,0)),"não custodiado"))</f>
        <v/>
      </c>
      <c r="C16" s="12">
        <f>IF(A16="","",IFERROR(INDEX(Custodia!$S$2:$S$301,MATCH(A16,Custodia!$A$2:$A$301,0)),"NÃO"))</f>
        <v/>
      </c>
      <c r="D16" s="12">
        <f>IF(A16="","",COUNTIFS(Log_Testes!$B$2:$B$301,A16,Log_Testes!$C$2:$C$301,"F4*"))</f>
        <v/>
      </c>
      <c r="E16" s="12">
        <f>IF(A16="","",COUNTIFS(Log_Testes!$B$2:$B$301,A16,Log_Testes!$C$2:$C$301,"F5*"))</f>
        <v/>
      </c>
      <c r="F16" s="12">
        <f>IF(A16="","",COUNTIFS(Log_Testes!$B$2:$B$301,A16,Log_Testes!$A$2:$A$301,"&lt;&gt;",Log_Testes!$M$2:$M$301,""))</f>
        <v/>
      </c>
      <c r="G16" s="12">
        <f>IF(A16="","",COUNTIFS(Log_Testes!$B$2:$B$301,A16,Log_Testes!$N$2:$N$301,"DIVERGE*"))</f>
        <v/>
      </c>
      <c r="H16" s="12">
        <f>IF(A16="","",COUNTIFS(Divergencias!$B$2:$B$301,A16,Divergencias!$Q$2:$Q$301,"Sim"))</f>
        <v/>
      </c>
      <c r="I16" s="12">
        <f>IF(A16="","",COUNTIFS(Divergencias!$B$2:$B$301,A16,Divergencias!$Q$2:$Q$301,"Sim",Divergencias!$M$2:$M$301,"Alta"))</f>
        <v/>
      </c>
      <c r="J16" s="12">
        <f>IF(A16="","",COUNTIFS(Red_Team!$B$2:$B$301,A16,Red_Team!$I$2:$I$301,"Aberta"))</f>
        <v/>
      </c>
      <c r="K16" s="12">
        <f>IF(A16="","",IFERROR(INDEX(Atas_Comite!$D$2:$D$301,MATCH(A16,Atas_Comite!$P$2:$P$301,0)),"sem ata"))</f>
        <v/>
      </c>
      <c r="L16" s="12">
        <f>IF(A16="","",IFERROR(INDEX(Atas_Comite!$O$2:$O$301,MATCH(A16,Atas_Comite!$P$2:$P$301,0)),"—"))</f>
        <v/>
      </c>
      <c r="M16" s="12">
        <f>IF(A16="","",IFERROR(INDEX(Contraditorio!$M$2:$M$301,MATCH(A16,Contraditorio!$N$2:$N$301,0)),"não enviado"))</f>
        <v/>
      </c>
      <c r="N16" s="12">
        <f>IF(A16="","",IF(AND(C16="Sim",OR(D16&gt;0,LEFT(O16,1)="C"),F16=0,G16=0,J16=0,L16="Sim",OR(M16="Respondido",M16="Prazo encerrado – sem resposta")),"SIM → revisão jurídica","Não"))</f>
        <v/>
      </c>
      <c r="O16" s="12">
        <f>IF(A16="","",IFERROR(INDEX(Custodia!$U$2:$U$301,MATCH(A16,Custodia!$A$2:$A$301,0)),"—"))</f>
        <v/>
      </c>
    </row>
    <row r="17">
      <c r="A17" s="13" t="n"/>
      <c r="B17" s="12">
        <f>IF(A17="","",IFERROR(INDEX(Custodia!$C$2:$C$301,MATCH(A17,Custodia!$A$2:$A$301,0)),"não custodiado"))</f>
        <v/>
      </c>
      <c r="C17" s="12">
        <f>IF(A17="","",IFERROR(INDEX(Custodia!$S$2:$S$301,MATCH(A17,Custodia!$A$2:$A$301,0)),"NÃO"))</f>
        <v/>
      </c>
      <c r="D17" s="12">
        <f>IF(A17="","",COUNTIFS(Log_Testes!$B$2:$B$301,A17,Log_Testes!$C$2:$C$301,"F4*"))</f>
        <v/>
      </c>
      <c r="E17" s="12">
        <f>IF(A17="","",COUNTIFS(Log_Testes!$B$2:$B$301,A17,Log_Testes!$C$2:$C$301,"F5*"))</f>
        <v/>
      </c>
      <c r="F17" s="12">
        <f>IF(A17="","",COUNTIFS(Log_Testes!$B$2:$B$301,A17,Log_Testes!$A$2:$A$301,"&lt;&gt;",Log_Testes!$M$2:$M$301,""))</f>
        <v/>
      </c>
      <c r="G17" s="12">
        <f>IF(A17="","",COUNTIFS(Log_Testes!$B$2:$B$301,A17,Log_Testes!$N$2:$N$301,"DIVERGE*"))</f>
        <v/>
      </c>
      <c r="H17" s="12">
        <f>IF(A17="","",COUNTIFS(Divergencias!$B$2:$B$301,A17,Divergencias!$Q$2:$Q$301,"Sim"))</f>
        <v/>
      </c>
      <c r="I17" s="12">
        <f>IF(A17="","",COUNTIFS(Divergencias!$B$2:$B$301,A17,Divergencias!$Q$2:$Q$301,"Sim",Divergencias!$M$2:$M$301,"Alta"))</f>
        <v/>
      </c>
      <c r="J17" s="12">
        <f>IF(A17="","",COUNTIFS(Red_Team!$B$2:$B$301,A17,Red_Team!$I$2:$I$301,"Aberta"))</f>
        <v/>
      </c>
      <c r="K17" s="12">
        <f>IF(A17="","",IFERROR(INDEX(Atas_Comite!$D$2:$D$301,MATCH(A17,Atas_Comite!$P$2:$P$301,0)),"sem ata"))</f>
        <v/>
      </c>
      <c r="L17" s="12">
        <f>IF(A17="","",IFERROR(INDEX(Atas_Comite!$O$2:$O$301,MATCH(A17,Atas_Comite!$P$2:$P$301,0)),"—"))</f>
        <v/>
      </c>
      <c r="M17" s="12">
        <f>IF(A17="","",IFERROR(INDEX(Contraditorio!$M$2:$M$301,MATCH(A17,Contraditorio!$N$2:$N$301,0)),"não enviado"))</f>
        <v/>
      </c>
      <c r="N17" s="12">
        <f>IF(A17="","",IF(AND(C17="Sim",OR(D17&gt;0,LEFT(O17,1)="C"),F17=0,G17=0,J17=0,L17="Sim",OR(M17="Respondido",M17="Prazo encerrado – sem resposta")),"SIM → revisão jurídica","Não"))</f>
        <v/>
      </c>
      <c r="O17" s="12">
        <f>IF(A17="","",IFERROR(INDEX(Custodia!$U$2:$U$301,MATCH(A17,Custodia!$A$2:$A$301,0)),"—"))</f>
        <v/>
      </c>
    </row>
    <row r="18">
      <c r="A18" s="13" t="n"/>
      <c r="B18" s="12">
        <f>IF(A18="","",IFERROR(INDEX(Custodia!$C$2:$C$301,MATCH(A18,Custodia!$A$2:$A$301,0)),"não custodiado"))</f>
        <v/>
      </c>
      <c r="C18" s="12">
        <f>IF(A18="","",IFERROR(INDEX(Custodia!$S$2:$S$301,MATCH(A18,Custodia!$A$2:$A$301,0)),"NÃO"))</f>
        <v/>
      </c>
      <c r="D18" s="12">
        <f>IF(A18="","",COUNTIFS(Log_Testes!$B$2:$B$301,A18,Log_Testes!$C$2:$C$301,"F4*"))</f>
        <v/>
      </c>
      <c r="E18" s="12">
        <f>IF(A18="","",COUNTIFS(Log_Testes!$B$2:$B$301,A18,Log_Testes!$C$2:$C$301,"F5*"))</f>
        <v/>
      </c>
      <c r="F18" s="12">
        <f>IF(A18="","",COUNTIFS(Log_Testes!$B$2:$B$301,A18,Log_Testes!$A$2:$A$301,"&lt;&gt;",Log_Testes!$M$2:$M$301,""))</f>
        <v/>
      </c>
      <c r="G18" s="12">
        <f>IF(A18="","",COUNTIFS(Log_Testes!$B$2:$B$301,A18,Log_Testes!$N$2:$N$301,"DIVERGE*"))</f>
        <v/>
      </c>
      <c r="H18" s="12">
        <f>IF(A18="","",COUNTIFS(Divergencias!$B$2:$B$301,A18,Divergencias!$Q$2:$Q$301,"Sim"))</f>
        <v/>
      </c>
      <c r="I18" s="12">
        <f>IF(A18="","",COUNTIFS(Divergencias!$B$2:$B$301,A18,Divergencias!$Q$2:$Q$301,"Sim",Divergencias!$M$2:$M$301,"Alta"))</f>
        <v/>
      </c>
      <c r="J18" s="12">
        <f>IF(A18="","",COUNTIFS(Red_Team!$B$2:$B$301,A18,Red_Team!$I$2:$I$301,"Aberta"))</f>
        <v/>
      </c>
      <c r="K18" s="12">
        <f>IF(A18="","",IFERROR(INDEX(Atas_Comite!$D$2:$D$301,MATCH(A18,Atas_Comite!$P$2:$P$301,0)),"sem ata"))</f>
        <v/>
      </c>
      <c r="L18" s="12">
        <f>IF(A18="","",IFERROR(INDEX(Atas_Comite!$O$2:$O$301,MATCH(A18,Atas_Comite!$P$2:$P$301,0)),"—"))</f>
        <v/>
      </c>
      <c r="M18" s="12">
        <f>IF(A18="","",IFERROR(INDEX(Contraditorio!$M$2:$M$301,MATCH(A18,Contraditorio!$N$2:$N$301,0)),"não enviado"))</f>
        <v/>
      </c>
      <c r="N18" s="12">
        <f>IF(A18="","",IF(AND(C18="Sim",OR(D18&gt;0,LEFT(O18,1)="C"),F18=0,G18=0,J18=0,L18="Sim",OR(M18="Respondido",M18="Prazo encerrado – sem resposta")),"SIM → revisão jurídica","Não"))</f>
        <v/>
      </c>
      <c r="O18" s="12">
        <f>IF(A18="","",IFERROR(INDEX(Custodia!$U$2:$U$301,MATCH(A18,Custodia!$A$2:$A$301,0)),"—"))</f>
        <v/>
      </c>
    </row>
    <row r="19">
      <c r="A19" s="13" t="n"/>
      <c r="B19" s="12">
        <f>IF(A19="","",IFERROR(INDEX(Custodia!$C$2:$C$301,MATCH(A19,Custodia!$A$2:$A$301,0)),"não custodiado"))</f>
        <v/>
      </c>
      <c r="C19" s="12">
        <f>IF(A19="","",IFERROR(INDEX(Custodia!$S$2:$S$301,MATCH(A19,Custodia!$A$2:$A$301,0)),"NÃO"))</f>
        <v/>
      </c>
      <c r="D19" s="12">
        <f>IF(A19="","",COUNTIFS(Log_Testes!$B$2:$B$301,A19,Log_Testes!$C$2:$C$301,"F4*"))</f>
        <v/>
      </c>
      <c r="E19" s="12">
        <f>IF(A19="","",COUNTIFS(Log_Testes!$B$2:$B$301,A19,Log_Testes!$C$2:$C$301,"F5*"))</f>
        <v/>
      </c>
      <c r="F19" s="12">
        <f>IF(A19="","",COUNTIFS(Log_Testes!$B$2:$B$301,A19,Log_Testes!$A$2:$A$301,"&lt;&gt;",Log_Testes!$M$2:$M$301,""))</f>
        <v/>
      </c>
      <c r="G19" s="12">
        <f>IF(A19="","",COUNTIFS(Log_Testes!$B$2:$B$301,A19,Log_Testes!$N$2:$N$301,"DIVERGE*"))</f>
        <v/>
      </c>
      <c r="H19" s="12">
        <f>IF(A19="","",COUNTIFS(Divergencias!$B$2:$B$301,A19,Divergencias!$Q$2:$Q$301,"Sim"))</f>
        <v/>
      </c>
      <c r="I19" s="12">
        <f>IF(A19="","",COUNTIFS(Divergencias!$B$2:$B$301,A19,Divergencias!$Q$2:$Q$301,"Sim",Divergencias!$M$2:$M$301,"Alta"))</f>
        <v/>
      </c>
      <c r="J19" s="12">
        <f>IF(A19="","",COUNTIFS(Red_Team!$B$2:$B$301,A19,Red_Team!$I$2:$I$301,"Aberta"))</f>
        <v/>
      </c>
      <c r="K19" s="12">
        <f>IF(A19="","",IFERROR(INDEX(Atas_Comite!$D$2:$D$301,MATCH(A19,Atas_Comite!$P$2:$P$301,0)),"sem ata"))</f>
        <v/>
      </c>
      <c r="L19" s="12">
        <f>IF(A19="","",IFERROR(INDEX(Atas_Comite!$O$2:$O$301,MATCH(A19,Atas_Comite!$P$2:$P$301,0)),"—"))</f>
        <v/>
      </c>
      <c r="M19" s="12">
        <f>IF(A19="","",IFERROR(INDEX(Contraditorio!$M$2:$M$301,MATCH(A19,Contraditorio!$N$2:$N$301,0)),"não enviado"))</f>
        <v/>
      </c>
      <c r="N19" s="12">
        <f>IF(A19="","",IF(AND(C19="Sim",OR(D19&gt;0,LEFT(O19,1)="C"),F19=0,G19=0,J19=0,L19="Sim",OR(M19="Respondido",M19="Prazo encerrado – sem resposta")),"SIM → revisão jurídica","Não"))</f>
        <v/>
      </c>
      <c r="O19" s="12">
        <f>IF(A19="","",IFERROR(INDEX(Custodia!$U$2:$U$301,MATCH(A19,Custodia!$A$2:$A$301,0)),"—"))</f>
        <v/>
      </c>
    </row>
    <row r="20">
      <c r="A20" s="13" t="n"/>
      <c r="B20" s="12">
        <f>IF(A20="","",IFERROR(INDEX(Custodia!$C$2:$C$301,MATCH(A20,Custodia!$A$2:$A$301,0)),"não custodiado"))</f>
        <v/>
      </c>
      <c r="C20" s="12">
        <f>IF(A20="","",IFERROR(INDEX(Custodia!$S$2:$S$301,MATCH(A20,Custodia!$A$2:$A$301,0)),"NÃO"))</f>
        <v/>
      </c>
      <c r="D20" s="12">
        <f>IF(A20="","",COUNTIFS(Log_Testes!$B$2:$B$301,A20,Log_Testes!$C$2:$C$301,"F4*"))</f>
        <v/>
      </c>
      <c r="E20" s="12">
        <f>IF(A20="","",COUNTIFS(Log_Testes!$B$2:$B$301,A20,Log_Testes!$C$2:$C$301,"F5*"))</f>
        <v/>
      </c>
      <c r="F20" s="12">
        <f>IF(A20="","",COUNTIFS(Log_Testes!$B$2:$B$301,A20,Log_Testes!$A$2:$A$301,"&lt;&gt;",Log_Testes!$M$2:$M$301,""))</f>
        <v/>
      </c>
      <c r="G20" s="12">
        <f>IF(A20="","",COUNTIFS(Log_Testes!$B$2:$B$301,A20,Log_Testes!$N$2:$N$301,"DIVERGE*"))</f>
        <v/>
      </c>
      <c r="H20" s="12">
        <f>IF(A20="","",COUNTIFS(Divergencias!$B$2:$B$301,A20,Divergencias!$Q$2:$Q$301,"Sim"))</f>
        <v/>
      </c>
      <c r="I20" s="12">
        <f>IF(A20="","",COUNTIFS(Divergencias!$B$2:$B$301,A20,Divergencias!$Q$2:$Q$301,"Sim",Divergencias!$M$2:$M$301,"Alta"))</f>
        <v/>
      </c>
      <c r="J20" s="12">
        <f>IF(A20="","",COUNTIFS(Red_Team!$B$2:$B$301,A20,Red_Team!$I$2:$I$301,"Aberta"))</f>
        <v/>
      </c>
      <c r="K20" s="12">
        <f>IF(A20="","",IFERROR(INDEX(Atas_Comite!$D$2:$D$301,MATCH(A20,Atas_Comite!$P$2:$P$301,0)),"sem ata"))</f>
        <v/>
      </c>
      <c r="L20" s="12">
        <f>IF(A20="","",IFERROR(INDEX(Atas_Comite!$O$2:$O$301,MATCH(A20,Atas_Comite!$P$2:$P$301,0)),"—"))</f>
        <v/>
      </c>
      <c r="M20" s="12">
        <f>IF(A20="","",IFERROR(INDEX(Contraditorio!$M$2:$M$301,MATCH(A20,Contraditorio!$N$2:$N$301,0)),"não enviado"))</f>
        <v/>
      </c>
      <c r="N20" s="12">
        <f>IF(A20="","",IF(AND(C20="Sim",OR(D20&gt;0,LEFT(O20,1)="C"),F20=0,G20=0,J20=0,L20="Sim",OR(M20="Respondido",M20="Prazo encerrado – sem resposta")),"SIM → revisão jurídica","Não"))</f>
        <v/>
      </c>
      <c r="O20" s="12">
        <f>IF(A20="","",IFERROR(INDEX(Custodia!$U$2:$U$301,MATCH(A20,Custodia!$A$2:$A$301,0)),"—"))</f>
        <v/>
      </c>
    </row>
    <row r="21">
      <c r="A21" s="13" t="n"/>
      <c r="B21" s="12">
        <f>IF(A21="","",IFERROR(INDEX(Custodia!$C$2:$C$301,MATCH(A21,Custodia!$A$2:$A$301,0)),"não custodiado"))</f>
        <v/>
      </c>
      <c r="C21" s="12">
        <f>IF(A21="","",IFERROR(INDEX(Custodia!$S$2:$S$301,MATCH(A21,Custodia!$A$2:$A$301,0)),"NÃO"))</f>
        <v/>
      </c>
      <c r="D21" s="12">
        <f>IF(A21="","",COUNTIFS(Log_Testes!$B$2:$B$301,A21,Log_Testes!$C$2:$C$301,"F4*"))</f>
        <v/>
      </c>
      <c r="E21" s="12">
        <f>IF(A21="","",COUNTIFS(Log_Testes!$B$2:$B$301,A21,Log_Testes!$C$2:$C$301,"F5*"))</f>
        <v/>
      </c>
      <c r="F21" s="12">
        <f>IF(A21="","",COUNTIFS(Log_Testes!$B$2:$B$301,A21,Log_Testes!$A$2:$A$301,"&lt;&gt;",Log_Testes!$M$2:$M$301,""))</f>
        <v/>
      </c>
      <c r="G21" s="12">
        <f>IF(A21="","",COUNTIFS(Log_Testes!$B$2:$B$301,A21,Log_Testes!$N$2:$N$301,"DIVERGE*"))</f>
        <v/>
      </c>
      <c r="H21" s="12">
        <f>IF(A21="","",COUNTIFS(Divergencias!$B$2:$B$301,A21,Divergencias!$Q$2:$Q$301,"Sim"))</f>
        <v/>
      </c>
      <c r="I21" s="12">
        <f>IF(A21="","",COUNTIFS(Divergencias!$B$2:$B$301,A21,Divergencias!$Q$2:$Q$301,"Sim",Divergencias!$M$2:$M$301,"Alta"))</f>
        <v/>
      </c>
      <c r="J21" s="12">
        <f>IF(A21="","",COUNTIFS(Red_Team!$B$2:$B$301,A21,Red_Team!$I$2:$I$301,"Aberta"))</f>
        <v/>
      </c>
      <c r="K21" s="12">
        <f>IF(A21="","",IFERROR(INDEX(Atas_Comite!$D$2:$D$301,MATCH(A21,Atas_Comite!$P$2:$P$301,0)),"sem ata"))</f>
        <v/>
      </c>
      <c r="L21" s="12">
        <f>IF(A21="","",IFERROR(INDEX(Atas_Comite!$O$2:$O$301,MATCH(A21,Atas_Comite!$P$2:$P$301,0)),"—"))</f>
        <v/>
      </c>
      <c r="M21" s="12">
        <f>IF(A21="","",IFERROR(INDEX(Contraditorio!$M$2:$M$301,MATCH(A21,Contraditorio!$N$2:$N$301,0)),"não enviado"))</f>
        <v/>
      </c>
      <c r="N21" s="12">
        <f>IF(A21="","",IF(AND(C21="Sim",OR(D21&gt;0,LEFT(O21,1)="C"),F21=0,G21=0,J21=0,L21="Sim",OR(M21="Respondido",M21="Prazo encerrado – sem resposta")),"SIM → revisão jurídica","Não"))</f>
        <v/>
      </c>
      <c r="O21" s="12">
        <f>IF(A21="","",IFERROR(INDEX(Custodia!$U$2:$U$301,MATCH(A21,Custodia!$A$2:$A$301,0)),"—"))</f>
        <v/>
      </c>
    </row>
    <row r="22">
      <c r="A22" s="13" t="n"/>
      <c r="B22" s="12">
        <f>IF(A22="","",IFERROR(INDEX(Custodia!$C$2:$C$301,MATCH(A22,Custodia!$A$2:$A$301,0)),"não custodiado"))</f>
        <v/>
      </c>
      <c r="C22" s="12">
        <f>IF(A22="","",IFERROR(INDEX(Custodia!$S$2:$S$301,MATCH(A22,Custodia!$A$2:$A$301,0)),"NÃO"))</f>
        <v/>
      </c>
      <c r="D22" s="12">
        <f>IF(A22="","",COUNTIFS(Log_Testes!$B$2:$B$301,A22,Log_Testes!$C$2:$C$301,"F4*"))</f>
        <v/>
      </c>
      <c r="E22" s="12">
        <f>IF(A22="","",COUNTIFS(Log_Testes!$B$2:$B$301,A22,Log_Testes!$C$2:$C$301,"F5*"))</f>
        <v/>
      </c>
      <c r="F22" s="12">
        <f>IF(A22="","",COUNTIFS(Log_Testes!$B$2:$B$301,A22,Log_Testes!$A$2:$A$301,"&lt;&gt;",Log_Testes!$M$2:$M$301,""))</f>
        <v/>
      </c>
      <c r="G22" s="12">
        <f>IF(A22="","",COUNTIFS(Log_Testes!$B$2:$B$301,A22,Log_Testes!$N$2:$N$301,"DIVERGE*"))</f>
        <v/>
      </c>
      <c r="H22" s="12">
        <f>IF(A22="","",COUNTIFS(Divergencias!$B$2:$B$301,A22,Divergencias!$Q$2:$Q$301,"Sim"))</f>
        <v/>
      </c>
      <c r="I22" s="12">
        <f>IF(A22="","",COUNTIFS(Divergencias!$B$2:$B$301,A22,Divergencias!$Q$2:$Q$301,"Sim",Divergencias!$M$2:$M$301,"Alta"))</f>
        <v/>
      </c>
      <c r="J22" s="12">
        <f>IF(A22="","",COUNTIFS(Red_Team!$B$2:$B$301,A22,Red_Team!$I$2:$I$301,"Aberta"))</f>
        <v/>
      </c>
      <c r="K22" s="12">
        <f>IF(A22="","",IFERROR(INDEX(Atas_Comite!$D$2:$D$301,MATCH(A22,Atas_Comite!$P$2:$P$301,0)),"sem ata"))</f>
        <v/>
      </c>
      <c r="L22" s="12">
        <f>IF(A22="","",IFERROR(INDEX(Atas_Comite!$O$2:$O$301,MATCH(A22,Atas_Comite!$P$2:$P$301,0)),"—"))</f>
        <v/>
      </c>
      <c r="M22" s="12">
        <f>IF(A22="","",IFERROR(INDEX(Contraditorio!$M$2:$M$301,MATCH(A22,Contraditorio!$N$2:$N$301,0)),"não enviado"))</f>
        <v/>
      </c>
      <c r="N22" s="12">
        <f>IF(A22="","",IF(AND(C22="Sim",OR(D22&gt;0,LEFT(O22,1)="C"),F22=0,G22=0,J22=0,L22="Sim",OR(M22="Respondido",M22="Prazo encerrado – sem resposta")),"SIM → revisão jurídica","Não"))</f>
        <v/>
      </c>
      <c r="O22" s="12">
        <f>IF(A22="","",IFERROR(INDEX(Custodia!$U$2:$U$301,MATCH(A22,Custodia!$A$2:$A$301,0)),"—"))</f>
        <v/>
      </c>
    </row>
    <row r="23">
      <c r="A23" s="13" t="n"/>
      <c r="B23" s="12">
        <f>IF(A23="","",IFERROR(INDEX(Custodia!$C$2:$C$301,MATCH(A23,Custodia!$A$2:$A$301,0)),"não custodiado"))</f>
        <v/>
      </c>
      <c r="C23" s="12">
        <f>IF(A23="","",IFERROR(INDEX(Custodia!$S$2:$S$301,MATCH(A23,Custodia!$A$2:$A$301,0)),"NÃO"))</f>
        <v/>
      </c>
      <c r="D23" s="12">
        <f>IF(A23="","",COUNTIFS(Log_Testes!$B$2:$B$301,A23,Log_Testes!$C$2:$C$301,"F4*"))</f>
        <v/>
      </c>
      <c r="E23" s="12">
        <f>IF(A23="","",COUNTIFS(Log_Testes!$B$2:$B$301,A23,Log_Testes!$C$2:$C$301,"F5*"))</f>
        <v/>
      </c>
      <c r="F23" s="12">
        <f>IF(A23="","",COUNTIFS(Log_Testes!$B$2:$B$301,A23,Log_Testes!$A$2:$A$301,"&lt;&gt;",Log_Testes!$M$2:$M$301,""))</f>
        <v/>
      </c>
      <c r="G23" s="12">
        <f>IF(A23="","",COUNTIFS(Log_Testes!$B$2:$B$301,A23,Log_Testes!$N$2:$N$301,"DIVERGE*"))</f>
        <v/>
      </c>
      <c r="H23" s="12">
        <f>IF(A23="","",COUNTIFS(Divergencias!$B$2:$B$301,A23,Divergencias!$Q$2:$Q$301,"Sim"))</f>
        <v/>
      </c>
      <c r="I23" s="12">
        <f>IF(A23="","",COUNTIFS(Divergencias!$B$2:$B$301,A23,Divergencias!$Q$2:$Q$301,"Sim",Divergencias!$M$2:$M$301,"Alta"))</f>
        <v/>
      </c>
      <c r="J23" s="12">
        <f>IF(A23="","",COUNTIFS(Red_Team!$B$2:$B$301,A23,Red_Team!$I$2:$I$301,"Aberta"))</f>
        <v/>
      </c>
      <c r="K23" s="12">
        <f>IF(A23="","",IFERROR(INDEX(Atas_Comite!$D$2:$D$301,MATCH(A23,Atas_Comite!$P$2:$P$301,0)),"sem ata"))</f>
        <v/>
      </c>
      <c r="L23" s="12">
        <f>IF(A23="","",IFERROR(INDEX(Atas_Comite!$O$2:$O$301,MATCH(A23,Atas_Comite!$P$2:$P$301,0)),"—"))</f>
        <v/>
      </c>
      <c r="M23" s="12">
        <f>IF(A23="","",IFERROR(INDEX(Contraditorio!$M$2:$M$301,MATCH(A23,Contraditorio!$N$2:$N$301,0)),"não enviado"))</f>
        <v/>
      </c>
      <c r="N23" s="12">
        <f>IF(A23="","",IF(AND(C23="Sim",OR(D23&gt;0,LEFT(O23,1)="C"),F23=0,G23=0,J23=0,L23="Sim",OR(M23="Respondido",M23="Prazo encerrado – sem resposta")),"SIM → revisão jurídica","Não"))</f>
        <v/>
      </c>
      <c r="O23" s="12">
        <f>IF(A23="","",IFERROR(INDEX(Custodia!$U$2:$U$301,MATCH(A23,Custodia!$A$2:$A$301,0)),"—"))</f>
        <v/>
      </c>
    </row>
    <row r="24">
      <c r="A24" s="13" t="n"/>
      <c r="B24" s="12">
        <f>IF(A24="","",IFERROR(INDEX(Custodia!$C$2:$C$301,MATCH(A24,Custodia!$A$2:$A$301,0)),"não custodiado"))</f>
        <v/>
      </c>
      <c r="C24" s="12">
        <f>IF(A24="","",IFERROR(INDEX(Custodia!$S$2:$S$301,MATCH(A24,Custodia!$A$2:$A$301,0)),"NÃO"))</f>
        <v/>
      </c>
      <c r="D24" s="12">
        <f>IF(A24="","",COUNTIFS(Log_Testes!$B$2:$B$301,A24,Log_Testes!$C$2:$C$301,"F4*"))</f>
        <v/>
      </c>
      <c r="E24" s="12">
        <f>IF(A24="","",COUNTIFS(Log_Testes!$B$2:$B$301,A24,Log_Testes!$C$2:$C$301,"F5*"))</f>
        <v/>
      </c>
      <c r="F24" s="12">
        <f>IF(A24="","",COUNTIFS(Log_Testes!$B$2:$B$301,A24,Log_Testes!$A$2:$A$301,"&lt;&gt;",Log_Testes!$M$2:$M$301,""))</f>
        <v/>
      </c>
      <c r="G24" s="12">
        <f>IF(A24="","",COUNTIFS(Log_Testes!$B$2:$B$301,A24,Log_Testes!$N$2:$N$301,"DIVERGE*"))</f>
        <v/>
      </c>
      <c r="H24" s="12">
        <f>IF(A24="","",COUNTIFS(Divergencias!$B$2:$B$301,A24,Divergencias!$Q$2:$Q$301,"Sim"))</f>
        <v/>
      </c>
      <c r="I24" s="12">
        <f>IF(A24="","",COUNTIFS(Divergencias!$B$2:$B$301,A24,Divergencias!$Q$2:$Q$301,"Sim",Divergencias!$M$2:$M$301,"Alta"))</f>
        <v/>
      </c>
      <c r="J24" s="12">
        <f>IF(A24="","",COUNTIFS(Red_Team!$B$2:$B$301,A24,Red_Team!$I$2:$I$301,"Aberta"))</f>
        <v/>
      </c>
      <c r="K24" s="12">
        <f>IF(A24="","",IFERROR(INDEX(Atas_Comite!$D$2:$D$301,MATCH(A24,Atas_Comite!$P$2:$P$301,0)),"sem ata"))</f>
        <v/>
      </c>
      <c r="L24" s="12">
        <f>IF(A24="","",IFERROR(INDEX(Atas_Comite!$O$2:$O$301,MATCH(A24,Atas_Comite!$P$2:$P$301,0)),"—"))</f>
        <v/>
      </c>
      <c r="M24" s="12">
        <f>IF(A24="","",IFERROR(INDEX(Contraditorio!$M$2:$M$301,MATCH(A24,Contraditorio!$N$2:$N$301,0)),"não enviado"))</f>
        <v/>
      </c>
      <c r="N24" s="12">
        <f>IF(A24="","",IF(AND(C24="Sim",OR(D24&gt;0,LEFT(O24,1)="C"),F24=0,G24=0,J24=0,L24="Sim",OR(M24="Respondido",M24="Prazo encerrado – sem resposta")),"SIM → revisão jurídica","Não"))</f>
        <v/>
      </c>
      <c r="O24" s="12">
        <f>IF(A24="","",IFERROR(INDEX(Custodia!$U$2:$U$301,MATCH(A24,Custodia!$A$2:$A$301,0)),"—"))</f>
        <v/>
      </c>
    </row>
    <row r="25">
      <c r="A25" s="13" t="n"/>
      <c r="B25" s="12">
        <f>IF(A25="","",IFERROR(INDEX(Custodia!$C$2:$C$301,MATCH(A25,Custodia!$A$2:$A$301,0)),"não custodiado"))</f>
        <v/>
      </c>
      <c r="C25" s="12">
        <f>IF(A25="","",IFERROR(INDEX(Custodia!$S$2:$S$301,MATCH(A25,Custodia!$A$2:$A$301,0)),"NÃO"))</f>
        <v/>
      </c>
      <c r="D25" s="12">
        <f>IF(A25="","",COUNTIFS(Log_Testes!$B$2:$B$301,A25,Log_Testes!$C$2:$C$301,"F4*"))</f>
        <v/>
      </c>
      <c r="E25" s="12">
        <f>IF(A25="","",COUNTIFS(Log_Testes!$B$2:$B$301,A25,Log_Testes!$C$2:$C$301,"F5*"))</f>
        <v/>
      </c>
      <c r="F25" s="12">
        <f>IF(A25="","",COUNTIFS(Log_Testes!$B$2:$B$301,A25,Log_Testes!$A$2:$A$301,"&lt;&gt;",Log_Testes!$M$2:$M$301,""))</f>
        <v/>
      </c>
      <c r="G25" s="12">
        <f>IF(A25="","",COUNTIFS(Log_Testes!$B$2:$B$301,A25,Log_Testes!$N$2:$N$301,"DIVERGE*"))</f>
        <v/>
      </c>
      <c r="H25" s="12">
        <f>IF(A25="","",COUNTIFS(Divergencias!$B$2:$B$301,A25,Divergencias!$Q$2:$Q$301,"Sim"))</f>
        <v/>
      </c>
      <c r="I25" s="12">
        <f>IF(A25="","",COUNTIFS(Divergencias!$B$2:$B$301,A25,Divergencias!$Q$2:$Q$301,"Sim",Divergencias!$M$2:$M$301,"Alta"))</f>
        <v/>
      </c>
      <c r="J25" s="12">
        <f>IF(A25="","",COUNTIFS(Red_Team!$B$2:$B$301,A25,Red_Team!$I$2:$I$301,"Aberta"))</f>
        <v/>
      </c>
      <c r="K25" s="12">
        <f>IF(A25="","",IFERROR(INDEX(Atas_Comite!$D$2:$D$301,MATCH(A25,Atas_Comite!$P$2:$P$301,0)),"sem ata"))</f>
        <v/>
      </c>
      <c r="L25" s="12">
        <f>IF(A25="","",IFERROR(INDEX(Atas_Comite!$O$2:$O$301,MATCH(A25,Atas_Comite!$P$2:$P$301,0)),"—"))</f>
        <v/>
      </c>
      <c r="M25" s="12">
        <f>IF(A25="","",IFERROR(INDEX(Contraditorio!$M$2:$M$301,MATCH(A25,Contraditorio!$N$2:$N$301,0)),"não enviado"))</f>
        <v/>
      </c>
      <c r="N25" s="12">
        <f>IF(A25="","",IF(AND(C25="Sim",OR(D25&gt;0,LEFT(O25,1)="C"),F25=0,G25=0,J25=0,L25="Sim",OR(M25="Respondido",M25="Prazo encerrado – sem resposta")),"SIM → revisão jurídica","Não"))</f>
        <v/>
      </c>
      <c r="O25" s="12">
        <f>IF(A25="","",IFERROR(INDEX(Custodia!$U$2:$U$301,MATCH(A25,Custodia!$A$2:$A$301,0)),"—"))</f>
        <v/>
      </c>
    </row>
    <row r="26">
      <c r="A26" s="13" t="n"/>
      <c r="B26" s="12">
        <f>IF(A26="","",IFERROR(INDEX(Custodia!$C$2:$C$301,MATCH(A26,Custodia!$A$2:$A$301,0)),"não custodiado"))</f>
        <v/>
      </c>
      <c r="C26" s="12">
        <f>IF(A26="","",IFERROR(INDEX(Custodia!$S$2:$S$301,MATCH(A26,Custodia!$A$2:$A$301,0)),"NÃO"))</f>
        <v/>
      </c>
      <c r="D26" s="12">
        <f>IF(A26="","",COUNTIFS(Log_Testes!$B$2:$B$301,A26,Log_Testes!$C$2:$C$301,"F4*"))</f>
        <v/>
      </c>
      <c r="E26" s="12">
        <f>IF(A26="","",COUNTIFS(Log_Testes!$B$2:$B$301,A26,Log_Testes!$C$2:$C$301,"F5*"))</f>
        <v/>
      </c>
      <c r="F26" s="12">
        <f>IF(A26="","",COUNTIFS(Log_Testes!$B$2:$B$301,A26,Log_Testes!$A$2:$A$301,"&lt;&gt;",Log_Testes!$M$2:$M$301,""))</f>
        <v/>
      </c>
      <c r="G26" s="12">
        <f>IF(A26="","",COUNTIFS(Log_Testes!$B$2:$B$301,A26,Log_Testes!$N$2:$N$301,"DIVERGE*"))</f>
        <v/>
      </c>
      <c r="H26" s="12">
        <f>IF(A26="","",COUNTIFS(Divergencias!$B$2:$B$301,A26,Divergencias!$Q$2:$Q$301,"Sim"))</f>
        <v/>
      </c>
      <c r="I26" s="12">
        <f>IF(A26="","",COUNTIFS(Divergencias!$B$2:$B$301,A26,Divergencias!$Q$2:$Q$301,"Sim",Divergencias!$M$2:$M$301,"Alta"))</f>
        <v/>
      </c>
      <c r="J26" s="12">
        <f>IF(A26="","",COUNTIFS(Red_Team!$B$2:$B$301,A26,Red_Team!$I$2:$I$301,"Aberta"))</f>
        <v/>
      </c>
      <c r="K26" s="12">
        <f>IF(A26="","",IFERROR(INDEX(Atas_Comite!$D$2:$D$301,MATCH(A26,Atas_Comite!$P$2:$P$301,0)),"sem ata"))</f>
        <v/>
      </c>
      <c r="L26" s="12">
        <f>IF(A26="","",IFERROR(INDEX(Atas_Comite!$O$2:$O$301,MATCH(A26,Atas_Comite!$P$2:$P$301,0)),"—"))</f>
        <v/>
      </c>
      <c r="M26" s="12">
        <f>IF(A26="","",IFERROR(INDEX(Contraditorio!$M$2:$M$301,MATCH(A26,Contraditorio!$N$2:$N$301,0)),"não enviado"))</f>
        <v/>
      </c>
      <c r="N26" s="12">
        <f>IF(A26="","",IF(AND(C26="Sim",OR(D26&gt;0,LEFT(O26,1)="C"),F26=0,G26=0,J26=0,L26="Sim",OR(M26="Respondido",M26="Prazo encerrado – sem resposta")),"SIM → revisão jurídica","Não"))</f>
        <v/>
      </c>
      <c r="O26" s="12">
        <f>IF(A26="","",IFERROR(INDEX(Custodia!$U$2:$U$301,MATCH(A26,Custodia!$A$2:$A$301,0)),"—"))</f>
        <v/>
      </c>
    </row>
    <row r="27">
      <c r="A27" s="13" t="n"/>
      <c r="B27" s="12">
        <f>IF(A27="","",IFERROR(INDEX(Custodia!$C$2:$C$301,MATCH(A27,Custodia!$A$2:$A$301,0)),"não custodiado"))</f>
        <v/>
      </c>
      <c r="C27" s="12">
        <f>IF(A27="","",IFERROR(INDEX(Custodia!$S$2:$S$301,MATCH(A27,Custodia!$A$2:$A$301,0)),"NÃO"))</f>
        <v/>
      </c>
      <c r="D27" s="12">
        <f>IF(A27="","",COUNTIFS(Log_Testes!$B$2:$B$301,A27,Log_Testes!$C$2:$C$301,"F4*"))</f>
        <v/>
      </c>
      <c r="E27" s="12">
        <f>IF(A27="","",COUNTIFS(Log_Testes!$B$2:$B$301,A27,Log_Testes!$C$2:$C$301,"F5*"))</f>
        <v/>
      </c>
      <c r="F27" s="12">
        <f>IF(A27="","",COUNTIFS(Log_Testes!$B$2:$B$301,A27,Log_Testes!$A$2:$A$301,"&lt;&gt;",Log_Testes!$M$2:$M$301,""))</f>
        <v/>
      </c>
      <c r="G27" s="12">
        <f>IF(A27="","",COUNTIFS(Log_Testes!$B$2:$B$301,A27,Log_Testes!$N$2:$N$301,"DIVERGE*"))</f>
        <v/>
      </c>
      <c r="H27" s="12">
        <f>IF(A27="","",COUNTIFS(Divergencias!$B$2:$B$301,A27,Divergencias!$Q$2:$Q$301,"Sim"))</f>
        <v/>
      </c>
      <c r="I27" s="12">
        <f>IF(A27="","",COUNTIFS(Divergencias!$B$2:$B$301,A27,Divergencias!$Q$2:$Q$301,"Sim",Divergencias!$M$2:$M$301,"Alta"))</f>
        <v/>
      </c>
      <c r="J27" s="12">
        <f>IF(A27="","",COUNTIFS(Red_Team!$B$2:$B$301,A27,Red_Team!$I$2:$I$301,"Aberta"))</f>
        <v/>
      </c>
      <c r="K27" s="12">
        <f>IF(A27="","",IFERROR(INDEX(Atas_Comite!$D$2:$D$301,MATCH(A27,Atas_Comite!$P$2:$P$301,0)),"sem ata"))</f>
        <v/>
      </c>
      <c r="L27" s="12">
        <f>IF(A27="","",IFERROR(INDEX(Atas_Comite!$O$2:$O$301,MATCH(A27,Atas_Comite!$P$2:$P$301,0)),"—"))</f>
        <v/>
      </c>
      <c r="M27" s="12">
        <f>IF(A27="","",IFERROR(INDEX(Contraditorio!$M$2:$M$301,MATCH(A27,Contraditorio!$N$2:$N$301,0)),"não enviado"))</f>
        <v/>
      </c>
      <c r="N27" s="12">
        <f>IF(A27="","",IF(AND(C27="Sim",OR(D27&gt;0,LEFT(O27,1)="C"),F27=0,G27=0,J27=0,L27="Sim",OR(M27="Respondido",M27="Prazo encerrado – sem resposta")),"SIM → revisão jurídica","Não"))</f>
        <v/>
      </c>
      <c r="O27" s="12">
        <f>IF(A27="","",IFERROR(INDEX(Custodia!$U$2:$U$301,MATCH(A27,Custodia!$A$2:$A$301,0)),"—"))</f>
        <v/>
      </c>
    </row>
    <row r="28">
      <c r="A28" s="13" t="n"/>
      <c r="B28" s="12">
        <f>IF(A28="","",IFERROR(INDEX(Custodia!$C$2:$C$301,MATCH(A28,Custodia!$A$2:$A$301,0)),"não custodiado"))</f>
        <v/>
      </c>
      <c r="C28" s="12">
        <f>IF(A28="","",IFERROR(INDEX(Custodia!$S$2:$S$301,MATCH(A28,Custodia!$A$2:$A$301,0)),"NÃO"))</f>
        <v/>
      </c>
      <c r="D28" s="12">
        <f>IF(A28="","",COUNTIFS(Log_Testes!$B$2:$B$301,A28,Log_Testes!$C$2:$C$301,"F4*"))</f>
        <v/>
      </c>
      <c r="E28" s="12">
        <f>IF(A28="","",COUNTIFS(Log_Testes!$B$2:$B$301,A28,Log_Testes!$C$2:$C$301,"F5*"))</f>
        <v/>
      </c>
      <c r="F28" s="12">
        <f>IF(A28="","",COUNTIFS(Log_Testes!$B$2:$B$301,A28,Log_Testes!$A$2:$A$301,"&lt;&gt;",Log_Testes!$M$2:$M$301,""))</f>
        <v/>
      </c>
      <c r="G28" s="12">
        <f>IF(A28="","",COUNTIFS(Log_Testes!$B$2:$B$301,A28,Log_Testes!$N$2:$N$301,"DIVERGE*"))</f>
        <v/>
      </c>
      <c r="H28" s="12">
        <f>IF(A28="","",COUNTIFS(Divergencias!$B$2:$B$301,A28,Divergencias!$Q$2:$Q$301,"Sim"))</f>
        <v/>
      </c>
      <c r="I28" s="12">
        <f>IF(A28="","",COUNTIFS(Divergencias!$B$2:$B$301,A28,Divergencias!$Q$2:$Q$301,"Sim",Divergencias!$M$2:$M$301,"Alta"))</f>
        <v/>
      </c>
      <c r="J28" s="12">
        <f>IF(A28="","",COUNTIFS(Red_Team!$B$2:$B$301,A28,Red_Team!$I$2:$I$301,"Aberta"))</f>
        <v/>
      </c>
      <c r="K28" s="12">
        <f>IF(A28="","",IFERROR(INDEX(Atas_Comite!$D$2:$D$301,MATCH(A28,Atas_Comite!$P$2:$P$301,0)),"sem ata"))</f>
        <v/>
      </c>
      <c r="L28" s="12">
        <f>IF(A28="","",IFERROR(INDEX(Atas_Comite!$O$2:$O$301,MATCH(A28,Atas_Comite!$P$2:$P$301,0)),"—"))</f>
        <v/>
      </c>
      <c r="M28" s="12">
        <f>IF(A28="","",IFERROR(INDEX(Contraditorio!$M$2:$M$301,MATCH(A28,Contraditorio!$N$2:$N$301,0)),"não enviado"))</f>
        <v/>
      </c>
      <c r="N28" s="12">
        <f>IF(A28="","",IF(AND(C28="Sim",OR(D28&gt;0,LEFT(O28,1)="C"),F28=0,G28=0,J28=0,L28="Sim",OR(M28="Respondido",M28="Prazo encerrado – sem resposta")),"SIM → revisão jurídica","Não"))</f>
        <v/>
      </c>
      <c r="O28" s="12">
        <f>IF(A28="","",IFERROR(INDEX(Custodia!$U$2:$U$301,MATCH(A28,Custodia!$A$2:$A$301,0)),"—"))</f>
        <v/>
      </c>
    </row>
    <row r="29">
      <c r="A29" s="13" t="n"/>
      <c r="B29" s="12">
        <f>IF(A29="","",IFERROR(INDEX(Custodia!$C$2:$C$301,MATCH(A29,Custodia!$A$2:$A$301,0)),"não custodiado"))</f>
        <v/>
      </c>
      <c r="C29" s="12">
        <f>IF(A29="","",IFERROR(INDEX(Custodia!$S$2:$S$301,MATCH(A29,Custodia!$A$2:$A$301,0)),"NÃO"))</f>
        <v/>
      </c>
      <c r="D29" s="12">
        <f>IF(A29="","",COUNTIFS(Log_Testes!$B$2:$B$301,A29,Log_Testes!$C$2:$C$301,"F4*"))</f>
        <v/>
      </c>
      <c r="E29" s="12">
        <f>IF(A29="","",COUNTIFS(Log_Testes!$B$2:$B$301,A29,Log_Testes!$C$2:$C$301,"F5*"))</f>
        <v/>
      </c>
      <c r="F29" s="12">
        <f>IF(A29="","",COUNTIFS(Log_Testes!$B$2:$B$301,A29,Log_Testes!$A$2:$A$301,"&lt;&gt;",Log_Testes!$M$2:$M$301,""))</f>
        <v/>
      </c>
      <c r="G29" s="12">
        <f>IF(A29="","",COUNTIFS(Log_Testes!$B$2:$B$301,A29,Log_Testes!$N$2:$N$301,"DIVERGE*"))</f>
        <v/>
      </c>
      <c r="H29" s="12">
        <f>IF(A29="","",COUNTIFS(Divergencias!$B$2:$B$301,A29,Divergencias!$Q$2:$Q$301,"Sim"))</f>
        <v/>
      </c>
      <c r="I29" s="12">
        <f>IF(A29="","",COUNTIFS(Divergencias!$B$2:$B$301,A29,Divergencias!$Q$2:$Q$301,"Sim",Divergencias!$M$2:$M$301,"Alta"))</f>
        <v/>
      </c>
      <c r="J29" s="12">
        <f>IF(A29="","",COUNTIFS(Red_Team!$B$2:$B$301,A29,Red_Team!$I$2:$I$301,"Aberta"))</f>
        <v/>
      </c>
      <c r="K29" s="12">
        <f>IF(A29="","",IFERROR(INDEX(Atas_Comite!$D$2:$D$301,MATCH(A29,Atas_Comite!$P$2:$P$301,0)),"sem ata"))</f>
        <v/>
      </c>
      <c r="L29" s="12">
        <f>IF(A29="","",IFERROR(INDEX(Atas_Comite!$O$2:$O$301,MATCH(A29,Atas_Comite!$P$2:$P$301,0)),"—"))</f>
        <v/>
      </c>
      <c r="M29" s="12">
        <f>IF(A29="","",IFERROR(INDEX(Contraditorio!$M$2:$M$301,MATCH(A29,Contraditorio!$N$2:$N$301,0)),"não enviado"))</f>
        <v/>
      </c>
      <c r="N29" s="12">
        <f>IF(A29="","",IF(AND(C29="Sim",OR(D29&gt;0,LEFT(O29,1)="C"),F29=0,G29=0,J29=0,L29="Sim",OR(M29="Respondido",M29="Prazo encerrado – sem resposta")),"SIM → revisão jurídica","Não"))</f>
        <v/>
      </c>
      <c r="O29" s="12">
        <f>IF(A29="","",IFERROR(INDEX(Custodia!$U$2:$U$301,MATCH(A29,Custodia!$A$2:$A$301,0)),"—"))</f>
        <v/>
      </c>
    </row>
    <row r="30">
      <c r="A30" s="13" t="n"/>
      <c r="B30" s="12">
        <f>IF(A30="","",IFERROR(INDEX(Custodia!$C$2:$C$301,MATCH(A30,Custodia!$A$2:$A$301,0)),"não custodiado"))</f>
        <v/>
      </c>
      <c r="C30" s="12">
        <f>IF(A30="","",IFERROR(INDEX(Custodia!$S$2:$S$301,MATCH(A30,Custodia!$A$2:$A$301,0)),"NÃO"))</f>
        <v/>
      </c>
      <c r="D30" s="12">
        <f>IF(A30="","",COUNTIFS(Log_Testes!$B$2:$B$301,A30,Log_Testes!$C$2:$C$301,"F4*"))</f>
        <v/>
      </c>
      <c r="E30" s="12">
        <f>IF(A30="","",COUNTIFS(Log_Testes!$B$2:$B$301,A30,Log_Testes!$C$2:$C$301,"F5*"))</f>
        <v/>
      </c>
      <c r="F30" s="12">
        <f>IF(A30="","",COUNTIFS(Log_Testes!$B$2:$B$301,A30,Log_Testes!$A$2:$A$301,"&lt;&gt;",Log_Testes!$M$2:$M$301,""))</f>
        <v/>
      </c>
      <c r="G30" s="12">
        <f>IF(A30="","",COUNTIFS(Log_Testes!$B$2:$B$301,A30,Log_Testes!$N$2:$N$301,"DIVERGE*"))</f>
        <v/>
      </c>
      <c r="H30" s="12">
        <f>IF(A30="","",COUNTIFS(Divergencias!$B$2:$B$301,A30,Divergencias!$Q$2:$Q$301,"Sim"))</f>
        <v/>
      </c>
      <c r="I30" s="12">
        <f>IF(A30="","",COUNTIFS(Divergencias!$B$2:$B$301,A30,Divergencias!$Q$2:$Q$301,"Sim",Divergencias!$M$2:$M$301,"Alta"))</f>
        <v/>
      </c>
      <c r="J30" s="12">
        <f>IF(A30="","",COUNTIFS(Red_Team!$B$2:$B$301,A30,Red_Team!$I$2:$I$301,"Aberta"))</f>
        <v/>
      </c>
      <c r="K30" s="12">
        <f>IF(A30="","",IFERROR(INDEX(Atas_Comite!$D$2:$D$301,MATCH(A30,Atas_Comite!$P$2:$P$301,0)),"sem ata"))</f>
        <v/>
      </c>
      <c r="L30" s="12">
        <f>IF(A30="","",IFERROR(INDEX(Atas_Comite!$O$2:$O$301,MATCH(A30,Atas_Comite!$P$2:$P$301,0)),"—"))</f>
        <v/>
      </c>
      <c r="M30" s="12">
        <f>IF(A30="","",IFERROR(INDEX(Contraditorio!$M$2:$M$301,MATCH(A30,Contraditorio!$N$2:$N$301,0)),"não enviado"))</f>
        <v/>
      </c>
      <c r="N30" s="12">
        <f>IF(A30="","",IF(AND(C30="Sim",OR(D30&gt;0,LEFT(O30,1)="C"),F30=0,G30=0,J30=0,L30="Sim",OR(M30="Respondido",M30="Prazo encerrado – sem resposta")),"SIM → revisão jurídica","Não"))</f>
        <v/>
      </c>
      <c r="O30" s="12">
        <f>IF(A30="","",IFERROR(INDEX(Custodia!$U$2:$U$301,MATCH(A30,Custodia!$A$2:$A$301,0)),"—"))</f>
        <v/>
      </c>
    </row>
    <row r="31">
      <c r="A31" s="13" t="n"/>
      <c r="B31" s="12">
        <f>IF(A31="","",IFERROR(INDEX(Custodia!$C$2:$C$301,MATCH(A31,Custodia!$A$2:$A$301,0)),"não custodiado"))</f>
        <v/>
      </c>
      <c r="C31" s="12">
        <f>IF(A31="","",IFERROR(INDEX(Custodia!$S$2:$S$301,MATCH(A31,Custodia!$A$2:$A$301,0)),"NÃO"))</f>
        <v/>
      </c>
      <c r="D31" s="12">
        <f>IF(A31="","",COUNTIFS(Log_Testes!$B$2:$B$301,A31,Log_Testes!$C$2:$C$301,"F4*"))</f>
        <v/>
      </c>
      <c r="E31" s="12">
        <f>IF(A31="","",COUNTIFS(Log_Testes!$B$2:$B$301,A31,Log_Testes!$C$2:$C$301,"F5*"))</f>
        <v/>
      </c>
      <c r="F31" s="12">
        <f>IF(A31="","",COUNTIFS(Log_Testes!$B$2:$B$301,A31,Log_Testes!$A$2:$A$301,"&lt;&gt;",Log_Testes!$M$2:$M$301,""))</f>
        <v/>
      </c>
      <c r="G31" s="12">
        <f>IF(A31="","",COUNTIFS(Log_Testes!$B$2:$B$301,A31,Log_Testes!$N$2:$N$301,"DIVERGE*"))</f>
        <v/>
      </c>
      <c r="H31" s="12">
        <f>IF(A31="","",COUNTIFS(Divergencias!$B$2:$B$301,A31,Divergencias!$Q$2:$Q$301,"Sim"))</f>
        <v/>
      </c>
      <c r="I31" s="12">
        <f>IF(A31="","",COUNTIFS(Divergencias!$B$2:$B$301,A31,Divergencias!$Q$2:$Q$301,"Sim",Divergencias!$M$2:$M$301,"Alta"))</f>
        <v/>
      </c>
      <c r="J31" s="12">
        <f>IF(A31="","",COUNTIFS(Red_Team!$B$2:$B$301,A31,Red_Team!$I$2:$I$301,"Aberta"))</f>
        <v/>
      </c>
      <c r="K31" s="12">
        <f>IF(A31="","",IFERROR(INDEX(Atas_Comite!$D$2:$D$301,MATCH(A31,Atas_Comite!$P$2:$P$301,0)),"sem ata"))</f>
        <v/>
      </c>
      <c r="L31" s="12">
        <f>IF(A31="","",IFERROR(INDEX(Atas_Comite!$O$2:$O$301,MATCH(A31,Atas_Comite!$P$2:$P$301,0)),"—"))</f>
        <v/>
      </c>
      <c r="M31" s="12">
        <f>IF(A31="","",IFERROR(INDEX(Contraditorio!$M$2:$M$301,MATCH(A31,Contraditorio!$N$2:$N$301,0)),"não enviado"))</f>
        <v/>
      </c>
      <c r="N31" s="12">
        <f>IF(A31="","",IF(AND(C31="Sim",OR(D31&gt;0,LEFT(O31,1)="C"),F31=0,G31=0,J31=0,L31="Sim",OR(M31="Respondido",M31="Prazo encerrado – sem resposta")),"SIM → revisão jurídica","Não"))</f>
        <v/>
      </c>
      <c r="O31" s="12">
        <f>IF(A31="","",IFERROR(INDEX(Custodia!$U$2:$U$301,MATCH(A31,Custodia!$A$2:$A$301,0)),"—"))</f>
        <v/>
      </c>
    </row>
    <row r="32">
      <c r="A32" s="13" t="n"/>
      <c r="B32" s="12">
        <f>IF(A32="","",IFERROR(INDEX(Custodia!$C$2:$C$301,MATCH(A32,Custodia!$A$2:$A$301,0)),"não custodiado"))</f>
        <v/>
      </c>
      <c r="C32" s="12">
        <f>IF(A32="","",IFERROR(INDEX(Custodia!$S$2:$S$301,MATCH(A32,Custodia!$A$2:$A$301,0)),"NÃO"))</f>
        <v/>
      </c>
      <c r="D32" s="12">
        <f>IF(A32="","",COUNTIFS(Log_Testes!$B$2:$B$301,A32,Log_Testes!$C$2:$C$301,"F4*"))</f>
        <v/>
      </c>
      <c r="E32" s="12">
        <f>IF(A32="","",COUNTIFS(Log_Testes!$B$2:$B$301,A32,Log_Testes!$C$2:$C$301,"F5*"))</f>
        <v/>
      </c>
      <c r="F32" s="12">
        <f>IF(A32="","",COUNTIFS(Log_Testes!$B$2:$B$301,A32,Log_Testes!$A$2:$A$301,"&lt;&gt;",Log_Testes!$M$2:$M$301,""))</f>
        <v/>
      </c>
      <c r="G32" s="12">
        <f>IF(A32="","",COUNTIFS(Log_Testes!$B$2:$B$301,A32,Log_Testes!$N$2:$N$301,"DIVERGE*"))</f>
        <v/>
      </c>
      <c r="H32" s="12">
        <f>IF(A32="","",COUNTIFS(Divergencias!$B$2:$B$301,A32,Divergencias!$Q$2:$Q$301,"Sim"))</f>
        <v/>
      </c>
      <c r="I32" s="12">
        <f>IF(A32="","",COUNTIFS(Divergencias!$B$2:$B$301,A32,Divergencias!$Q$2:$Q$301,"Sim",Divergencias!$M$2:$M$301,"Alta"))</f>
        <v/>
      </c>
      <c r="J32" s="12">
        <f>IF(A32="","",COUNTIFS(Red_Team!$B$2:$B$301,A32,Red_Team!$I$2:$I$301,"Aberta"))</f>
        <v/>
      </c>
      <c r="K32" s="12">
        <f>IF(A32="","",IFERROR(INDEX(Atas_Comite!$D$2:$D$301,MATCH(A32,Atas_Comite!$P$2:$P$301,0)),"sem ata"))</f>
        <v/>
      </c>
      <c r="L32" s="12">
        <f>IF(A32="","",IFERROR(INDEX(Atas_Comite!$O$2:$O$301,MATCH(A32,Atas_Comite!$P$2:$P$301,0)),"—"))</f>
        <v/>
      </c>
      <c r="M32" s="12">
        <f>IF(A32="","",IFERROR(INDEX(Contraditorio!$M$2:$M$301,MATCH(A32,Contraditorio!$N$2:$N$301,0)),"não enviado"))</f>
        <v/>
      </c>
      <c r="N32" s="12">
        <f>IF(A32="","",IF(AND(C32="Sim",OR(D32&gt;0,LEFT(O32,1)="C"),F32=0,G32=0,J32=0,L32="Sim",OR(M32="Respondido",M32="Prazo encerrado – sem resposta")),"SIM → revisão jurídica","Não"))</f>
        <v/>
      </c>
      <c r="O32" s="12">
        <f>IF(A32="","",IFERROR(INDEX(Custodia!$U$2:$U$301,MATCH(A32,Custodia!$A$2:$A$301,0)),"—"))</f>
        <v/>
      </c>
    </row>
    <row r="33">
      <c r="A33" s="13" t="n"/>
      <c r="B33" s="12">
        <f>IF(A33="","",IFERROR(INDEX(Custodia!$C$2:$C$301,MATCH(A33,Custodia!$A$2:$A$301,0)),"não custodiado"))</f>
        <v/>
      </c>
      <c r="C33" s="12">
        <f>IF(A33="","",IFERROR(INDEX(Custodia!$S$2:$S$301,MATCH(A33,Custodia!$A$2:$A$301,0)),"NÃO"))</f>
        <v/>
      </c>
      <c r="D33" s="12">
        <f>IF(A33="","",COUNTIFS(Log_Testes!$B$2:$B$301,A33,Log_Testes!$C$2:$C$301,"F4*"))</f>
        <v/>
      </c>
      <c r="E33" s="12">
        <f>IF(A33="","",COUNTIFS(Log_Testes!$B$2:$B$301,A33,Log_Testes!$C$2:$C$301,"F5*"))</f>
        <v/>
      </c>
      <c r="F33" s="12">
        <f>IF(A33="","",COUNTIFS(Log_Testes!$B$2:$B$301,A33,Log_Testes!$A$2:$A$301,"&lt;&gt;",Log_Testes!$M$2:$M$301,""))</f>
        <v/>
      </c>
      <c r="G33" s="12">
        <f>IF(A33="","",COUNTIFS(Log_Testes!$B$2:$B$301,A33,Log_Testes!$N$2:$N$301,"DIVERGE*"))</f>
        <v/>
      </c>
      <c r="H33" s="12">
        <f>IF(A33="","",COUNTIFS(Divergencias!$B$2:$B$301,A33,Divergencias!$Q$2:$Q$301,"Sim"))</f>
        <v/>
      </c>
      <c r="I33" s="12">
        <f>IF(A33="","",COUNTIFS(Divergencias!$B$2:$B$301,A33,Divergencias!$Q$2:$Q$301,"Sim",Divergencias!$M$2:$M$301,"Alta"))</f>
        <v/>
      </c>
      <c r="J33" s="12">
        <f>IF(A33="","",COUNTIFS(Red_Team!$B$2:$B$301,A33,Red_Team!$I$2:$I$301,"Aberta"))</f>
        <v/>
      </c>
      <c r="K33" s="12">
        <f>IF(A33="","",IFERROR(INDEX(Atas_Comite!$D$2:$D$301,MATCH(A33,Atas_Comite!$P$2:$P$301,0)),"sem ata"))</f>
        <v/>
      </c>
      <c r="L33" s="12">
        <f>IF(A33="","",IFERROR(INDEX(Atas_Comite!$O$2:$O$301,MATCH(A33,Atas_Comite!$P$2:$P$301,0)),"—"))</f>
        <v/>
      </c>
      <c r="M33" s="12">
        <f>IF(A33="","",IFERROR(INDEX(Contraditorio!$M$2:$M$301,MATCH(A33,Contraditorio!$N$2:$N$301,0)),"não enviado"))</f>
        <v/>
      </c>
      <c r="N33" s="12">
        <f>IF(A33="","",IF(AND(C33="Sim",OR(D33&gt;0,LEFT(O33,1)="C"),F33=0,G33=0,J33=0,L33="Sim",OR(M33="Respondido",M33="Prazo encerrado – sem resposta")),"SIM → revisão jurídica","Não"))</f>
        <v/>
      </c>
      <c r="O33" s="12">
        <f>IF(A33="","",IFERROR(INDEX(Custodia!$U$2:$U$301,MATCH(A33,Custodia!$A$2:$A$301,0)),"—"))</f>
        <v/>
      </c>
    </row>
    <row r="34">
      <c r="A34" s="13" t="n"/>
      <c r="B34" s="12">
        <f>IF(A34="","",IFERROR(INDEX(Custodia!$C$2:$C$301,MATCH(A34,Custodia!$A$2:$A$301,0)),"não custodiado"))</f>
        <v/>
      </c>
      <c r="C34" s="12">
        <f>IF(A34="","",IFERROR(INDEX(Custodia!$S$2:$S$301,MATCH(A34,Custodia!$A$2:$A$301,0)),"NÃO"))</f>
        <v/>
      </c>
      <c r="D34" s="12">
        <f>IF(A34="","",COUNTIFS(Log_Testes!$B$2:$B$301,A34,Log_Testes!$C$2:$C$301,"F4*"))</f>
        <v/>
      </c>
      <c r="E34" s="12">
        <f>IF(A34="","",COUNTIFS(Log_Testes!$B$2:$B$301,A34,Log_Testes!$C$2:$C$301,"F5*"))</f>
        <v/>
      </c>
      <c r="F34" s="12">
        <f>IF(A34="","",COUNTIFS(Log_Testes!$B$2:$B$301,A34,Log_Testes!$A$2:$A$301,"&lt;&gt;",Log_Testes!$M$2:$M$301,""))</f>
        <v/>
      </c>
      <c r="G34" s="12">
        <f>IF(A34="","",COUNTIFS(Log_Testes!$B$2:$B$301,A34,Log_Testes!$N$2:$N$301,"DIVERGE*"))</f>
        <v/>
      </c>
      <c r="H34" s="12">
        <f>IF(A34="","",COUNTIFS(Divergencias!$B$2:$B$301,A34,Divergencias!$Q$2:$Q$301,"Sim"))</f>
        <v/>
      </c>
      <c r="I34" s="12">
        <f>IF(A34="","",COUNTIFS(Divergencias!$B$2:$B$301,A34,Divergencias!$Q$2:$Q$301,"Sim",Divergencias!$M$2:$M$301,"Alta"))</f>
        <v/>
      </c>
      <c r="J34" s="12">
        <f>IF(A34="","",COUNTIFS(Red_Team!$B$2:$B$301,A34,Red_Team!$I$2:$I$301,"Aberta"))</f>
        <v/>
      </c>
      <c r="K34" s="12">
        <f>IF(A34="","",IFERROR(INDEX(Atas_Comite!$D$2:$D$301,MATCH(A34,Atas_Comite!$P$2:$P$301,0)),"sem ata"))</f>
        <v/>
      </c>
      <c r="L34" s="12">
        <f>IF(A34="","",IFERROR(INDEX(Atas_Comite!$O$2:$O$301,MATCH(A34,Atas_Comite!$P$2:$P$301,0)),"—"))</f>
        <v/>
      </c>
      <c r="M34" s="12">
        <f>IF(A34="","",IFERROR(INDEX(Contraditorio!$M$2:$M$301,MATCH(A34,Contraditorio!$N$2:$N$301,0)),"não enviado"))</f>
        <v/>
      </c>
      <c r="N34" s="12">
        <f>IF(A34="","",IF(AND(C34="Sim",OR(D34&gt;0,LEFT(O34,1)="C"),F34=0,G34=0,J34=0,L34="Sim",OR(M34="Respondido",M34="Prazo encerrado – sem resposta")),"SIM → revisão jurídica","Não"))</f>
        <v/>
      </c>
      <c r="O34" s="12">
        <f>IF(A34="","",IFERROR(INDEX(Custodia!$U$2:$U$301,MATCH(A34,Custodia!$A$2:$A$301,0)),"—"))</f>
        <v/>
      </c>
    </row>
    <row r="35">
      <c r="A35" s="13" t="n"/>
      <c r="B35" s="12">
        <f>IF(A35="","",IFERROR(INDEX(Custodia!$C$2:$C$301,MATCH(A35,Custodia!$A$2:$A$301,0)),"não custodiado"))</f>
        <v/>
      </c>
      <c r="C35" s="12">
        <f>IF(A35="","",IFERROR(INDEX(Custodia!$S$2:$S$301,MATCH(A35,Custodia!$A$2:$A$301,0)),"NÃO"))</f>
        <v/>
      </c>
      <c r="D35" s="12">
        <f>IF(A35="","",COUNTIFS(Log_Testes!$B$2:$B$301,A35,Log_Testes!$C$2:$C$301,"F4*"))</f>
        <v/>
      </c>
      <c r="E35" s="12">
        <f>IF(A35="","",COUNTIFS(Log_Testes!$B$2:$B$301,A35,Log_Testes!$C$2:$C$301,"F5*"))</f>
        <v/>
      </c>
      <c r="F35" s="12">
        <f>IF(A35="","",COUNTIFS(Log_Testes!$B$2:$B$301,A35,Log_Testes!$A$2:$A$301,"&lt;&gt;",Log_Testes!$M$2:$M$301,""))</f>
        <v/>
      </c>
      <c r="G35" s="12">
        <f>IF(A35="","",COUNTIFS(Log_Testes!$B$2:$B$301,A35,Log_Testes!$N$2:$N$301,"DIVERGE*"))</f>
        <v/>
      </c>
      <c r="H35" s="12">
        <f>IF(A35="","",COUNTIFS(Divergencias!$B$2:$B$301,A35,Divergencias!$Q$2:$Q$301,"Sim"))</f>
        <v/>
      </c>
      <c r="I35" s="12">
        <f>IF(A35="","",COUNTIFS(Divergencias!$B$2:$B$301,A35,Divergencias!$Q$2:$Q$301,"Sim",Divergencias!$M$2:$M$301,"Alta"))</f>
        <v/>
      </c>
      <c r="J35" s="12">
        <f>IF(A35="","",COUNTIFS(Red_Team!$B$2:$B$301,A35,Red_Team!$I$2:$I$301,"Aberta"))</f>
        <v/>
      </c>
      <c r="K35" s="12">
        <f>IF(A35="","",IFERROR(INDEX(Atas_Comite!$D$2:$D$301,MATCH(A35,Atas_Comite!$P$2:$P$301,0)),"sem ata"))</f>
        <v/>
      </c>
      <c r="L35" s="12">
        <f>IF(A35="","",IFERROR(INDEX(Atas_Comite!$O$2:$O$301,MATCH(A35,Atas_Comite!$P$2:$P$301,0)),"—"))</f>
        <v/>
      </c>
      <c r="M35" s="12">
        <f>IF(A35="","",IFERROR(INDEX(Contraditorio!$M$2:$M$301,MATCH(A35,Contraditorio!$N$2:$N$301,0)),"não enviado"))</f>
        <v/>
      </c>
      <c r="N35" s="12">
        <f>IF(A35="","",IF(AND(C35="Sim",OR(D35&gt;0,LEFT(O35,1)="C"),F35=0,G35=0,J35=0,L35="Sim",OR(M35="Respondido",M35="Prazo encerrado – sem resposta")),"SIM → revisão jurídica","Não"))</f>
        <v/>
      </c>
      <c r="O35" s="12">
        <f>IF(A35="","",IFERROR(INDEX(Custodia!$U$2:$U$301,MATCH(A35,Custodia!$A$2:$A$301,0)),"—"))</f>
        <v/>
      </c>
    </row>
    <row r="36">
      <c r="A36" s="13" t="n"/>
      <c r="B36" s="12">
        <f>IF(A36="","",IFERROR(INDEX(Custodia!$C$2:$C$301,MATCH(A36,Custodia!$A$2:$A$301,0)),"não custodiado"))</f>
        <v/>
      </c>
      <c r="C36" s="12">
        <f>IF(A36="","",IFERROR(INDEX(Custodia!$S$2:$S$301,MATCH(A36,Custodia!$A$2:$A$301,0)),"NÃO"))</f>
        <v/>
      </c>
      <c r="D36" s="12">
        <f>IF(A36="","",COUNTIFS(Log_Testes!$B$2:$B$301,A36,Log_Testes!$C$2:$C$301,"F4*"))</f>
        <v/>
      </c>
      <c r="E36" s="12">
        <f>IF(A36="","",COUNTIFS(Log_Testes!$B$2:$B$301,A36,Log_Testes!$C$2:$C$301,"F5*"))</f>
        <v/>
      </c>
      <c r="F36" s="12">
        <f>IF(A36="","",COUNTIFS(Log_Testes!$B$2:$B$301,A36,Log_Testes!$A$2:$A$301,"&lt;&gt;",Log_Testes!$M$2:$M$301,""))</f>
        <v/>
      </c>
      <c r="G36" s="12">
        <f>IF(A36="","",COUNTIFS(Log_Testes!$B$2:$B$301,A36,Log_Testes!$N$2:$N$301,"DIVERGE*"))</f>
        <v/>
      </c>
      <c r="H36" s="12">
        <f>IF(A36="","",COUNTIFS(Divergencias!$B$2:$B$301,A36,Divergencias!$Q$2:$Q$301,"Sim"))</f>
        <v/>
      </c>
      <c r="I36" s="12">
        <f>IF(A36="","",COUNTIFS(Divergencias!$B$2:$B$301,A36,Divergencias!$Q$2:$Q$301,"Sim",Divergencias!$M$2:$M$301,"Alta"))</f>
        <v/>
      </c>
      <c r="J36" s="12">
        <f>IF(A36="","",COUNTIFS(Red_Team!$B$2:$B$301,A36,Red_Team!$I$2:$I$301,"Aberta"))</f>
        <v/>
      </c>
      <c r="K36" s="12">
        <f>IF(A36="","",IFERROR(INDEX(Atas_Comite!$D$2:$D$301,MATCH(A36,Atas_Comite!$P$2:$P$301,0)),"sem ata"))</f>
        <v/>
      </c>
      <c r="L36" s="12">
        <f>IF(A36="","",IFERROR(INDEX(Atas_Comite!$O$2:$O$301,MATCH(A36,Atas_Comite!$P$2:$P$301,0)),"—"))</f>
        <v/>
      </c>
      <c r="M36" s="12">
        <f>IF(A36="","",IFERROR(INDEX(Contraditorio!$M$2:$M$301,MATCH(A36,Contraditorio!$N$2:$N$301,0)),"não enviado"))</f>
        <v/>
      </c>
      <c r="N36" s="12">
        <f>IF(A36="","",IF(AND(C36="Sim",OR(D36&gt;0,LEFT(O36,1)="C"),F36=0,G36=0,J36=0,L36="Sim",OR(M36="Respondido",M36="Prazo encerrado – sem resposta")),"SIM → revisão jurídica","Não"))</f>
        <v/>
      </c>
      <c r="O36" s="12">
        <f>IF(A36="","",IFERROR(INDEX(Custodia!$U$2:$U$301,MATCH(A36,Custodia!$A$2:$A$301,0)),"—"))</f>
        <v/>
      </c>
    </row>
    <row r="37">
      <c r="A37" s="13" t="n"/>
      <c r="B37" s="12">
        <f>IF(A37="","",IFERROR(INDEX(Custodia!$C$2:$C$301,MATCH(A37,Custodia!$A$2:$A$301,0)),"não custodiado"))</f>
        <v/>
      </c>
      <c r="C37" s="12">
        <f>IF(A37="","",IFERROR(INDEX(Custodia!$S$2:$S$301,MATCH(A37,Custodia!$A$2:$A$301,0)),"NÃO"))</f>
        <v/>
      </c>
      <c r="D37" s="12">
        <f>IF(A37="","",COUNTIFS(Log_Testes!$B$2:$B$301,A37,Log_Testes!$C$2:$C$301,"F4*"))</f>
        <v/>
      </c>
      <c r="E37" s="12">
        <f>IF(A37="","",COUNTIFS(Log_Testes!$B$2:$B$301,A37,Log_Testes!$C$2:$C$301,"F5*"))</f>
        <v/>
      </c>
      <c r="F37" s="12">
        <f>IF(A37="","",COUNTIFS(Log_Testes!$B$2:$B$301,A37,Log_Testes!$A$2:$A$301,"&lt;&gt;",Log_Testes!$M$2:$M$301,""))</f>
        <v/>
      </c>
      <c r="G37" s="12">
        <f>IF(A37="","",COUNTIFS(Log_Testes!$B$2:$B$301,A37,Log_Testes!$N$2:$N$301,"DIVERGE*"))</f>
        <v/>
      </c>
      <c r="H37" s="12">
        <f>IF(A37="","",COUNTIFS(Divergencias!$B$2:$B$301,A37,Divergencias!$Q$2:$Q$301,"Sim"))</f>
        <v/>
      </c>
      <c r="I37" s="12">
        <f>IF(A37="","",COUNTIFS(Divergencias!$B$2:$B$301,A37,Divergencias!$Q$2:$Q$301,"Sim",Divergencias!$M$2:$M$301,"Alta"))</f>
        <v/>
      </c>
      <c r="J37" s="12">
        <f>IF(A37="","",COUNTIFS(Red_Team!$B$2:$B$301,A37,Red_Team!$I$2:$I$301,"Aberta"))</f>
        <v/>
      </c>
      <c r="K37" s="12">
        <f>IF(A37="","",IFERROR(INDEX(Atas_Comite!$D$2:$D$301,MATCH(A37,Atas_Comite!$P$2:$P$301,0)),"sem ata"))</f>
        <v/>
      </c>
      <c r="L37" s="12">
        <f>IF(A37="","",IFERROR(INDEX(Atas_Comite!$O$2:$O$301,MATCH(A37,Atas_Comite!$P$2:$P$301,0)),"—"))</f>
        <v/>
      </c>
      <c r="M37" s="12">
        <f>IF(A37="","",IFERROR(INDEX(Contraditorio!$M$2:$M$301,MATCH(A37,Contraditorio!$N$2:$N$301,0)),"não enviado"))</f>
        <v/>
      </c>
      <c r="N37" s="12">
        <f>IF(A37="","",IF(AND(C37="Sim",OR(D37&gt;0,LEFT(O37,1)="C"),F37=0,G37=0,J37=0,L37="Sim",OR(M37="Respondido",M37="Prazo encerrado – sem resposta")),"SIM → revisão jurídica","Não"))</f>
        <v/>
      </c>
      <c r="O37" s="12">
        <f>IF(A37="","",IFERROR(INDEX(Custodia!$U$2:$U$301,MATCH(A37,Custodia!$A$2:$A$301,0)),"—"))</f>
        <v/>
      </c>
    </row>
    <row r="38">
      <c r="A38" s="13" t="n"/>
      <c r="B38" s="12">
        <f>IF(A38="","",IFERROR(INDEX(Custodia!$C$2:$C$301,MATCH(A38,Custodia!$A$2:$A$301,0)),"não custodiado"))</f>
        <v/>
      </c>
      <c r="C38" s="12">
        <f>IF(A38="","",IFERROR(INDEX(Custodia!$S$2:$S$301,MATCH(A38,Custodia!$A$2:$A$301,0)),"NÃO"))</f>
        <v/>
      </c>
      <c r="D38" s="12">
        <f>IF(A38="","",COUNTIFS(Log_Testes!$B$2:$B$301,A38,Log_Testes!$C$2:$C$301,"F4*"))</f>
        <v/>
      </c>
      <c r="E38" s="12">
        <f>IF(A38="","",COUNTIFS(Log_Testes!$B$2:$B$301,A38,Log_Testes!$C$2:$C$301,"F5*"))</f>
        <v/>
      </c>
      <c r="F38" s="12">
        <f>IF(A38="","",COUNTIFS(Log_Testes!$B$2:$B$301,A38,Log_Testes!$A$2:$A$301,"&lt;&gt;",Log_Testes!$M$2:$M$301,""))</f>
        <v/>
      </c>
      <c r="G38" s="12">
        <f>IF(A38="","",COUNTIFS(Log_Testes!$B$2:$B$301,A38,Log_Testes!$N$2:$N$301,"DIVERGE*"))</f>
        <v/>
      </c>
      <c r="H38" s="12">
        <f>IF(A38="","",COUNTIFS(Divergencias!$B$2:$B$301,A38,Divergencias!$Q$2:$Q$301,"Sim"))</f>
        <v/>
      </c>
      <c r="I38" s="12">
        <f>IF(A38="","",COUNTIFS(Divergencias!$B$2:$B$301,A38,Divergencias!$Q$2:$Q$301,"Sim",Divergencias!$M$2:$M$301,"Alta"))</f>
        <v/>
      </c>
      <c r="J38" s="12">
        <f>IF(A38="","",COUNTIFS(Red_Team!$B$2:$B$301,A38,Red_Team!$I$2:$I$301,"Aberta"))</f>
        <v/>
      </c>
      <c r="K38" s="12">
        <f>IF(A38="","",IFERROR(INDEX(Atas_Comite!$D$2:$D$301,MATCH(A38,Atas_Comite!$P$2:$P$301,0)),"sem ata"))</f>
        <v/>
      </c>
      <c r="L38" s="12">
        <f>IF(A38="","",IFERROR(INDEX(Atas_Comite!$O$2:$O$301,MATCH(A38,Atas_Comite!$P$2:$P$301,0)),"—"))</f>
        <v/>
      </c>
      <c r="M38" s="12">
        <f>IF(A38="","",IFERROR(INDEX(Contraditorio!$M$2:$M$301,MATCH(A38,Contraditorio!$N$2:$N$301,0)),"não enviado"))</f>
        <v/>
      </c>
      <c r="N38" s="12">
        <f>IF(A38="","",IF(AND(C38="Sim",OR(D38&gt;0,LEFT(O38,1)="C"),F38=0,G38=0,J38=0,L38="Sim",OR(M38="Respondido",M38="Prazo encerrado – sem resposta")),"SIM → revisão jurídica","Não"))</f>
        <v/>
      </c>
      <c r="O38" s="12">
        <f>IF(A38="","",IFERROR(INDEX(Custodia!$U$2:$U$301,MATCH(A38,Custodia!$A$2:$A$301,0)),"—"))</f>
        <v/>
      </c>
    </row>
    <row r="39">
      <c r="A39" s="13" t="n"/>
      <c r="B39" s="12">
        <f>IF(A39="","",IFERROR(INDEX(Custodia!$C$2:$C$301,MATCH(A39,Custodia!$A$2:$A$301,0)),"não custodiado"))</f>
        <v/>
      </c>
      <c r="C39" s="12">
        <f>IF(A39="","",IFERROR(INDEX(Custodia!$S$2:$S$301,MATCH(A39,Custodia!$A$2:$A$301,0)),"NÃO"))</f>
        <v/>
      </c>
      <c r="D39" s="12">
        <f>IF(A39="","",COUNTIFS(Log_Testes!$B$2:$B$301,A39,Log_Testes!$C$2:$C$301,"F4*"))</f>
        <v/>
      </c>
      <c r="E39" s="12">
        <f>IF(A39="","",COUNTIFS(Log_Testes!$B$2:$B$301,A39,Log_Testes!$C$2:$C$301,"F5*"))</f>
        <v/>
      </c>
      <c r="F39" s="12">
        <f>IF(A39="","",COUNTIFS(Log_Testes!$B$2:$B$301,A39,Log_Testes!$A$2:$A$301,"&lt;&gt;",Log_Testes!$M$2:$M$301,""))</f>
        <v/>
      </c>
      <c r="G39" s="12">
        <f>IF(A39="","",COUNTIFS(Log_Testes!$B$2:$B$301,A39,Log_Testes!$N$2:$N$301,"DIVERGE*"))</f>
        <v/>
      </c>
      <c r="H39" s="12">
        <f>IF(A39="","",COUNTIFS(Divergencias!$B$2:$B$301,A39,Divergencias!$Q$2:$Q$301,"Sim"))</f>
        <v/>
      </c>
      <c r="I39" s="12">
        <f>IF(A39="","",COUNTIFS(Divergencias!$B$2:$B$301,A39,Divergencias!$Q$2:$Q$301,"Sim",Divergencias!$M$2:$M$301,"Alta"))</f>
        <v/>
      </c>
      <c r="J39" s="12">
        <f>IF(A39="","",COUNTIFS(Red_Team!$B$2:$B$301,A39,Red_Team!$I$2:$I$301,"Aberta"))</f>
        <v/>
      </c>
      <c r="K39" s="12">
        <f>IF(A39="","",IFERROR(INDEX(Atas_Comite!$D$2:$D$301,MATCH(A39,Atas_Comite!$P$2:$P$301,0)),"sem ata"))</f>
        <v/>
      </c>
      <c r="L39" s="12">
        <f>IF(A39="","",IFERROR(INDEX(Atas_Comite!$O$2:$O$301,MATCH(A39,Atas_Comite!$P$2:$P$301,0)),"—"))</f>
        <v/>
      </c>
      <c r="M39" s="12">
        <f>IF(A39="","",IFERROR(INDEX(Contraditorio!$M$2:$M$301,MATCH(A39,Contraditorio!$N$2:$N$301,0)),"não enviado"))</f>
        <v/>
      </c>
      <c r="N39" s="12">
        <f>IF(A39="","",IF(AND(C39="Sim",OR(D39&gt;0,LEFT(O39,1)="C"),F39=0,G39=0,J39=0,L39="Sim",OR(M39="Respondido",M39="Prazo encerrado – sem resposta")),"SIM → revisão jurídica","Não"))</f>
        <v/>
      </c>
      <c r="O39" s="12">
        <f>IF(A39="","",IFERROR(INDEX(Custodia!$U$2:$U$301,MATCH(A39,Custodia!$A$2:$A$301,0)),"—"))</f>
        <v/>
      </c>
    </row>
    <row r="40">
      <c r="A40" s="13" t="n"/>
      <c r="B40" s="12">
        <f>IF(A40="","",IFERROR(INDEX(Custodia!$C$2:$C$301,MATCH(A40,Custodia!$A$2:$A$301,0)),"não custodiado"))</f>
        <v/>
      </c>
      <c r="C40" s="12">
        <f>IF(A40="","",IFERROR(INDEX(Custodia!$S$2:$S$301,MATCH(A40,Custodia!$A$2:$A$301,0)),"NÃO"))</f>
        <v/>
      </c>
      <c r="D40" s="12">
        <f>IF(A40="","",COUNTIFS(Log_Testes!$B$2:$B$301,A40,Log_Testes!$C$2:$C$301,"F4*"))</f>
        <v/>
      </c>
      <c r="E40" s="12">
        <f>IF(A40="","",COUNTIFS(Log_Testes!$B$2:$B$301,A40,Log_Testes!$C$2:$C$301,"F5*"))</f>
        <v/>
      </c>
      <c r="F40" s="12">
        <f>IF(A40="","",COUNTIFS(Log_Testes!$B$2:$B$301,A40,Log_Testes!$A$2:$A$301,"&lt;&gt;",Log_Testes!$M$2:$M$301,""))</f>
        <v/>
      </c>
      <c r="G40" s="12">
        <f>IF(A40="","",COUNTIFS(Log_Testes!$B$2:$B$301,A40,Log_Testes!$N$2:$N$301,"DIVERGE*"))</f>
        <v/>
      </c>
      <c r="H40" s="12">
        <f>IF(A40="","",COUNTIFS(Divergencias!$B$2:$B$301,A40,Divergencias!$Q$2:$Q$301,"Sim"))</f>
        <v/>
      </c>
      <c r="I40" s="12">
        <f>IF(A40="","",COUNTIFS(Divergencias!$B$2:$B$301,A40,Divergencias!$Q$2:$Q$301,"Sim",Divergencias!$M$2:$M$301,"Alta"))</f>
        <v/>
      </c>
      <c r="J40" s="12">
        <f>IF(A40="","",COUNTIFS(Red_Team!$B$2:$B$301,A40,Red_Team!$I$2:$I$301,"Aberta"))</f>
        <v/>
      </c>
      <c r="K40" s="12">
        <f>IF(A40="","",IFERROR(INDEX(Atas_Comite!$D$2:$D$301,MATCH(A40,Atas_Comite!$P$2:$P$301,0)),"sem ata"))</f>
        <v/>
      </c>
      <c r="L40" s="12">
        <f>IF(A40="","",IFERROR(INDEX(Atas_Comite!$O$2:$O$301,MATCH(A40,Atas_Comite!$P$2:$P$301,0)),"—"))</f>
        <v/>
      </c>
      <c r="M40" s="12">
        <f>IF(A40="","",IFERROR(INDEX(Contraditorio!$M$2:$M$301,MATCH(A40,Contraditorio!$N$2:$N$301,0)),"não enviado"))</f>
        <v/>
      </c>
      <c r="N40" s="12">
        <f>IF(A40="","",IF(AND(C40="Sim",OR(D40&gt;0,LEFT(O40,1)="C"),F40=0,G40=0,J40=0,L40="Sim",OR(M40="Respondido",M40="Prazo encerrado – sem resposta")),"SIM → revisão jurídica","Não"))</f>
        <v/>
      </c>
      <c r="O40" s="12">
        <f>IF(A40="","",IFERROR(INDEX(Custodia!$U$2:$U$301,MATCH(A40,Custodia!$A$2:$A$301,0)),"—"))</f>
        <v/>
      </c>
    </row>
    <row r="41">
      <c r="A41" s="13" t="n"/>
      <c r="B41" s="12">
        <f>IF(A41="","",IFERROR(INDEX(Custodia!$C$2:$C$301,MATCH(A41,Custodia!$A$2:$A$301,0)),"não custodiado"))</f>
        <v/>
      </c>
      <c r="C41" s="12">
        <f>IF(A41="","",IFERROR(INDEX(Custodia!$S$2:$S$301,MATCH(A41,Custodia!$A$2:$A$301,0)),"NÃO"))</f>
        <v/>
      </c>
      <c r="D41" s="12">
        <f>IF(A41="","",COUNTIFS(Log_Testes!$B$2:$B$301,A41,Log_Testes!$C$2:$C$301,"F4*"))</f>
        <v/>
      </c>
      <c r="E41" s="12">
        <f>IF(A41="","",COUNTIFS(Log_Testes!$B$2:$B$301,A41,Log_Testes!$C$2:$C$301,"F5*"))</f>
        <v/>
      </c>
      <c r="F41" s="12">
        <f>IF(A41="","",COUNTIFS(Log_Testes!$B$2:$B$301,A41,Log_Testes!$A$2:$A$301,"&lt;&gt;",Log_Testes!$M$2:$M$301,""))</f>
        <v/>
      </c>
      <c r="G41" s="12">
        <f>IF(A41="","",COUNTIFS(Log_Testes!$B$2:$B$301,A41,Log_Testes!$N$2:$N$301,"DIVERGE*"))</f>
        <v/>
      </c>
      <c r="H41" s="12">
        <f>IF(A41="","",COUNTIFS(Divergencias!$B$2:$B$301,A41,Divergencias!$Q$2:$Q$301,"Sim"))</f>
        <v/>
      </c>
      <c r="I41" s="12">
        <f>IF(A41="","",COUNTIFS(Divergencias!$B$2:$B$301,A41,Divergencias!$Q$2:$Q$301,"Sim",Divergencias!$M$2:$M$301,"Alta"))</f>
        <v/>
      </c>
      <c r="J41" s="12">
        <f>IF(A41="","",COUNTIFS(Red_Team!$B$2:$B$301,A41,Red_Team!$I$2:$I$301,"Aberta"))</f>
        <v/>
      </c>
      <c r="K41" s="12">
        <f>IF(A41="","",IFERROR(INDEX(Atas_Comite!$D$2:$D$301,MATCH(A41,Atas_Comite!$P$2:$P$301,0)),"sem ata"))</f>
        <v/>
      </c>
      <c r="L41" s="12">
        <f>IF(A41="","",IFERROR(INDEX(Atas_Comite!$O$2:$O$301,MATCH(A41,Atas_Comite!$P$2:$P$301,0)),"—"))</f>
        <v/>
      </c>
      <c r="M41" s="12">
        <f>IF(A41="","",IFERROR(INDEX(Contraditorio!$M$2:$M$301,MATCH(A41,Contraditorio!$N$2:$N$301,0)),"não enviado"))</f>
        <v/>
      </c>
      <c r="N41" s="12">
        <f>IF(A41="","",IF(AND(C41="Sim",OR(D41&gt;0,LEFT(O41,1)="C"),F41=0,G41=0,J41=0,L41="Sim",OR(M41="Respondido",M41="Prazo encerrado – sem resposta")),"SIM → revisão jurídica","Não"))</f>
        <v/>
      </c>
      <c r="O41" s="12">
        <f>IF(A41="","",IFERROR(INDEX(Custodia!$U$2:$U$301,MATCH(A41,Custodia!$A$2:$A$301,0)),"—"))</f>
        <v/>
      </c>
    </row>
    <row r="42">
      <c r="A42" s="13" t="n"/>
      <c r="B42" s="12">
        <f>IF(A42="","",IFERROR(INDEX(Custodia!$C$2:$C$301,MATCH(A42,Custodia!$A$2:$A$301,0)),"não custodiado"))</f>
        <v/>
      </c>
      <c r="C42" s="12">
        <f>IF(A42="","",IFERROR(INDEX(Custodia!$S$2:$S$301,MATCH(A42,Custodia!$A$2:$A$301,0)),"NÃO"))</f>
        <v/>
      </c>
      <c r="D42" s="12">
        <f>IF(A42="","",COUNTIFS(Log_Testes!$B$2:$B$301,A42,Log_Testes!$C$2:$C$301,"F4*"))</f>
        <v/>
      </c>
      <c r="E42" s="12">
        <f>IF(A42="","",COUNTIFS(Log_Testes!$B$2:$B$301,A42,Log_Testes!$C$2:$C$301,"F5*"))</f>
        <v/>
      </c>
      <c r="F42" s="12">
        <f>IF(A42="","",COUNTIFS(Log_Testes!$B$2:$B$301,A42,Log_Testes!$A$2:$A$301,"&lt;&gt;",Log_Testes!$M$2:$M$301,""))</f>
        <v/>
      </c>
      <c r="G42" s="12">
        <f>IF(A42="","",COUNTIFS(Log_Testes!$B$2:$B$301,A42,Log_Testes!$N$2:$N$301,"DIVERGE*"))</f>
        <v/>
      </c>
      <c r="H42" s="12">
        <f>IF(A42="","",COUNTIFS(Divergencias!$B$2:$B$301,A42,Divergencias!$Q$2:$Q$301,"Sim"))</f>
        <v/>
      </c>
      <c r="I42" s="12">
        <f>IF(A42="","",COUNTIFS(Divergencias!$B$2:$B$301,A42,Divergencias!$Q$2:$Q$301,"Sim",Divergencias!$M$2:$M$301,"Alta"))</f>
        <v/>
      </c>
      <c r="J42" s="12">
        <f>IF(A42="","",COUNTIFS(Red_Team!$B$2:$B$301,A42,Red_Team!$I$2:$I$301,"Aberta"))</f>
        <v/>
      </c>
      <c r="K42" s="12">
        <f>IF(A42="","",IFERROR(INDEX(Atas_Comite!$D$2:$D$301,MATCH(A42,Atas_Comite!$P$2:$P$301,0)),"sem ata"))</f>
        <v/>
      </c>
      <c r="L42" s="12">
        <f>IF(A42="","",IFERROR(INDEX(Atas_Comite!$O$2:$O$301,MATCH(A42,Atas_Comite!$P$2:$P$301,0)),"—"))</f>
        <v/>
      </c>
      <c r="M42" s="12">
        <f>IF(A42="","",IFERROR(INDEX(Contraditorio!$M$2:$M$301,MATCH(A42,Contraditorio!$N$2:$N$301,0)),"não enviado"))</f>
        <v/>
      </c>
      <c r="N42" s="12">
        <f>IF(A42="","",IF(AND(C42="Sim",OR(D42&gt;0,LEFT(O42,1)="C"),F42=0,G42=0,J42=0,L42="Sim",OR(M42="Respondido",M42="Prazo encerrado – sem resposta")),"SIM → revisão jurídica","Não"))</f>
        <v/>
      </c>
      <c r="O42" s="12">
        <f>IF(A42="","",IFERROR(INDEX(Custodia!$U$2:$U$301,MATCH(A42,Custodia!$A$2:$A$301,0)),"—"))</f>
        <v/>
      </c>
    </row>
    <row r="43">
      <c r="A43" s="13" t="n"/>
      <c r="B43" s="12">
        <f>IF(A43="","",IFERROR(INDEX(Custodia!$C$2:$C$301,MATCH(A43,Custodia!$A$2:$A$301,0)),"não custodiado"))</f>
        <v/>
      </c>
      <c r="C43" s="12">
        <f>IF(A43="","",IFERROR(INDEX(Custodia!$S$2:$S$301,MATCH(A43,Custodia!$A$2:$A$301,0)),"NÃO"))</f>
        <v/>
      </c>
      <c r="D43" s="12">
        <f>IF(A43="","",COUNTIFS(Log_Testes!$B$2:$B$301,A43,Log_Testes!$C$2:$C$301,"F4*"))</f>
        <v/>
      </c>
      <c r="E43" s="12">
        <f>IF(A43="","",COUNTIFS(Log_Testes!$B$2:$B$301,A43,Log_Testes!$C$2:$C$301,"F5*"))</f>
        <v/>
      </c>
      <c r="F43" s="12">
        <f>IF(A43="","",COUNTIFS(Log_Testes!$B$2:$B$301,A43,Log_Testes!$A$2:$A$301,"&lt;&gt;",Log_Testes!$M$2:$M$301,""))</f>
        <v/>
      </c>
      <c r="G43" s="12">
        <f>IF(A43="","",COUNTIFS(Log_Testes!$B$2:$B$301,A43,Log_Testes!$N$2:$N$301,"DIVERGE*"))</f>
        <v/>
      </c>
      <c r="H43" s="12">
        <f>IF(A43="","",COUNTIFS(Divergencias!$B$2:$B$301,A43,Divergencias!$Q$2:$Q$301,"Sim"))</f>
        <v/>
      </c>
      <c r="I43" s="12">
        <f>IF(A43="","",COUNTIFS(Divergencias!$B$2:$B$301,A43,Divergencias!$Q$2:$Q$301,"Sim",Divergencias!$M$2:$M$301,"Alta"))</f>
        <v/>
      </c>
      <c r="J43" s="12">
        <f>IF(A43="","",COUNTIFS(Red_Team!$B$2:$B$301,A43,Red_Team!$I$2:$I$301,"Aberta"))</f>
        <v/>
      </c>
      <c r="K43" s="12">
        <f>IF(A43="","",IFERROR(INDEX(Atas_Comite!$D$2:$D$301,MATCH(A43,Atas_Comite!$P$2:$P$301,0)),"sem ata"))</f>
        <v/>
      </c>
      <c r="L43" s="12">
        <f>IF(A43="","",IFERROR(INDEX(Atas_Comite!$O$2:$O$301,MATCH(A43,Atas_Comite!$P$2:$P$301,0)),"—"))</f>
        <v/>
      </c>
      <c r="M43" s="12">
        <f>IF(A43="","",IFERROR(INDEX(Contraditorio!$M$2:$M$301,MATCH(A43,Contraditorio!$N$2:$N$301,0)),"não enviado"))</f>
        <v/>
      </c>
      <c r="N43" s="12">
        <f>IF(A43="","",IF(AND(C43="Sim",OR(D43&gt;0,LEFT(O43,1)="C"),F43=0,G43=0,J43=0,L43="Sim",OR(M43="Respondido",M43="Prazo encerrado – sem resposta")),"SIM → revisão jurídica","Não"))</f>
        <v/>
      </c>
      <c r="O43" s="12">
        <f>IF(A43="","",IFERROR(INDEX(Custodia!$U$2:$U$301,MATCH(A43,Custodia!$A$2:$A$301,0)),"—"))</f>
        <v/>
      </c>
    </row>
    <row r="44">
      <c r="A44" s="13" t="n"/>
      <c r="B44" s="12">
        <f>IF(A44="","",IFERROR(INDEX(Custodia!$C$2:$C$301,MATCH(A44,Custodia!$A$2:$A$301,0)),"não custodiado"))</f>
        <v/>
      </c>
      <c r="C44" s="12">
        <f>IF(A44="","",IFERROR(INDEX(Custodia!$S$2:$S$301,MATCH(A44,Custodia!$A$2:$A$301,0)),"NÃO"))</f>
        <v/>
      </c>
      <c r="D44" s="12">
        <f>IF(A44="","",COUNTIFS(Log_Testes!$B$2:$B$301,A44,Log_Testes!$C$2:$C$301,"F4*"))</f>
        <v/>
      </c>
      <c r="E44" s="12">
        <f>IF(A44="","",COUNTIFS(Log_Testes!$B$2:$B$301,A44,Log_Testes!$C$2:$C$301,"F5*"))</f>
        <v/>
      </c>
      <c r="F44" s="12">
        <f>IF(A44="","",COUNTIFS(Log_Testes!$B$2:$B$301,A44,Log_Testes!$A$2:$A$301,"&lt;&gt;",Log_Testes!$M$2:$M$301,""))</f>
        <v/>
      </c>
      <c r="G44" s="12">
        <f>IF(A44="","",COUNTIFS(Log_Testes!$B$2:$B$301,A44,Log_Testes!$N$2:$N$301,"DIVERGE*"))</f>
        <v/>
      </c>
      <c r="H44" s="12">
        <f>IF(A44="","",COUNTIFS(Divergencias!$B$2:$B$301,A44,Divergencias!$Q$2:$Q$301,"Sim"))</f>
        <v/>
      </c>
      <c r="I44" s="12">
        <f>IF(A44="","",COUNTIFS(Divergencias!$B$2:$B$301,A44,Divergencias!$Q$2:$Q$301,"Sim",Divergencias!$M$2:$M$301,"Alta"))</f>
        <v/>
      </c>
      <c r="J44" s="12">
        <f>IF(A44="","",COUNTIFS(Red_Team!$B$2:$B$301,A44,Red_Team!$I$2:$I$301,"Aberta"))</f>
        <v/>
      </c>
      <c r="K44" s="12">
        <f>IF(A44="","",IFERROR(INDEX(Atas_Comite!$D$2:$D$301,MATCH(A44,Atas_Comite!$P$2:$P$301,0)),"sem ata"))</f>
        <v/>
      </c>
      <c r="L44" s="12">
        <f>IF(A44="","",IFERROR(INDEX(Atas_Comite!$O$2:$O$301,MATCH(A44,Atas_Comite!$P$2:$P$301,0)),"—"))</f>
        <v/>
      </c>
      <c r="M44" s="12">
        <f>IF(A44="","",IFERROR(INDEX(Contraditorio!$M$2:$M$301,MATCH(A44,Contraditorio!$N$2:$N$301,0)),"não enviado"))</f>
        <v/>
      </c>
      <c r="N44" s="12">
        <f>IF(A44="","",IF(AND(C44="Sim",OR(D44&gt;0,LEFT(O44,1)="C"),F44=0,G44=0,J44=0,L44="Sim",OR(M44="Respondido",M44="Prazo encerrado – sem resposta")),"SIM → revisão jurídica","Não"))</f>
        <v/>
      </c>
      <c r="O44" s="12">
        <f>IF(A44="","",IFERROR(INDEX(Custodia!$U$2:$U$301,MATCH(A44,Custodia!$A$2:$A$301,0)),"—"))</f>
        <v/>
      </c>
    </row>
    <row r="45">
      <c r="A45" s="13" t="n"/>
      <c r="B45" s="12">
        <f>IF(A45="","",IFERROR(INDEX(Custodia!$C$2:$C$301,MATCH(A45,Custodia!$A$2:$A$301,0)),"não custodiado"))</f>
        <v/>
      </c>
      <c r="C45" s="12">
        <f>IF(A45="","",IFERROR(INDEX(Custodia!$S$2:$S$301,MATCH(A45,Custodia!$A$2:$A$301,0)),"NÃO"))</f>
        <v/>
      </c>
      <c r="D45" s="12">
        <f>IF(A45="","",COUNTIFS(Log_Testes!$B$2:$B$301,A45,Log_Testes!$C$2:$C$301,"F4*"))</f>
        <v/>
      </c>
      <c r="E45" s="12">
        <f>IF(A45="","",COUNTIFS(Log_Testes!$B$2:$B$301,A45,Log_Testes!$C$2:$C$301,"F5*"))</f>
        <v/>
      </c>
      <c r="F45" s="12">
        <f>IF(A45="","",COUNTIFS(Log_Testes!$B$2:$B$301,A45,Log_Testes!$A$2:$A$301,"&lt;&gt;",Log_Testes!$M$2:$M$301,""))</f>
        <v/>
      </c>
      <c r="G45" s="12">
        <f>IF(A45="","",COUNTIFS(Log_Testes!$B$2:$B$301,A45,Log_Testes!$N$2:$N$301,"DIVERGE*"))</f>
        <v/>
      </c>
      <c r="H45" s="12">
        <f>IF(A45="","",COUNTIFS(Divergencias!$B$2:$B$301,A45,Divergencias!$Q$2:$Q$301,"Sim"))</f>
        <v/>
      </c>
      <c r="I45" s="12">
        <f>IF(A45="","",COUNTIFS(Divergencias!$B$2:$B$301,A45,Divergencias!$Q$2:$Q$301,"Sim",Divergencias!$M$2:$M$301,"Alta"))</f>
        <v/>
      </c>
      <c r="J45" s="12">
        <f>IF(A45="","",COUNTIFS(Red_Team!$B$2:$B$301,A45,Red_Team!$I$2:$I$301,"Aberta"))</f>
        <v/>
      </c>
      <c r="K45" s="12">
        <f>IF(A45="","",IFERROR(INDEX(Atas_Comite!$D$2:$D$301,MATCH(A45,Atas_Comite!$P$2:$P$301,0)),"sem ata"))</f>
        <v/>
      </c>
      <c r="L45" s="12">
        <f>IF(A45="","",IFERROR(INDEX(Atas_Comite!$O$2:$O$301,MATCH(A45,Atas_Comite!$P$2:$P$301,0)),"—"))</f>
        <v/>
      </c>
      <c r="M45" s="12">
        <f>IF(A45="","",IFERROR(INDEX(Contraditorio!$M$2:$M$301,MATCH(A45,Contraditorio!$N$2:$N$301,0)),"não enviado"))</f>
        <v/>
      </c>
      <c r="N45" s="12">
        <f>IF(A45="","",IF(AND(C45="Sim",OR(D45&gt;0,LEFT(O45,1)="C"),F45=0,G45=0,J45=0,L45="Sim",OR(M45="Respondido",M45="Prazo encerrado – sem resposta")),"SIM → revisão jurídica","Não"))</f>
        <v/>
      </c>
      <c r="O45" s="12">
        <f>IF(A45="","",IFERROR(INDEX(Custodia!$U$2:$U$301,MATCH(A45,Custodia!$A$2:$A$301,0)),"—"))</f>
        <v/>
      </c>
    </row>
    <row r="46">
      <c r="A46" s="13" t="n"/>
      <c r="B46" s="12">
        <f>IF(A46="","",IFERROR(INDEX(Custodia!$C$2:$C$301,MATCH(A46,Custodia!$A$2:$A$301,0)),"não custodiado"))</f>
        <v/>
      </c>
      <c r="C46" s="12">
        <f>IF(A46="","",IFERROR(INDEX(Custodia!$S$2:$S$301,MATCH(A46,Custodia!$A$2:$A$301,0)),"NÃO"))</f>
        <v/>
      </c>
      <c r="D46" s="12">
        <f>IF(A46="","",COUNTIFS(Log_Testes!$B$2:$B$301,A46,Log_Testes!$C$2:$C$301,"F4*"))</f>
        <v/>
      </c>
      <c r="E46" s="12">
        <f>IF(A46="","",COUNTIFS(Log_Testes!$B$2:$B$301,A46,Log_Testes!$C$2:$C$301,"F5*"))</f>
        <v/>
      </c>
      <c r="F46" s="12">
        <f>IF(A46="","",COUNTIFS(Log_Testes!$B$2:$B$301,A46,Log_Testes!$A$2:$A$301,"&lt;&gt;",Log_Testes!$M$2:$M$301,""))</f>
        <v/>
      </c>
      <c r="G46" s="12">
        <f>IF(A46="","",COUNTIFS(Log_Testes!$B$2:$B$301,A46,Log_Testes!$N$2:$N$301,"DIVERGE*"))</f>
        <v/>
      </c>
      <c r="H46" s="12">
        <f>IF(A46="","",COUNTIFS(Divergencias!$B$2:$B$301,A46,Divergencias!$Q$2:$Q$301,"Sim"))</f>
        <v/>
      </c>
      <c r="I46" s="12">
        <f>IF(A46="","",COUNTIFS(Divergencias!$B$2:$B$301,A46,Divergencias!$Q$2:$Q$301,"Sim",Divergencias!$M$2:$M$301,"Alta"))</f>
        <v/>
      </c>
      <c r="J46" s="12">
        <f>IF(A46="","",COUNTIFS(Red_Team!$B$2:$B$301,A46,Red_Team!$I$2:$I$301,"Aberta"))</f>
        <v/>
      </c>
      <c r="K46" s="12">
        <f>IF(A46="","",IFERROR(INDEX(Atas_Comite!$D$2:$D$301,MATCH(A46,Atas_Comite!$P$2:$P$301,0)),"sem ata"))</f>
        <v/>
      </c>
      <c r="L46" s="12">
        <f>IF(A46="","",IFERROR(INDEX(Atas_Comite!$O$2:$O$301,MATCH(A46,Atas_Comite!$P$2:$P$301,0)),"—"))</f>
        <v/>
      </c>
      <c r="M46" s="12">
        <f>IF(A46="","",IFERROR(INDEX(Contraditorio!$M$2:$M$301,MATCH(A46,Contraditorio!$N$2:$N$301,0)),"não enviado"))</f>
        <v/>
      </c>
      <c r="N46" s="12">
        <f>IF(A46="","",IF(AND(C46="Sim",OR(D46&gt;0,LEFT(O46,1)="C"),F46=0,G46=0,J46=0,L46="Sim",OR(M46="Respondido",M46="Prazo encerrado – sem resposta")),"SIM → revisão jurídica","Não"))</f>
        <v/>
      </c>
      <c r="O46" s="12">
        <f>IF(A46="","",IFERROR(INDEX(Custodia!$U$2:$U$301,MATCH(A46,Custodia!$A$2:$A$301,0)),"—"))</f>
        <v/>
      </c>
    </row>
    <row r="47">
      <c r="A47" s="13" t="n"/>
      <c r="B47" s="12">
        <f>IF(A47="","",IFERROR(INDEX(Custodia!$C$2:$C$301,MATCH(A47,Custodia!$A$2:$A$301,0)),"não custodiado"))</f>
        <v/>
      </c>
      <c r="C47" s="12">
        <f>IF(A47="","",IFERROR(INDEX(Custodia!$S$2:$S$301,MATCH(A47,Custodia!$A$2:$A$301,0)),"NÃO"))</f>
        <v/>
      </c>
      <c r="D47" s="12">
        <f>IF(A47="","",COUNTIFS(Log_Testes!$B$2:$B$301,A47,Log_Testes!$C$2:$C$301,"F4*"))</f>
        <v/>
      </c>
      <c r="E47" s="12">
        <f>IF(A47="","",COUNTIFS(Log_Testes!$B$2:$B$301,A47,Log_Testes!$C$2:$C$301,"F5*"))</f>
        <v/>
      </c>
      <c r="F47" s="12">
        <f>IF(A47="","",COUNTIFS(Log_Testes!$B$2:$B$301,A47,Log_Testes!$A$2:$A$301,"&lt;&gt;",Log_Testes!$M$2:$M$301,""))</f>
        <v/>
      </c>
      <c r="G47" s="12">
        <f>IF(A47="","",COUNTIFS(Log_Testes!$B$2:$B$301,A47,Log_Testes!$N$2:$N$301,"DIVERGE*"))</f>
        <v/>
      </c>
      <c r="H47" s="12">
        <f>IF(A47="","",COUNTIFS(Divergencias!$B$2:$B$301,A47,Divergencias!$Q$2:$Q$301,"Sim"))</f>
        <v/>
      </c>
      <c r="I47" s="12">
        <f>IF(A47="","",COUNTIFS(Divergencias!$B$2:$B$301,A47,Divergencias!$Q$2:$Q$301,"Sim",Divergencias!$M$2:$M$301,"Alta"))</f>
        <v/>
      </c>
      <c r="J47" s="12">
        <f>IF(A47="","",COUNTIFS(Red_Team!$B$2:$B$301,A47,Red_Team!$I$2:$I$301,"Aberta"))</f>
        <v/>
      </c>
      <c r="K47" s="12">
        <f>IF(A47="","",IFERROR(INDEX(Atas_Comite!$D$2:$D$301,MATCH(A47,Atas_Comite!$P$2:$P$301,0)),"sem ata"))</f>
        <v/>
      </c>
      <c r="L47" s="12">
        <f>IF(A47="","",IFERROR(INDEX(Atas_Comite!$O$2:$O$301,MATCH(A47,Atas_Comite!$P$2:$P$301,0)),"—"))</f>
        <v/>
      </c>
      <c r="M47" s="12">
        <f>IF(A47="","",IFERROR(INDEX(Contraditorio!$M$2:$M$301,MATCH(A47,Contraditorio!$N$2:$N$301,0)),"não enviado"))</f>
        <v/>
      </c>
      <c r="N47" s="12">
        <f>IF(A47="","",IF(AND(C47="Sim",OR(D47&gt;0,LEFT(O47,1)="C"),F47=0,G47=0,J47=0,L47="Sim",OR(M47="Respondido",M47="Prazo encerrado – sem resposta")),"SIM → revisão jurídica","Não"))</f>
        <v/>
      </c>
      <c r="O47" s="12">
        <f>IF(A47="","",IFERROR(INDEX(Custodia!$U$2:$U$301,MATCH(A47,Custodia!$A$2:$A$301,0)),"—"))</f>
        <v/>
      </c>
    </row>
    <row r="48">
      <c r="A48" s="13" t="n"/>
      <c r="B48" s="12">
        <f>IF(A48="","",IFERROR(INDEX(Custodia!$C$2:$C$301,MATCH(A48,Custodia!$A$2:$A$301,0)),"não custodiado"))</f>
        <v/>
      </c>
      <c r="C48" s="12">
        <f>IF(A48="","",IFERROR(INDEX(Custodia!$S$2:$S$301,MATCH(A48,Custodia!$A$2:$A$301,0)),"NÃO"))</f>
        <v/>
      </c>
      <c r="D48" s="12">
        <f>IF(A48="","",COUNTIFS(Log_Testes!$B$2:$B$301,A48,Log_Testes!$C$2:$C$301,"F4*"))</f>
        <v/>
      </c>
      <c r="E48" s="12">
        <f>IF(A48="","",COUNTIFS(Log_Testes!$B$2:$B$301,A48,Log_Testes!$C$2:$C$301,"F5*"))</f>
        <v/>
      </c>
      <c r="F48" s="12">
        <f>IF(A48="","",COUNTIFS(Log_Testes!$B$2:$B$301,A48,Log_Testes!$A$2:$A$301,"&lt;&gt;",Log_Testes!$M$2:$M$301,""))</f>
        <v/>
      </c>
      <c r="G48" s="12">
        <f>IF(A48="","",COUNTIFS(Log_Testes!$B$2:$B$301,A48,Log_Testes!$N$2:$N$301,"DIVERGE*"))</f>
        <v/>
      </c>
      <c r="H48" s="12">
        <f>IF(A48="","",COUNTIFS(Divergencias!$B$2:$B$301,A48,Divergencias!$Q$2:$Q$301,"Sim"))</f>
        <v/>
      </c>
      <c r="I48" s="12">
        <f>IF(A48="","",COUNTIFS(Divergencias!$B$2:$B$301,A48,Divergencias!$Q$2:$Q$301,"Sim",Divergencias!$M$2:$M$301,"Alta"))</f>
        <v/>
      </c>
      <c r="J48" s="12">
        <f>IF(A48="","",COUNTIFS(Red_Team!$B$2:$B$301,A48,Red_Team!$I$2:$I$301,"Aberta"))</f>
        <v/>
      </c>
      <c r="K48" s="12">
        <f>IF(A48="","",IFERROR(INDEX(Atas_Comite!$D$2:$D$301,MATCH(A48,Atas_Comite!$P$2:$P$301,0)),"sem ata"))</f>
        <v/>
      </c>
      <c r="L48" s="12">
        <f>IF(A48="","",IFERROR(INDEX(Atas_Comite!$O$2:$O$301,MATCH(A48,Atas_Comite!$P$2:$P$301,0)),"—"))</f>
        <v/>
      </c>
      <c r="M48" s="12">
        <f>IF(A48="","",IFERROR(INDEX(Contraditorio!$M$2:$M$301,MATCH(A48,Contraditorio!$N$2:$N$301,0)),"não enviado"))</f>
        <v/>
      </c>
      <c r="N48" s="12">
        <f>IF(A48="","",IF(AND(C48="Sim",OR(D48&gt;0,LEFT(O48,1)="C"),F48=0,G48=0,J48=0,L48="Sim",OR(M48="Respondido",M48="Prazo encerrado – sem resposta")),"SIM → revisão jurídica","Não"))</f>
        <v/>
      </c>
      <c r="O48" s="12">
        <f>IF(A48="","",IFERROR(INDEX(Custodia!$U$2:$U$301,MATCH(A48,Custodia!$A$2:$A$301,0)),"—"))</f>
        <v/>
      </c>
    </row>
    <row r="49">
      <c r="A49" s="13" t="n"/>
      <c r="B49" s="12">
        <f>IF(A49="","",IFERROR(INDEX(Custodia!$C$2:$C$301,MATCH(A49,Custodia!$A$2:$A$301,0)),"não custodiado"))</f>
        <v/>
      </c>
      <c r="C49" s="12">
        <f>IF(A49="","",IFERROR(INDEX(Custodia!$S$2:$S$301,MATCH(A49,Custodia!$A$2:$A$301,0)),"NÃO"))</f>
        <v/>
      </c>
      <c r="D49" s="12">
        <f>IF(A49="","",COUNTIFS(Log_Testes!$B$2:$B$301,A49,Log_Testes!$C$2:$C$301,"F4*"))</f>
        <v/>
      </c>
      <c r="E49" s="12">
        <f>IF(A49="","",COUNTIFS(Log_Testes!$B$2:$B$301,A49,Log_Testes!$C$2:$C$301,"F5*"))</f>
        <v/>
      </c>
      <c r="F49" s="12">
        <f>IF(A49="","",COUNTIFS(Log_Testes!$B$2:$B$301,A49,Log_Testes!$A$2:$A$301,"&lt;&gt;",Log_Testes!$M$2:$M$301,""))</f>
        <v/>
      </c>
      <c r="G49" s="12">
        <f>IF(A49="","",COUNTIFS(Log_Testes!$B$2:$B$301,A49,Log_Testes!$N$2:$N$301,"DIVERGE*"))</f>
        <v/>
      </c>
      <c r="H49" s="12">
        <f>IF(A49="","",COUNTIFS(Divergencias!$B$2:$B$301,A49,Divergencias!$Q$2:$Q$301,"Sim"))</f>
        <v/>
      </c>
      <c r="I49" s="12">
        <f>IF(A49="","",COUNTIFS(Divergencias!$B$2:$B$301,A49,Divergencias!$Q$2:$Q$301,"Sim",Divergencias!$M$2:$M$301,"Alta"))</f>
        <v/>
      </c>
      <c r="J49" s="12">
        <f>IF(A49="","",COUNTIFS(Red_Team!$B$2:$B$301,A49,Red_Team!$I$2:$I$301,"Aberta"))</f>
        <v/>
      </c>
      <c r="K49" s="12">
        <f>IF(A49="","",IFERROR(INDEX(Atas_Comite!$D$2:$D$301,MATCH(A49,Atas_Comite!$P$2:$P$301,0)),"sem ata"))</f>
        <v/>
      </c>
      <c r="L49" s="12">
        <f>IF(A49="","",IFERROR(INDEX(Atas_Comite!$O$2:$O$301,MATCH(A49,Atas_Comite!$P$2:$P$301,0)),"—"))</f>
        <v/>
      </c>
      <c r="M49" s="12">
        <f>IF(A49="","",IFERROR(INDEX(Contraditorio!$M$2:$M$301,MATCH(A49,Contraditorio!$N$2:$N$301,0)),"não enviado"))</f>
        <v/>
      </c>
      <c r="N49" s="12">
        <f>IF(A49="","",IF(AND(C49="Sim",OR(D49&gt;0,LEFT(O49,1)="C"),F49=0,G49=0,J49=0,L49="Sim",OR(M49="Respondido",M49="Prazo encerrado – sem resposta")),"SIM → revisão jurídica","Não"))</f>
        <v/>
      </c>
      <c r="O49" s="12">
        <f>IF(A49="","",IFERROR(INDEX(Custodia!$U$2:$U$301,MATCH(A49,Custodia!$A$2:$A$301,0)),"—"))</f>
        <v/>
      </c>
    </row>
    <row r="50">
      <c r="A50" s="13" t="n"/>
      <c r="B50" s="12">
        <f>IF(A50="","",IFERROR(INDEX(Custodia!$C$2:$C$301,MATCH(A50,Custodia!$A$2:$A$301,0)),"não custodiado"))</f>
        <v/>
      </c>
      <c r="C50" s="12">
        <f>IF(A50="","",IFERROR(INDEX(Custodia!$S$2:$S$301,MATCH(A50,Custodia!$A$2:$A$301,0)),"NÃO"))</f>
        <v/>
      </c>
      <c r="D50" s="12">
        <f>IF(A50="","",COUNTIFS(Log_Testes!$B$2:$B$301,A50,Log_Testes!$C$2:$C$301,"F4*"))</f>
        <v/>
      </c>
      <c r="E50" s="12">
        <f>IF(A50="","",COUNTIFS(Log_Testes!$B$2:$B$301,A50,Log_Testes!$C$2:$C$301,"F5*"))</f>
        <v/>
      </c>
      <c r="F50" s="12">
        <f>IF(A50="","",COUNTIFS(Log_Testes!$B$2:$B$301,A50,Log_Testes!$A$2:$A$301,"&lt;&gt;",Log_Testes!$M$2:$M$301,""))</f>
        <v/>
      </c>
      <c r="G50" s="12">
        <f>IF(A50="","",COUNTIFS(Log_Testes!$B$2:$B$301,A50,Log_Testes!$N$2:$N$301,"DIVERGE*"))</f>
        <v/>
      </c>
      <c r="H50" s="12">
        <f>IF(A50="","",COUNTIFS(Divergencias!$B$2:$B$301,A50,Divergencias!$Q$2:$Q$301,"Sim"))</f>
        <v/>
      </c>
      <c r="I50" s="12">
        <f>IF(A50="","",COUNTIFS(Divergencias!$B$2:$B$301,A50,Divergencias!$Q$2:$Q$301,"Sim",Divergencias!$M$2:$M$301,"Alta"))</f>
        <v/>
      </c>
      <c r="J50" s="12">
        <f>IF(A50="","",COUNTIFS(Red_Team!$B$2:$B$301,A50,Red_Team!$I$2:$I$301,"Aberta"))</f>
        <v/>
      </c>
      <c r="K50" s="12">
        <f>IF(A50="","",IFERROR(INDEX(Atas_Comite!$D$2:$D$301,MATCH(A50,Atas_Comite!$P$2:$P$301,0)),"sem ata"))</f>
        <v/>
      </c>
      <c r="L50" s="12">
        <f>IF(A50="","",IFERROR(INDEX(Atas_Comite!$O$2:$O$301,MATCH(A50,Atas_Comite!$P$2:$P$301,0)),"—"))</f>
        <v/>
      </c>
      <c r="M50" s="12">
        <f>IF(A50="","",IFERROR(INDEX(Contraditorio!$M$2:$M$301,MATCH(A50,Contraditorio!$N$2:$N$301,0)),"não enviado"))</f>
        <v/>
      </c>
      <c r="N50" s="12">
        <f>IF(A50="","",IF(AND(C50="Sim",OR(D50&gt;0,LEFT(O50,1)="C"),F50=0,G50=0,J50=0,L50="Sim",OR(M50="Respondido",M50="Prazo encerrado – sem resposta")),"SIM → revisão jurídica","Não"))</f>
        <v/>
      </c>
      <c r="O50" s="12">
        <f>IF(A50="","",IFERROR(INDEX(Custodia!$U$2:$U$301,MATCH(A50,Custodia!$A$2:$A$301,0)),"—"))</f>
        <v/>
      </c>
    </row>
    <row r="51">
      <c r="A51" s="13" t="n"/>
      <c r="B51" s="12">
        <f>IF(A51="","",IFERROR(INDEX(Custodia!$C$2:$C$301,MATCH(A51,Custodia!$A$2:$A$301,0)),"não custodiado"))</f>
        <v/>
      </c>
      <c r="C51" s="12">
        <f>IF(A51="","",IFERROR(INDEX(Custodia!$S$2:$S$301,MATCH(A51,Custodia!$A$2:$A$301,0)),"NÃO"))</f>
        <v/>
      </c>
      <c r="D51" s="12">
        <f>IF(A51="","",COUNTIFS(Log_Testes!$B$2:$B$301,A51,Log_Testes!$C$2:$C$301,"F4*"))</f>
        <v/>
      </c>
      <c r="E51" s="12">
        <f>IF(A51="","",COUNTIFS(Log_Testes!$B$2:$B$301,A51,Log_Testes!$C$2:$C$301,"F5*"))</f>
        <v/>
      </c>
      <c r="F51" s="12">
        <f>IF(A51="","",COUNTIFS(Log_Testes!$B$2:$B$301,A51,Log_Testes!$A$2:$A$301,"&lt;&gt;",Log_Testes!$M$2:$M$301,""))</f>
        <v/>
      </c>
      <c r="G51" s="12">
        <f>IF(A51="","",COUNTIFS(Log_Testes!$B$2:$B$301,A51,Log_Testes!$N$2:$N$301,"DIVERGE*"))</f>
        <v/>
      </c>
      <c r="H51" s="12">
        <f>IF(A51="","",COUNTIFS(Divergencias!$B$2:$B$301,A51,Divergencias!$Q$2:$Q$301,"Sim"))</f>
        <v/>
      </c>
      <c r="I51" s="12">
        <f>IF(A51="","",COUNTIFS(Divergencias!$B$2:$B$301,A51,Divergencias!$Q$2:$Q$301,"Sim",Divergencias!$M$2:$M$301,"Alta"))</f>
        <v/>
      </c>
      <c r="J51" s="12">
        <f>IF(A51="","",COUNTIFS(Red_Team!$B$2:$B$301,A51,Red_Team!$I$2:$I$301,"Aberta"))</f>
        <v/>
      </c>
      <c r="K51" s="12">
        <f>IF(A51="","",IFERROR(INDEX(Atas_Comite!$D$2:$D$301,MATCH(A51,Atas_Comite!$P$2:$P$301,0)),"sem ata"))</f>
        <v/>
      </c>
      <c r="L51" s="12">
        <f>IF(A51="","",IFERROR(INDEX(Atas_Comite!$O$2:$O$301,MATCH(A51,Atas_Comite!$P$2:$P$301,0)),"—"))</f>
        <v/>
      </c>
      <c r="M51" s="12">
        <f>IF(A51="","",IFERROR(INDEX(Contraditorio!$M$2:$M$301,MATCH(A51,Contraditorio!$N$2:$N$301,0)),"não enviado"))</f>
        <v/>
      </c>
      <c r="N51" s="12">
        <f>IF(A51="","",IF(AND(C51="Sim",OR(D51&gt;0,LEFT(O51,1)="C"),F51=0,G51=0,J51=0,L51="Sim",OR(M51="Respondido",M51="Prazo encerrado – sem resposta")),"SIM → revisão jurídica","Não"))</f>
        <v/>
      </c>
      <c r="O51" s="12">
        <f>IF(A51="","",IFERROR(INDEX(Custodia!$U$2:$U$301,MATCH(A51,Custodia!$A$2:$A$301,0)),"—"))</f>
        <v/>
      </c>
    </row>
    <row r="52">
      <c r="A52" s="13" t="n"/>
      <c r="B52" s="12">
        <f>IF(A52="","",IFERROR(INDEX(Custodia!$C$2:$C$301,MATCH(A52,Custodia!$A$2:$A$301,0)),"não custodiado"))</f>
        <v/>
      </c>
      <c r="C52" s="12">
        <f>IF(A52="","",IFERROR(INDEX(Custodia!$S$2:$S$301,MATCH(A52,Custodia!$A$2:$A$301,0)),"NÃO"))</f>
        <v/>
      </c>
      <c r="D52" s="12">
        <f>IF(A52="","",COUNTIFS(Log_Testes!$B$2:$B$301,A52,Log_Testes!$C$2:$C$301,"F4*"))</f>
        <v/>
      </c>
      <c r="E52" s="12">
        <f>IF(A52="","",COUNTIFS(Log_Testes!$B$2:$B$301,A52,Log_Testes!$C$2:$C$301,"F5*"))</f>
        <v/>
      </c>
      <c r="F52" s="12">
        <f>IF(A52="","",COUNTIFS(Log_Testes!$B$2:$B$301,A52,Log_Testes!$A$2:$A$301,"&lt;&gt;",Log_Testes!$M$2:$M$301,""))</f>
        <v/>
      </c>
      <c r="G52" s="12">
        <f>IF(A52="","",COUNTIFS(Log_Testes!$B$2:$B$301,A52,Log_Testes!$N$2:$N$301,"DIVERGE*"))</f>
        <v/>
      </c>
      <c r="H52" s="12">
        <f>IF(A52="","",COUNTIFS(Divergencias!$B$2:$B$301,A52,Divergencias!$Q$2:$Q$301,"Sim"))</f>
        <v/>
      </c>
      <c r="I52" s="12">
        <f>IF(A52="","",COUNTIFS(Divergencias!$B$2:$B$301,A52,Divergencias!$Q$2:$Q$301,"Sim",Divergencias!$M$2:$M$301,"Alta"))</f>
        <v/>
      </c>
      <c r="J52" s="12">
        <f>IF(A52="","",COUNTIFS(Red_Team!$B$2:$B$301,A52,Red_Team!$I$2:$I$301,"Aberta"))</f>
        <v/>
      </c>
      <c r="K52" s="12">
        <f>IF(A52="","",IFERROR(INDEX(Atas_Comite!$D$2:$D$301,MATCH(A52,Atas_Comite!$P$2:$P$301,0)),"sem ata"))</f>
        <v/>
      </c>
      <c r="L52" s="12">
        <f>IF(A52="","",IFERROR(INDEX(Atas_Comite!$O$2:$O$301,MATCH(A52,Atas_Comite!$P$2:$P$301,0)),"—"))</f>
        <v/>
      </c>
      <c r="M52" s="12">
        <f>IF(A52="","",IFERROR(INDEX(Contraditorio!$M$2:$M$301,MATCH(A52,Contraditorio!$N$2:$N$301,0)),"não enviado"))</f>
        <v/>
      </c>
      <c r="N52" s="12">
        <f>IF(A52="","",IF(AND(C52="Sim",OR(D52&gt;0,LEFT(O52,1)="C"),F52=0,G52=0,J52=0,L52="Sim",OR(M52="Respondido",M52="Prazo encerrado – sem resposta")),"SIM → revisão jurídica","Não"))</f>
        <v/>
      </c>
      <c r="O52" s="12">
        <f>IF(A52="","",IFERROR(INDEX(Custodia!$U$2:$U$301,MATCH(A52,Custodia!$A$2:$A$301,0)),"—"))</f>
        <v/>
      </c>
    </row>
    <row r="53">
      <c r="A53" s="13" t="n"/>
      <c r="B53" s="12">
        <f>IF(A53="","",IFERROR(INDEX(Custodia!$C$2:$C$301,MATCH(A53,Custodia!$A$2:$A$301,0)),"não custodiado"))</f>
        <v/>
      </c>
      <c r="C53" s="12">
        <f>IF(A53="","",IFERROR(INDEX(Custodia!$S$2:$S$301,MATCH(A53,Custodia!$A$2:$A$301,0)),"NÃO"))</f>
        <v/>
      </c>
      <c r="D53" s="12">
        <f>IF(A53="","",COUNTIFS(Log_Testes!$B$2:$B$301,A53,Log_Testes!$C$2:$C$301,"F4*"))</f>
        <v/>
      </c>
      <c r="E53" s="12">
        <f>IF(A53="","",COUNTIFS(Log_Testes!$B$2:$B$301,A53,Log_Testes!$C$2:$C$301,"F5*"))</f>
        <v/>
      </c>
      <c r="F53" s="12">
        <f>IF(A53="","",COUNTIFS(Log_Testes!$B$2:$B$301,A53,Log_Testes!$A$2:$A$301,"&lt;&gt;",Log_Testes!$M$2:$M$301,""))</f>
        <v/>
      </c>
      <c r="G53" s="12">
        <f>IF(A53="","",COUNTIFS(Log_Testes!$B$2:$B$301,A53,Log_Testes!$N$2:$N$301,"DIVERGE*"))</f>
        <v/>
      </c>
      <c r="H53" s="12">
        <f>IF(A53="","",COUNTIFS(Divergencias!$B$2:$B$301,A53,Divergencias!$Q$2:$Q$301,"Sim"))</f>
        <v/>
      </c>
      <c r="I53" s="12">
        <f>IF(A53="","",COUNTIFS(Divergencias!$B$2:$B$301,A53,Divergencias!$Q$2:$Q$301,"Sim",Divergencias!$M$2:$M$301,"Alta"))</f>
        <v/>
      </c>
      <c r="J53" s="12">
        <f>IF(A53="","",COUNTIFS(Red_Team!$B$2:$B$301,A53,Red_Team!$I$2:$I$301,"Aberta"))</f>
        <v/>
      </c>
      <c r="K53" s="12">
        <f>IF(A53="","",IFERROR(INDEX(Atas_Comite!$D$2:$D$301,MATCH(A53,Atas_Comite!$P$2:$P$301,0)),"sem ata"))</f>
        <v/>
      </c>
      <c r="L53" s="12">
        <f>IF(A53="","",IFERROR(INDEX(Atas_Comite!$O$2:$O$301,MATCH(A53,Atas_Comite!$P$2:$P$301,0)),"—"))</f>
        <v/>
      </c>
      <c r="M53" s="12">
        <f>IF(A53="","",IFERROR(INDEX(Contraditorio!$M$2:$M$301,MATCH(A53,Contraditorio!$N$2:$N$301,0)),"não enviado"))</f>
        <v/>
      </c>
      <c r="N53" s="12">
        <f>IF(A53="","",IF(AND(C53="Sim",OR(D53&gt;0,LEFT(O53,1)="C"),F53=0,G53=0,J53=0,L53="Sim",OR(M53="Respondido",M53="Prazo encerrado – sem resposta")),"SIM → revisão jurídica","Não"))</f>
        <v/>
      </c>
      <c r="O53" s="12">
        <f>IF(A53="","",IFERROR(INDEX(Custodia!$U$2:$U$301,MATCH(A53,Custodia!$A$2:$A$301,0)),"—"))</f>
        <v/>
      </c>
    </row>
    <row r="54">
      <c r="A54" s="13" t="n"/>
      <c r="B54" s="12">
        <f>IF(A54="","",IFERROR(INDEX(Custodia!$C$2:$C$301,MATCH(A54,Custodia!$A$2:$A$301,0)),"não custodiado"))</f>
        <v/>
      </c>
      <c r="C54" s="12">
        <f>IF(A54="","",IFERROR(INDEX(Custodia!$S$2:$S$301,MATCH(A54,Custodia!$A$2:$A$301,0)),"NÃO"))</f>
        <v/>
      </c>
      <c r="D54" s="12">
        <f>IF(A54="","",COUNTIFS(Log_Testes!$B$2:$B$301,A54,Log_Testes!$C$2:$C$301,"F4*"))</f>
        <v/>
      </c>
      <c r="E54" s="12">
        <f>IF(A54="","",COUNTIFS(Log_Testes!$B$2:$B$301,A54,Log_Testes!$C$2:$C$301,"F5*"))</f>
        <v/>
      </c>
      <c r="F54" s="12">
        <f>IF(A54="","",COUNTIFS(Log_Testes!$B$2:$B$301,A54,Log_Testes!$A$2:$A$301,"&lt;&gt;",Log_Testes!$M$2:$M$301,""))</f>
        <v/>
      </c>
      <c r="G54" s="12">
        <f>IF(A54="","",COUNTIFS(Log_Testes!$B$2:$B$301,A54,Log_Testes!$N$2:$N$301,"DIVERGE*"))</f>
        <v/>
      </c>
      <c r="H54" s="12">
        <f>IF(A54="","",COUNTIFS(Divergencias!$B$2:$B$301,A54,Divergencias!$Q$2:$Q$301,"Sim"))</f>
        <v/>
      </c>
      <c r="I54" s="12">
        <f>IF(A54="","",COUNTIFS(Divergencias!$B$2:$B$301,A54,Divergencias!$Q$2:$Q$301,"Sim",Divergencias!$M$2:$M$301,"Alta"))</f>
        <v/>
      </c>
      <c r="J54" s="12">
        <f>IF(A54="","",COUNTIFS(Red_Team!$B$2:$B$301,A54,Red_Team!$I$2:$I$301,"Aberta"))</f>
        <v/>
      </c>
      <c r="K54" s="12">
        <f>IF(A54="","",IFERROR(INDEX(Atas_Comite!$D$2:$D$301,MATCH(A54,Atas_Comite!$P$2:$P$301,0)),"sem ata"))</f>
        <v/>
      </c>
      <c r="L54" s="12">
        <f>IF(A54="","",IFERROR(INDEX(Atas_Comite!$O$2:$O$301,MATCH(A54,Atas_Comite!$P$2:$P$301,0)),"—"))</f>
        <v/>
      </c>
      <c r="M54" s="12">
        <f>IF(A54="","",IFERROR(INDEX(Contraditorio!$M$2:$M$301,MATCH(A54,Contraditorio!$N$2:$N$301,0)),"não enviado"))</f>
        <v/>
      </c>
      <c r="N54" s="12">
        <f>IF(A54="","",IF(AND(C54="Sim",OR(D54&gt;0,LEFT(O54,1)="C"),F54=0,G54=0,J54=0,L54="Sim",OR(M54="Respondido",M54="Prazo encerrado – sem resposta")),"SIM → revisão jurídica","Não"))</f>
        <v/>
      </c>
      <c r="O54" s="12">
        <f>IF(A54="","",IFERROR(INDEX(Custodia!$U$2:$U$301,MATCH(A54,Custodia!$A$2:$A$301,0)),"—"))</f>
        <v/>
      </c>
    </row>
    <row r="55">
      <c r="A55" s="13" t="n"/>
      <c r="B55" s="12">
        <f>IF(A55="","",IFERROR(INDEX(Custodia!$C$2:$C$301,MATCH(A55,Custodia!$A$2:$A$301,0)),"não custodiado"))</f>
        <v/>
      </c>
      <c r="C55" s="12">
        <f>IF(A55="","",IFERROR(INDEX(Custodia!$S$2:$S$301,MATCH(A55,Custodia!$A$2:$A$301,0)),"NÃO"))</f>
        <v/>
      </c>
      <c r="D55" s="12">
        <f>IF(A55="","",COUNTIFS(Log_Testes!$B$2:$B$301,A55,Log_Testes!$C$2:$C$301,"F4*"))</f>
        <v/>
      </c>
      <c r="E55" s="12">
        <f>IF(A55="","",COUNTIFS(Log_Testes!$B$2:$B$301,A55,Log_Testes!$C$2:$C$301,"F5*"))</f>
        <v/>
      </c>
      <c r="F55" s="12">
        <f>IF(A55="","",COUNTIFS(Log_Testes!$B$2:$B$301,A55,Log_Testes!$A$2:$A$301,"&lt;&gt;",Log_Testes!$M$2:$M$301,""))</f>
        <v/>
      </c>
      <c r="G55" s="12">
        <f>IF(A55="","",COUNTIFS(Log_Testes!$B$2:$B$301,A55,Log_Testes!$N$2:$N$301,"DIVERGE*"))</f>
        <v/>
      </c>
      <c r="H55" s="12">
        <f>IF(A55="","",COUNTIFS(Divergencias!$B$2:$B$301,A55,Divergencias!$Q$2:$Q$301,"Sim"))</f>
        <v/>
      </c>
      <c r="I55" s="12">
        <f>IF(A55="","",COUNTIFS(Divergencias!$B$2:$B$301,A55,Divergencias!$Q$2:$Q$301,"Sim",Divergencias!$M$2:$M$301,"Alta"))</f>
        <v/>
      </c>
      <c r="J55" s="12">
        <f>IF(A55="","",COUNTIFS(Red_Team!$B$2:$B$301,A55,Red_Team!$I$2:$I$301,"Aberta"))</f>
        <v/>
      </c>
      <c r="K55" s="12">
        <f>IF(A55="","",IFERROR(INDEX(Atas_Comite!$D$2:$D$301,MATCH(A55,Atas_Comite!$P$2:$P$301,0)),"sem ata"))</f>
        <v/>
      </c>
      <c r="L55" s="12">
        <f>IF(A55="","",IFERROR(INDEX(Atas_Comite!$O$2:$O$301,MATCH(A55,Atas_Comite!$P$2:$P$301,0)),"—"))</f>
        <v/>
      </c>
      <c r="M55" s="12">
        <f>IF(A55="","",IFERROR(INDEX(Contraditorio!$M$2:$M$301,MATCH(A55,Contraditorio!$N$2:$N$301,0)),"não enviado"))</f>
        <v/>
      </c>
      <c r="N55" s="12">
        <f>IF(A55="","",IF(AND(C55="Sim",OR(D55&gt;0,LEFT(O55,1)="C"),F55=0,G55=0,J55=0,L55="Sim",OR(M55="Respondido",M55="Prazo encerrado – sem resposta")),"SIM → revisão jurídica","Não"))</f>
        <v/>
      </c>
      <c r="O55" s="12">
        <f>IF(A55="","",IFERROR(INDEX(Custodia!$U$2:$U$301,MATCH(A55,Custodia!$A$2:$A$301,0)),"—"))</f>
        <v/>
      </c>
    </row>
    <row r="56">
      <c r="A56" s="13" t="n"/>
      <c r="B56" s="12">
        <f>IF(A56="","",IFERROR(INDEX(Custodia!$C$2:$C$301,MATCH(A56,Custodia!$A$2:$A$301,0)),"não custodiado"))</f>
        <v/>
      </c>
      <c r="C56" s="12">
        <f>IF(A56="","",IFERROR(INDEX(Custodia!$S$2:$S$301,MATCH(A56,Custodia!$A$2:$A$301,0)),"NÃO"))</f>
        <v/>
      </c>
      <c r="D56" s="12">
        <f>IF(A56="","",COUNTIFS(Log_Testes!$B$2:$B$301,A56,Log_Testes!$C$2:$C$301,"F4*"))</f>
        <v/>
      </c>
      <c r="E56" s="12">
        <f>IF(A56="","",COUNTIFS(Log_Testes!$B$2:$B$301,A56,Log_Testes!$C$2:$C$301,"F5*"))</f>
        <v/>
      </c>
      <c r="F56" s="12">
        <f>IF(A56="","",COUNTIFS(Log_Testes!$B$2:$B$301,A56,Log_Testes!$A$2:$A$301,"&lt;&gt;",Log_Testes!$M$2:$M$301,""))</f>
        <v/>
      </c>
      <c r="G56" s="12">
        <f>IF(A56="","",COUNTIFS(Log_Testes!$B$2:$B$301,A56,Log_Testes!$N$2:$N$301,"DIVERGE*"))</f>
        <v/>
      </c>
      <c r="H56" s="12">
        <f>IF(A56="","",COUNTIFS(Divergencias!$B$2:$B$301,A56,Divergencias!$Q$2:$Q$301,"Sim"))</f>
        <v/>
      </c>
      <c r="I56" s="12">
        <f>IF(A56="","",COUNTIFS(Divergencias!$B$2:$B$301,A56,Divergencias!$Q$2:$Q$301,"Sim",Divergencias!$M$2:$M$301,"Alta"))</f>
        <v/>
      </c>
      <c r="J56" s="12">
        <f>IF(A56="","",COUNTIFS(Red_Team!$B$2:$B$301,A56,Red_Team!$I$2:$I$301,"Aberta"))</f>
        <v/>
      </c>
      <c r="K56" s="12">
        <f>IF(A56="","",IFERROR(INDEX(Atas_Comite!$D$2:$D$301,MATCH(A56,Atas_Comite!$P$2:$P$301,0)),"sem ata"))</f>
        <v/>
      </c>
      <c r="L56" s="12">
        <f>IF(A56="","",IFERROR(INDEX(Atas_Comite!$O$2:$O$301,MATCH(A56,Atas_Comite!$P$2:$P$301,0)),"—"))</f>
        <v/>
      </c>
      <c r="M56" s="12">
        <f>IF(A56="","",IFERROR(INDEX(Contraditorio!$M$2:$M$301,MATCH(A56,Contraditorio!$N$2:$N$301,0)),"não enviado"))</f>
        <v/>
      </c>
      <c r="N56" s="12">
        <f>IF(A56="","",IF(AND(C56="Sim",OR(D56&gt;0,LEFT(O56,1)="C"),F56=0,G56=0,J56=0,L56="Sim",OR(M56="Respondido",M56="Prazo encerrado – sem resposta")),"SIM → revisão jurídica","Não"))</f>
        <v/>
      </c>
      <c r="O56" s="12">
        <f>IF(A56="","",IFERROR(INDEX(Custodia!$U$2:$U$301,MATCH(A56,Custodia!$A$2:$A$301,0)),"—"))</f>
        <v/>
      </c>
    </row>
    <row r="57">
      <c r="A57" s="13" t="n"/>
      <c r="B57" s="12">
        <f>IF(A57="","",IFERROR(INDEX(Custodia!$C$2:$C$301,MATCH(A57,Custodia!$A$2:$A$301,0)),"não custodiado"))</f>
        <v/>
      </c>
      <c r="C57" s="12">
        <f>IF(A57="","",IFERROR(INDEX(Custodia!$S$2:$S$301,MATCH(A57,Custodia!$A$2:$A$301,0)),"NÃO"))</f>
        <v/>
      </c>
      <c r="D57" s="12">
        <f>IF(A57="","",COUNTIFS(Log_Testes!$B$2:$B$301,A57,Log_Testes!$C$2:$C$301,"F4*"))</f>
        <v/>
      </c>
      <c r="E57" s="12">
        <f>IF(A57="","",COUNTIFS(Log_Testes!$B$2:$B$301,A57,Log_Testes!$C$2:$C$301,"F5*"))</f>
        <v/>
      </c>
      <c r="F57" s="12">
        <f>IF(A57="","",COUNTIFS(Log_Testes!$B$2:$B$301,A57,Log_Testes!$A$2:$A$301,"&lt;&gt;",Log_Testes!$M$2:$M$301,""))</f>
        <v/>
      </c>
      <c r="G57" s="12">
        <f>IF(A57="","",COUNTIFS(Log_Testes!$B$2:$B$301,A57,Log_Testes!$N$2:$N$301,"DIVERGE*"))</f>
        <v/>
      </c>
      <c r="H57" s="12">
        <f>IF(A57="","",COUNTIFS(Divergencias!$B$2:$B$301,A57,Divergencias!$Q$2:$Q$301,"Sim"))</f>
        <v/>
      </c>
      <c r="I57" s="12">
        <f>IF(A57="","",COUNTIFS(Divergencias!$B$2:$B$301,A57,Divergencias!$Q$2:$Q$301,"Sim",Divergencias!$M$2:$M$301,"Alta"))</f>
        <v/>
      </c>
      <c r="J57" s="12">
        <f>IF(A57="","",COUNTIFS(Red_Team!$B$2:$B$301,A57,Red_Team!$I$2:$I$301,"Aberta"))</f>
        <v/>
      </c>
      <c r="K57" s="12">
        <f>IF(A57="","",IFERROR(INDEX(Atas_Comite!$D$2:$D$301,MATCH(A57,Atas_Comite!$P$2:$P$301,0)),"sem ata"))</f>
        <v/>
      </c>
      <c r="L57" s="12">
        <f>IF(A57="","",IFERROR(INDEX(Atas_Comite!$O$2:$O$301,MATCH(A57,Atas_Comite!$P$2:$P$301,0)),"—"))</f>
        <v/>
      </c>
      <c r="M57" s="12">
        <f>IF(A57="","",IFERROR(INDEX(Contraditorio!$M$2:$M$301,MATCH(A57,Contraditorio!$N$2:$N$301,0)),"não enviado"))</f>
        <v/>
      </c>
      <c r="N57" s="12">
        <f>IF(A57="","",IF(AND(C57="Sim",OR(D57&gt;0,LEFT(O57,1)="C"),F57=0,G57=0,J57=0,L57="Sim",OR(M57="Respondido",M57="Prazo encerrado – sem resposta")),"SIM → revisão jurídica","Não"))</f>
        <v/>
      </c>
      <c r="O57" s="12">
        <f>IF(A57="","",IFERROR(INDEX(Custodia!$U$2:$U$301,MATCH(A57,Custodia!$A$2:$A$301,0)),"—"))</f>
        <v/>
      </c>
    </row>
    <row r="58">
      <c r="A58" s="13" t="n"/>
      <c r="B58" s="12">
        <f>IF(A58="","",IFERROR(INDEX(Custodia!$C$2:$C$301,MATCH(A58,Custodia!$A$2:$A$301,0)),"não custodiado"))</f>
        <v/>
      </c>
      <c r="C58" s="12">
        <f>IF(A58="","",IFERROR(INDEX(Custodia!$S$2:$S$301,MATCH(A58,Custodia!$A$2:$A$301,0)),"NÃO"))</f>
        <v/>
      </c>
      <c r="D58" s="12">
        <f>IF(A58="","",COUNTIFS(Log_Testes!$B$2:$B$301,A58,Log_Testes!$C$2:$C$301,"F4*"))</f>
        <v/>
      </c>
      <c r="E58" s="12">
        <f>IF(A58="","",COUNTIFS(Log_Testes!$B$2:$B$301,A58,Log_Testes!$C$2:$C$301,"F5*"))</f>
        <v/>
      </c>
      <c r="F58" s="12">
        <f>IF(A58="","",COUNTIFS(Log_Testes!$B$2:$B$301,A58,Log_Testes!$A$2:$A$301,"&lt;&gt;",Log_Testes!$M$2:$M$301,""))</f>
        <v/>
      </c>
      <c r="G58" s="12">
        <f>IF(A58="","",COUNTIFS(Log_Testes!$B$2:$B$301,A58,Log_Testes!$N$2:$N$301,"DIVERGE*"))</f>
        <v/>
      </c>
      <c r="H58" s="12">
        <f>IF(A58="","",COUNTIFS(Divergencias!$B$2:$B$301,A58,Divergencias!$Q$2:$Q$301,"Sim"))</f>
        <v/>
      </c>
      <c r="I58" s="12">
        <f>IF(A58="","",COUNTIFS(Divergencias!$B$2:$B$301,A58,Divergencias!$Q$2:$Q$301,"Sim",Divergencias!$M$2:$M$301,"Alta"))</f>
        <v/>
      </c>
      <c r="J58" s="12">
        <f>IF(A58="","",COUNTIFS(Red_Team!$B$2:$B$301,A58,Red_Team!$I$2:$I$301,"Aberta"))</f>
        <v/>
      </c>
      <c r="K58" s="12">
        <f>IF(A58="","",IFERROR(INDEX(Atas_Comite!$D$2:$D$301,MATCH(A58,Atas_Comite!$P$2:$P$301,0)),"sem ata"))</f>
        <v/>
      </c>
      <c r="L58" s="12">
        <f>IF(A58="","",IFERROR(INDEX(Atas_Comite!$O$2:$O$301,MATCH(A58,Atas_Comite!$P$2:$P$301,0)),"—"))</f>
        <v/>
      </c>
      <c r="M58" s="12">
        <f>IF(A58="","",IFERROR(INDEX(Contraditorio!$M$2:$M$301,MATCH(A58,Contraditorio!$N$2:$N$301,0)),"não enviado"))</f>
        <v/>
      </c>
      <c r="N58" s="12">
        <f>IF(A58="","",IF(AND(C58="Sim",OR(D58&gt;0,LEFT(O58,1)="C"),F58=0,G58=0,J58=0,L58="Sim",OR(M58="Respondido",M58="Prazo encerrado – sem resposta")),"SIM → revisão jurídica","Não"))</f>
        <v/>
      </c>
      <c r="O58" s="12">
        <f>IF(A58="","",IFERROR(INDEX(Custodia!$U$2:$U$301,MATCH(A58,Custodia!$A$2:$A$301,0)),"—"))</f>
        <v/>
      </c>
    </row>
    <row r="59">
      <c r="A59" s="13" t="n"/>
      <c r="B59" s="12">
        <f>IF(A59="","",IFERROR(INDEX(Custodia!$C$2:$C$301,MATCH(A59,Custodia!$A$2:$A$301,0)),"não custodiado"))</f>
        <v/>
      </c>
      <c r="C59" s="12">
        <f>IF(A59="","",IFERROR(INDEX(Custodia!$S$2:$S$301,MATCH(A59,Custodia!$A$2:$A$301,0)),"NÃO"))</f>
        <v/>
      </c>
      <c r="D59" s="12">
        <f>IF(A59="","",COUNTIFS(Log_Testes!$B$2:$B$301,A59,Log_Testes!$C$2:$C$301,"F4*"))</f>
        <v/>
      </c>
      <c r="E59" s="12">
        <f>IF(A59="","",COUNTIFS(Log_Testes!$B$2:$B$301,A59,Log_Testes!$C$2:$C$301,"F5*"))</f>
        <v/>
      </c>
      <c r="F59" s="12">
        <f>IF(A59="","",COUNTIFS(Log_Testes!$B$2:$B$301,A59,Log_Testes!$A$2:$A$301,"&lt;&gt;",Log_Testes!$M$2:$M$301,""))</f>
        <v/>
      </c>
      <c r="G59" s="12">
        <f>IF(A59="","",COUNTIFS(Log_Testes!$B$2:$B$301,A59,Log_Testes!$N$2:$N$301,"DIVERGE*"))</f>
        <v/>
      </c>
      <c r="H59" s="12">
        <f>IF(A59="","",COUNTIFS(Divergencias!$B$2:$B$301,A59,Divergencias!$Q$2:$Q$301,"Sim"))</f>
        <v/>
      </c>
      <c r="I59" s="12">
        <f>IF(A59="","",COUNTIFS(Divergencias!$B$2:$B$301,A59,Divergencias!$Q$2:$Q$301,"Sim",Divergencias!$M$2:$M$301,"Alta"))</f>
        <v/>
      </c>
      <c r="J59" s="12">
        <f>IF(A59="","",COUNTIFS(Red_Team!$B$2:$B$301,A59,Red_Team!$I$2:$I$301,"Aberta"))</f>
        <v/>
      </c>
      <c r="K59" s="12">
        <f>IF(A59="","",IFERROR(INDEX(Atas_Comite!$D$2:$D$301,MATCH(A59,Atas_Comite!$P$2:$P$301,0)),"sem ata"))</f>
        <v/>
      </c>
      <c r="L59" s="12">
        <f>IF(A59="","",IFERROR(INDEX(Atas_Comite!$O$2:$O$301,MATCH(A59,Atas_Comite!$P$2:$P$301,0)),"—"))</f>
        <v/>
      </c>
      <c r="M59" s="12">
        <f>IF(A59="","",IFERROR(INDEX(Contraditorio!$M$2:$M$301,MATCH(A59,Contraditorio!$N$2:$N$301,0)),"não enviado"))</f>
        <v/>
      </c>
      <c r="N59" s="12">
        <f>IF(A59="","",IF(AND(C59="Sim",OR(D59&gt;0,LEFT(O59,1)="C"),F59=0,G59=0,J59=0,L59="Sim",OR(M59="Respondido",M59="Prazo encerrado – sem resposta")),"SIM → revisão jurídica","Não"))</f>
        <v/>
      </c>
      <c r="O59" s="12">
        <f>IF(A59="","",IFERROR(INDEX(Custodia!$U$2:$U$301,MATCH(A59,Custodia!$A$2:$A$301,0)),"—"))</f>
        <v/>
      </c>
    </row>
    <row r="60">
      <c r="A60" s="13" t="n"/>
      <c r="B60" s="12">
        <f>IF(A60="","",IFERROR(INDEX(Custodia!$C$2:$C$301,MATCH(A60,Custodia!$A$2:$A$301,0)),"não custodiado"))</f>
        <v/>
      </c>
      <c r="C60" s="12">
        <f>IF(A60="","",IFERROR(INDEX(Custodia!$S$2:$S$301,MATCH(A60,Custodia!$A$2:$A$301,0)),"NÃO"))</f>
        <v/>
      </c>
      <c r="D60" s="12">
        <f>IF(A60="","",COUNTIFS(Log_Testes!$B$2:$B$301,A60,Log_Testes!$C$2:$C$301,"F4*"))</f>
        <v/>
      </c>
      <c r="E60" s="12">
        <f>IF(A60="","",COUNTIFS(Log_Testes!$B$2:$B$301,A60,Log_Testes!$C$2:$C$301,"F5*"))</f>
        <v/>
      </c>
      <c r="F60" s="12">
        <f>IF(A60="","",COUNTIFS(Log_Testes!$B$2:$B$301,A60,Log_Testes!$A$2:$A$301,"&lt;&gt;",Log_Testes!$M$2:$M$301,""))</f>
        <v/>
      </c>
      <c r="G60" s="12">
        <f>IF(A60="","",COUNTIFS(Log_Testes!$B$2:$B$301,A60,Log_Testes!$N$2:$N$301,"DIVERGE*"))</f>
        <v/>
      </c>
      <c r="H60" s="12">
        <f>IF(A60="","",COUNTIFS(Divergencias!$B$2:$B$301,A60,Divergencias!$Q$2:$Q$301,"Sim"))</f>
        <v/>
      </c>
      <c r="I60" s="12">
        <f>IF(A60="","",COUNTIFS(Divergencias!$B$2:$B$301,A60,Divergencias!$Q$2:$Q$301,"Sim",Divergencias!$M$2:$M$301,"Alta"))</f>
        <v/>
      </c>
      <c r="J60" s="12">
        <f>IF(A60="","",COUNTIFS(Red_Team!$B$2:$B$301,A60,Red_Team!$I$2:$I$301,"Aberta"))</f>
        <v/>
      </c>
      <c r="K60" s="12">
        <f>IF(A60="","",IFERROR(INDEX(Atas_Comite!$D$2:$D$301,MATCH(A60,Atas_Comite!$P$2:$P$301,0)),"sem ata"))</f>
        <v/>
      </c>
      <c r="L60" s="12">
        <f>IF(A60="","",IFERROR(INDEX(Atas_Comite!$O$2:$O$301,MATCH(A60,Atas_Comite!$P$2:$P$301,0)),"—"))</f>
        <v/>
      </c>
      <c r="M60" s="12">
        <f>IF(A60="","",IFERROR(INDEX(Contraditorio!$M$2:$M$301,MATCH(A60,Contraditorio!$N$2:$N$301,0)),"não enviado"))</f>
        <v/>
      </c>
      <c r="N60" s="12">
        <f>IF(A60="","",IF(AND(C60="Sim",OR(D60&gt;0,LEFT(O60,1)="C"),F60=0,G60=0,J60=0,L60="Sim",OR(M60="Respondido",M60="Prazo encerrado – sem resposta")),"SIM → revisão jurídica","Não"))</f>
        <v/>
      </c>
      <c r="O60" s="12">
        <f>IF(A60="","",IFERROR(INDEX(Custodia!$U$2:$U$301,MATCH(A60,Custodia!$A$2:$A$301,0)),"—"))</f>
        <v/>
      </c>
    </row>
    <row r="61">
      <c r="A61" s="13" t="n"/>
      <c r="B61" s="12">
        <f>IF(A61="","",IFERROR(INDEX(Custodia!$C$2:$C$301,MATCH(A61,Custodia!$A$2:$A$301,0)),"não custodiado"))</f>
        <v/>
      </c>
      <c r="C61" s="12">
        <f>IF(A61="","",IFERROR(INDEX(Custodia!$S$2:$S$301,MATCH(A61,Custodia!$A$2:$A$301,0)),"NÃO"))</f>
        <v/>
      </c>
      <c r="D61" s="12">
        <f>IF(A61="","",COUNTIFS(Log_Testes!$B$2:$B$301,A61,Log_Testes!$C$2:$C$301,"F4*"))</f>
        <v/>
      </c>
      <c r="E61" s="12">
        <f>IF(A61="","",COUNTIFS(Log_Testes!$B$2:$B$301,A61,Log_Testes!$C$2:$C$301,"F5*"))</f>
        <v/>
      </c>
      <c r="F61" s="12">
        <f>IF(A61="","",COUNTIFS(Log_Testes!$B$2:$B$301,A61,Log_Testes!$A$2:$A$301,"&lt;&gt;",Log_Testes!$M$2:$M$301,""))</f>
        <v/>
      </c>
      <c r="G61" s="12">
        <f>IF(A61="","",COUNTIFS(Log_Testes!$B$2:$B$301,A61,Log_Testes!$N$2:$N$301,"DIVERGE*"))</f>
        <v/>
      </c>
      <c r="H61" s="12">
        <f>IF(A61="","",COUNTIFS(Divergencias!$B$2:$B$301,A61,Divergencias!$Q$2:$Q$301,"Sim"))</f>
        <v/>
      </c>
      <c r="I61" s="12">
        <f>IF(A61="","",COUNTIFS(Divergencias!$B$2:$B$301,A61,Divergencias!$Q$2:$Q$301,"Sim",Divergencias!$M$2:$M$301,"Alta"))</f>
        <v/>
      </c>
      <c r="J61" s="12">
        <f>IF(A61="","",COUNTIFS(Red_Team!$B$2:$B$301,A61,Red_Team!$I$2:$I$301,"Aberta"))</f>
        <v/>
      </c>
      <c r="K61" s="12">
        <f>IF(A61="","",IFERROR(INDEX(Atas_Comite!$D$2:$D$301,MATCH(A61,Atas_Comite!$P$2:$P$301,0)),"sem ata"))</f>
        <v/>
      </c>
      <c r="L61" s="12">
        <f>IF(A61="","",IFERROR(INDEX(Atas_Comite!$O$2:$O$301,MATCH(A61,Atas_Comite!$P$2:$P$301,0)),"—"))</f>
        <v/>
      </c>
      <c r="M61" s="12">
        <f>IF(A61="","",IFERROR(INDEX(Contraditorio!$M$2:$M$301,MATCH(A61,Contraditorio!$N$2:$N$301,0)),"não enviado"))</f>
        <v/>
      </c>
      <c r="N61" s="12">
        <f>IF(A61="","",IF(AND(C61="Sim",OR(D61&gt;0,LEFT(O61,1)="C"),F61=0,G61=0,J61=0,L61="Sim",OR(M61="Respondido",M61="Prazo encerrado – sem resposta")),"SIM → revisão jurídica","Não"))</f>
        <v/>
      </c>
      <c r="O61" s="12">
        <f>IF(A61="","",IFERROR(INDEX(Custodia!$U$2:$U$301,MATCH(A61,Custodia!$A$2:$A$301,0)),"—"))</f>
        <v/>
      </c>
    </row>
    <row r="62">
      <c r="A62" s="13" t="n"/>
      <c r="B62" s="12">
        <f>IF(A62="","",IFERROR(INDEX(Custodia!$C$2:$C$301,MATCH(A62,Custodia!$A$2:$A$301,0)),"não custodiado"))</f>
        <v/>
      </c>
      <c r="C62" s="12">
        <f>IF(A62="","",IFERROR(INDEX(Custodia!$S$2:$S$301,MATCH(A62,Custodia!$A$2:$A$301,0)),"NÃO"))</f>
        <v/>
      </c>
      <c r="D62" s="12">
        <f>IF(A62="","",COUNTIFS(Log_Testes!$B$2:$B$301,A62,Log_Testes!$C$2:$C$301,"F4*"))</f>
        <v/>
      </c>
      <c r="E62" s="12">
        <f>IF(A62="","",COUNTIFS(Log_Testes!$B$2:$B$301,A62,Log_Testes!$C$2:$C$301,"F5*"))</f>
        <v/>
      </c>
      <c r="F62" s="12">
        <f>IF(A62="","",COUNTIFS(Log_Testes!$B$2:$B$301,A62,Log_Testes!$A$2:$A$301,"&lt;&gt;",Log_Testes!$M$2:$M$301,""))</f>
        <v/>
      </c>
      <c r="G62" s="12">
        <f>IF(A62="","",COUNTIFS(Log_Testes!$B$2:$B$301,A62,Log_Testes!$N$2:$N$301,"DIVERGE*"))</f>
        <v/>
      </c>
      <c r="H62" s="12">
        <f>IF(A62="","",COUNTIFS(Divergencias!$B$2:$B$301,A62,Divergencias!$Q$2:$Q$301,"Sim"))</f>
        <v/>
      </c>
      <c r="I62" s="12">
        <f>IF(A62="","",COUNTIFS(Divergencias!$B$2:$B$301,A62,Divergencias!$Q$2:$Q$301,"Sim",Divergencias!$M$2:$M$301,"Alta"))</f>
        <v/>
      </c>
      <c r="J62" s="12">
        <f>IF(A62="","",COUNTIFS(Red_Team!$B$2:$B$301,A62,Red_Team!$I$2:$I$301,"Aberta"))</f>
        <v/>
      </c>
      <c r="K62" s="12">
        <f>IF(A62="","",IFERROR(INDEX(Atas_Comite!$D$2:$D$301,MATCH(A62,Atas_Comite!$P$2:$P$301,0)),"sem ata"))</f>
        <v/>
      </c>
      <c r="L62" s="12">
        <f>IF(A62="","",IFERROR(INDEX(Atas_Comite!$O$2:$O$301,MATCH(A62,Atas_Comite!$P$2:$P$301,0)),"—"))</f>
        <v/>
      </c>
      <c r="M62" s="12">
        <f>IF(A62="","",IFERROR(INDEX(Contraditorio!$M$2:$M$301,MATCH(A62,Contraditorio!$N$2:$N$301,0)),"não enviado"))</f>
        <v/>
      </c>
      <c r="N62" s="12">
        <f>IF(A62="","",IF(AND(C62="Sim",OR(D62&gt;0,LEFT(O62,1)="C"),F62=0,G62=0,J62=0,L62="Sim",OR(M62="Respondido",M62="Prazo encerrado – sem resposta")),"SIM → revisão jurídica","Não"))</f>
        <v/>
      </c>
      <c r="O62" s="12">
        <f>IF(A62="","",IFERROR(INDEX(Custodia!$U$2:$U$301,MATCH(A62,Custodia!$A$2:$A$301,0)),"—"))</f>
        <v/>
      </c>
    </row>
    <row r="63">
      <c r="A63" s="13" t="n"/>
      <c r="B63" s="12">
        <f>IF(A63="","",IFERROR(INDEX(Custodia!$C$2:$C$301,MATCH(A63,Custodia!$A$2:$A$301,0)),"não custodiado"))</f>
        <v/>
      </c>
      <c r="C63" s="12">
        <f>IF(A63="","",IFERROR(INDEX(Custodia!$S$2:$S$301,MATCH(A63,Custodia!$A$2:$A$301,0)),"NÃO"))</f>
        <v/>
      </c>
      <c r="D63" s="12">
        <f>IF(A63="","",COUNTIFS(Log_Testes!$B$2:$B$301,A63,Log_Testes!$C$2:$C$301,"F4*"))</f>
        <v/>
      </c>
      <c r="E63" s="12">
        <f>IF(A63="","",COUNTIFS(Log_Testes!$B$2:$B$301,A63,Log_Testes!$C$2:$C$301,"F5*"))</f>
        <v/>
      </c>
      <c r="F63" s="12">
        <f>IF(A63="","",COUNTIFS(Log_Testes!$B$2:$B$301,A63,Log_Testes!$A$2:$A$301,"&lt;&gt;",Log_Testes!$M$2:$M$301,""))</f>
        <v/>
      </c>
      <c r="G63" s="12">
        <f>IF(A63="","",COUNTIFS(Log_Testes!$B$2:$B$301,A63,Log_Testes!$N$2:$N$301,"DIVERGE*"))</f>
        <v/>
      </c>
      <c r="H63" s="12">
        <f>IF(A63="","",COUNTIFS(Divergencias!$B$2:$B$301,A63,Divergencias!$Q$2:$Q$301,"Sim"))</f>
        <v/>
      </c>
      <c r="I63" s="12">
        <f>IF(A63="","",COUNTIFS(Divergencias!$B$2:$B$301,A63,Divergencias!$Q$2:$Q$301,"Sim",Divergencias!$M$2:$M$301,"Alta"))</f>
        <v/>
      </c>
      <c r="J63" s="12">
        <f>IF(A63="","",COUNTIFS(Red_Team!$B$2:$B$301,A63,Red_Team!$I$2:$I$301,"Aberta"))</f>
        <v/>
      </c>
      <c r="K63" s="12">
        <f>IF(A63="","",IFERROR(INDEX(Atas_Comite!$D$2:$D$301,MATCH(A63,Atas_Comite!$P$2:$P$301,0)),"sem ata"))</f>
        <v/>
      </c>
      <c r="L63" s="12">
        <f>IF(A63="","",IFERROR(INDEX(Atas_Comite!$O$2:$O$301,MATCH(A63,Atas_Comite!$P$2:$P$301,0)),"—"))</f>
        <v/>
      </c>
      <c r="M63" s="12">
        <f>IF(A63="","",IFERROR(INDEX(Contraditorio!$M$2:$M$301,MATCH(A63,Contraditorio!$N$2:$N$301,0)),"não enviado"))</f>
        <v/>
      </c>
      <c r="N63" s="12">
        <f>IF(A63="","",IF(AND(C63="Sim",OR(D63&gt;0,LEFT(O63,1)="C"),F63=0,G63=0,J63=0,L63="Sim",OR(M63="Respondido",M63="Prazo encerrado – sem resposta")),"SIM → revisão jurídica","Não"))</f>
        <v/>
      </c>
      <c r="O63" s="12">
        <f>IF(A63="","",IFERROR(INDEX(Custodia!$U$2:$U$301,MATCH(A63,Custodia!$A$2:$A$301,0)),"—"))</f>
        <v/>
      </c>
    </row>
    <row r="64">
      <c r="A64" s="13" t="n"/>
      <c r="B64" s="12">
        <f>IF(A64="","",IFERROR(INDEX(Custodia!$C$2:$C$301,MATCH(A64,Custodia!$A$2:$A$301,0)),"não custodiado"))</f>
        <v/>
      </c>
      <c r="C64" s="12">
        <f>IF(A64="","",IFERROR(INDEX(Custodia!$S$2:$S$301,MATCH(A64,Custodia!$A$2:$A$301,0)),"NÃO"))</f>
        <v/>
      </c>
      <c r="D64" s="12">
        <f>IF(A64="","",COUNTIFS(Log_Testes!$B$2:$B$301,A64,Log_Testes!$C$2:$C$301,"F4*"))</f>
        <v/>
      </c>
      <c r="E64" s="12">
        <f>IF(A64="","",COUNTIFS(Log_Testes!$B$2:$B$301,A64,Log_Testes!$C$2:$C$301,"F5*"))</f>
        <v/>
      </c>
      <c r="F64" s="12">
        <f>IF(A64="","",COUNTIFS(Log_Testes!$B$2:$B$301,A64,Log_Testes!$A$2:$A$301,"&lt;&gt;",Log_Testes!$M$2:$M$301,""))</f>
        <v/>
      </c>
      <c r="G64" s="12">
        <f>IF(A64="","",COUNTIFS(Log_Testes!$B$2:$B$301,A64,Log_Testes!$N$2:$N$301,"DIVERGE*"))</f>
        <v/>
      </c>
      <c r="H64" s="12">
        <f>IF(A64="","",COUNTIFS(Divergencias!$B$2:$B$301,A64,Divergencias!$Q$2:$Q$301,"Sim"))</f>
        <v/>
      </c>
      <c r="I64" s="12">
        <f>IF(A64="","",COUNTIFS(Divergencias!$B$2:$B$301,A64,Divergencias!$Q$2:$Q$301,"Sim",Divergencias!$M$2:$M$301,"Alta"))</f>
        <v/>
      </c>
      <c r="J64" s="12">
        <f>IF(A64="","",COUNTIFS(Red_Team!$B$2:$B$301,A64,Red_Team!$I$2:$I$301,"Aberta"))</f>
        <v/>
      </c>
      <c r="K64" s="12">
        <f>IF(A64="","",IFERROR(INDEX(Atas_Comite!$D$2:$D$301,MATCH(A64,Atas_Comite!$P$2:$P$301,0)),"sem ata"))</f>
        <v/>
      </c>
      <c r="L64" s="12">
        <f>IF(A64="","",IFERROR(INDEX(Atas_Comite!$O$2:$O$301,MATCH(A64,Atas_Comite!$P$2:$P$301,0)),"—"))</f>
        <v/>
      </c>
      <c r="M64" s="12">
        <f>IF(A64="","",IFERROR(INDEX(Contraditorio!$M$2:$M$301,MATCH(A64,Contraditorio!$N$2:$N$301,0)),"não enviado"))</f>
        <v/>
      </c>
      <c r="N64" s="12">
        <f>IF(A64="","",IF(AND(C64="Sim",OR(D64&gt;0,LEFT(O64,1)="C"),F64=0,G64=0,J64=0,L64="Sim",OR(M64="Respondido",M64="Prazo encerrado – sem resposta")),"SIM → revisão jurídica","Não"))</f>
        <v/>
      </c>
      <c r="O64" s="12">
        <f>IF(A64="","",IFERROR(INDEX(Custodia!$U$2:$U$301,MATCH(A64,Custodia!$A$2:$A$301,0)),"—"))</f>
        <v/>
      </c>
    </row>
    <row r="65">
      <c r="A65" s="13" t="n"/>
      <c r="B65" s="12">
        <f>IF(A65="","",IFERROR(INDEX(Custodia!$C$2:$C$301,MATCH(A65,Custodia!$A$2:$A$301,0)),"não custodiado"))</f>
        <v/>
      </c>
      <c r="C65" s="12">
        <f>IF(A65="","",IFERROR(INDEX(Custodia!$S$2:$S$301,MATCH(A65,Custodia!$A$2:$A$301,0)),"NÃO"))</f>
        <v/>
      </c>
      <c r="D65" s="12">
        <f>IF(A65="","",COUNTIFS(Log_Testes!$B$2:$B$301,A65,Log_Testes!$C$2:$C$301,"F4*"))</f>
        <v/>
      </c>
      <c r="E65" s="12">
        <f>IF(A65="","",COUNTIFS(Log_Testes!$B$2:$B$301,A65,Log_Testes!$C$2:$C$301,"F5*"))</f>
        <v/>
      </c>
      <c r="F65" s="12">
        <f>IF(A65="","",COUNTIFS(Log_Testes!$B$2:$B$301,A65,Log_Testes!$A$2:$A$301,"&lt;&gt;",Log_Testes!$M$2:$M$301,""))</f>
        <v/>
      </c>
      <c r="G65" s="12">
        <f>IF(A65="","",COUNTIFS(Log_Testes!$B$2:$B$301,A65,Log_Testes!$N$2:$N$301,"DIVERGE*"))</f>
        <v/>
      </c>
      <c r="H65" s="12">
        <f>IF(A65="","",COUNTIFS(Divergencias!$B$2:$B$301,A65,Divergencias!$Q$2:$Q$301,"Sim"))</f>
        <v/>
      </c>
      <c r="I65" s="12">
        <f>IF(A65="","",COUNTIFS(Divergencias!$B$2:$B$301,A65,Divergencias!$Q$2:$Q$301,"Sim",Divergencias!$M$2:$M$301,"Alta"))</f>
        <v/>
      </c>
      <c r="J65" s="12">
        <f>IF(A65="","",COUNTIFS(Red_Team!$B$2:$B$301,A65,Red_Team!$I$2:$I$301,"Aberta"))</f>
        <v/>
      </c>
      <c r="K65" s="12">
        <f>IF(A65="","",IFERROR(INDEX(Atas_Comite!$D$2:$D$301,MATCH(A65,Atas_Comite!$P$2:$P$301,0)),"sem ata"))</f>
        <v/>
      </c>
      <c r="L65" s="12">
        <f>IF(A65="","",IFERROR(INDEX(Atas_Comite!$O$2:$O$301,MATCH(A65,Atas_Comite!$P$2:$P$301,0)),"—"))</f>
        <v/>
      </c>
      <c r="M65" s="12">
        <f>IF(A65="","",IFERROR(INDEX(Contraditorio!$M$2:$M$301,MATCH(A65,Contraditorio!$N$2:$N$301,0)),"não enviado"))</f>
        <v/>
      </c>
      <c r="N65" s="12">
        <f>IF(A65="","",IF(AND(C65="Sim",OR(D65&gt;0,LEFT(O65,1)="C"),F65=0,G65=0,J65=0,L65="Sim",OR(M65="Respondido",M65="Prazo encerrado – sem resposta")),"SIM → revisão jurídica","Não"))</f>
        <v/>
      </c>
      <c r="O65" s="12">
        <f>IF(A65="","",IFERROR(INDEX(Custodia!$U$2:$U$301,MATCH(A65,Custodia!$A$2:$A$301,0)),"—"))</f>
        <v/>
      </c>
    </row>
    <row r="66">
      <c r="A66" s="13" t="n"/>
      <c r="B66" s="12">
        <f>IF(A66="","",IFERROR(INDEX(Custodia!$C$2:$C$301,MATCH(A66,Custodia!$A$2:$A$301,0)),"não custodiado"))</f>
        <v/>
      </c>
      <c r="C66" s="12">
        <f>IF(A66="","",IFERROR(INDEX(Custodia!$S$2:$S$301,MATCH(A66,Custodia!$A$2:$A$301,0)),"NÃO"))</f>
        <v/>
      </c>
      <c r="D66" s="12">
        <f>IF(A66="","",COUNTIFS(Log_Testes!$B$2:$B$301,A66,Log_Testes!$C$2:$C$301,"F4*"))</f>
        <v/>
      </c>
      <c r="E66" s="12">
        <f>IF(A66="","",COUNTIFS(Log_Testes!$B$2:$B$301,A66,Log_Testes!$C$2:$C$301,"F5*"))</f>
        <v/>
      </c>
      <c r="F66" s="12">
        <f>IF(A66="","",COUNTIFS(Log_Testes!$B$2:$B$301,A66,Log_Testes!$A$2:$A$301,"&lt;&gt;",Log_Testes!$M$2:$M$301,""))</f>
        <v/>
      </c>
      <c r="G66" s="12">
        <f>IF(A66="","",COUNTIFS(Log_Testes!$B$2:$B$301,A66,Log_Testes!$N$2:$N$301,"DIVERGE*"))</f>
        <v/>
      </c>
      <c r="H66" s="12">
        <f>IF(A66="","",COUNTIFS(Divergencias!$B$2:$B$301,A66,Divergencias!$Q$2:$Q$301,"Sim"))</f>
        <v/>
      </c>
      <c r="I66" s="12">
        <f>IF(A66="","",COUNTIFS(Divergencias!$B$2:$B$301,A66,Divergencias!$Q$2:$Q$301,"Sim",Divergencias!$M$2:$M$301,"Alta"))</f>
        <v/>
      </c>
      <c r="J66" s="12">
        <f>IF(A66="","",COUNTIFS(Red_Team!$B$2:$B$301,A66,Red_Team!$I$2:$I$301,"Aberta"))</f>
        <v/>
      </c>
      <c r="K66" s="12">
        <f>IF(A66="","",IFERROR(INDEX(Atas_Comite!$D$2:$D$301,MATCH(A66,Atas_Comite!$P$2:$P$301,0)),"sem ata"))</f>
        <v/>
      </c>
      <c r="L66" s="12">
        <f>IF(A66="","",IFERROR(INDEX(Atas_Comite!$O$2:$O$301,MATCH(A66,Atas_Comite!$P$2:$P$301,0)),"—"))</f>
        <v/>
      </c>
      <c r="M66" s="12">
        <f>IF(A66="","",IFERROR(INDEX(Contraditorio!$M$2:$M$301,MATCH(A66,Contraditorio!$N$2:$N$301,0)),"não enviado"))</f>
        <v/>
      </c>
      <c r="N66" s="12">
        <f>IF(A66="","",IF(AND(C66="Sim",OR(D66&gt;0,LEFT(O66,1)="C"),F66=0,G66=0,J66=0,L66="Sim",OR(M66="Respondido",M66="Prazo encerrado – sem resposta")),"SIM → revisão jurídica","Não"))</f>
        <v/>
      </c>
      <c r="O66" s="12">
        <f>IF(A66="","",IFERROR(INDEX(Custodia!$U$2:$U$301,MATCH(A66,Custodia!$A$2:$A$301,0)),"—"))</f>
        <v/>
      </c>
    </row>
    <row r="67">
      <c r="A67" s="13" t="n"/>
      <c r="B67" s="12">
        <f>IF(A67="","",IFERROR(INDEX(Custodia!$C$2:$C$301,MATCH(A67,Custodia!$A$2:$A$301,0)),"não custodiado"))</f>
        <v/>
      </c>
      <c r="C67" s="12">
        <f>IF(A67="","",IFERROR(INDEX(Custodia!$S$2:$S$301,MATCH(A67,Custodia!$A$2:$A$301,0)),"NÃO"))</f>
        <v/>
      </c>
      <c r="D67" s="12">
        <f>IF(A67="","",COUNTIFS(Log_Testes!$B$2:$B$301,A67,Log_Testes!$C$2:$C$301,"F4*"))</f>
        <v/>
      </c>
      <c r="E67" s="12">
        <f>IF(A67="","",COUNTIFS(Log_Testes!$B$2:$B$301,A67,Log_Testes!$C$2:$C$301,"F5*"))</f>
        <v/>
      </c>
      <c r="F67" s="12">
        <f>IF(A67="","",COUNTIFS(Log_Testes!$B$2:$B$301,A67,Log_Testes!$A$2:$A$301,"&lt;&gt;",Log_Testes!$M$2:$M$301,""))</f>
        <v/>
      </c>
      <c r="G67" s="12">
        <f>IF(A67="","",COUNTIFS(Log_Testes!$B$2:$B$301,A67,Log_Testes!$N$2:$N$301,"DIVERGE*"))</f>
        <v/>
      </c>
      <c r="H67" s="12">
        <f>IF(A67="","",COUNTIFS(Divergencias!$B$2:$B$301,A67,Divergencias!$Q$2:$Q$301,"Sim"))</f>
        <v/>
      </c>
      <c r="I67" s="12">
        <f>IF(A67="","",COUNTIFS(Divergencias!$B$2:$B$301,A67,Divergencias!$Q$2:$Q$301,"Sim",Divergencias!$M$2:$M$301,"Alta"))</f>
        <v/>
      </c>
      <c r="J67" s="12">
        <f>IF(A67="","",COUNTIFS(Red_Team!$B$2:$B$301,A67,Red_Team!$I$2:$I$301,"Aberta"))</f>
        <v/>
      </c>
      <c r="K67" s="12">
        <f>IF(A67="","",IFERROR(INDEX(Atas_Comite!$D$2:$D$301,MATCH(A67,Atas_Comite!$P$2:$P$301,0)),"sem ata"))</f>
        <v/>
      </c>
      <c r="L67" s="12">
        <f>IF(A67="","",IFERROR(INDEX(Atas_Comite!$O$2:$O$301,MATCH(A67,Atas_Comite!$P$2:$P$301,0)),"—"))</f>
        <v/>
      </c>
      <c r="M67" s="12">
        <f>IF(A67="","",IFERROR(INDEX(Contraditorio!$M$2:$M$301,MATCH(A67,Contraditorio!$N$2:$N$301,0)),"não enviado"))</f>
        <v/>
      </c>
      <c r="N67" s="12">
        <f>IF(A67="","",IF(AND(C67="Sim",OR(D67&gt;0,LEFT(O67,1)="C"),F67=0,G67=0,J67=0,L67="Sim",OR(M67="Respondido",M67="Prazo encerrado – sem resposta")),"SIM → revisão jurídica","Não"))</f>
        <v/>
      </c>
      <c r="O67" s="12">
        <f>IF(A67="","",IFERROR(INDEX(Custodia!$U$2:$U$301,MATCH(A67,Custodia!$A$2:$A$301,0)),"—"))</f>
        <v/>
      </c>
    </row>
    <row r="68">
      <c r="A68" s="13" t="n"/>
      <c r="B68" s="12">
        <f>IF(A68="","",IFERROR(INDEX(Custodia!$C$2:$C$301,MATCH(A68,Custodia!$A$2:$A$301,0)),"não custodiado"))</f>
        <v/>
      </c>
      <c r="C68" s="12">
        <f>IF(A68="","",IFERROR(INDEX(Custodia!$S$2:$S$301,MATCH(A68,Custodia!$A$2:$A$301,0)),"NÃO"))</f>
        <v/>
      </c>
      <c r="D68" s="12">
        <f>IF(A68="","",COUNTIFS(Log_Testes!$B$2:$B$301,A68,Log_Testes!$C$2:$C$301,"F4*"))</f>
        <v/>
      </c>
      <c r="E68" s="12">
        <f>IF(A68="","",COUNTIFS(Log_Testes!$B$2:$B$301,A68,Log_Testes!$C$2:$C$301,"F5*"))</f>
        <v/>
      </c>
      <c r="F68" s="12">
        <f>IF(A68="","",COUNTIFS(Log_Testes!$B$2:$B$301,A68,Log_Testes!$A$2:$A$301,"&lt;&gt;",Log_Testes!$M$2:$M$301,""))</f>
        <v/>
      </c>
      <c r="G68" s="12">
        <f>IF(A68="","",COUNTIFS(Log_Testes!$B$2:$B$301,A68,Log_Testes!$N$2:$N$301,"DIVERGE*"))</f>
        <v/>
      </c>
      <c r="H68" s="12">
        <f>IF(A68="","",COUNTIFS(Divergencias!$B$2:$B$301,A68,Divergencias!$Q$2:$Q$301,"Sim"))</f>
        <v/>
      </c>
      <c r="I68" s="12">
        <f>IF(A68="","",COUNTIFS(Divergencias!$B$2:$B$301,A68,Divergencias!$Q$2:$Q$301,"Sim",Divergencias!$M$2:$M$301,"Alta"))</f>
        <v/>
      </c>
      <c r="J68" s="12">
        <f>IF(A68="","",COUNTIFS(Red_Team!$B$2:$B$301,A68,Red_Team!$I$2:$I$301,"Aberta"))</f>
        <v/>
      </c>
      <c r="K68" s="12">
        <f>IF(A68="","",IFERROR(INDEX(Atas_Comite!$D$2:$D$301,MATCH(A68,Atas_Comite!$P$2:$P$301,0)),"sem ata"))</f>
        <v/>
      </c>
      <c r="L68" s="12">
        <f>IF(A68="","",IFERROR(INDEX(Atas_Comite!$O$2:$O$301,MATCH(A68,Atas_Comite!$P$2:$P$301,0)),"—"))</f>
        <v/>
      </c>
      <c r="M68" s="12">
        <f>IF(A68="","",IFERROR(INDEX(Contraditorio!$M$2:$M$301,MATCH(A68,Contraditorio!$N$2:$N$301,0)),"não enviado"))</f>
        <v/>
      </c>
      <c r="N68" s="12">
        <f>IF(A68="","",IF(AND(C68="Sim",OR(D68&gt;0,LEFT(O68,1)="C"),F68=0,G68=0,J68=0,L68="Sim",OR(M68="Respondido",M68="Prazo encerrado – sem resposta")),"SIM → revisão jurídica","Não"))</f>
        <v/>
      </c>
      <c r="O68" s="12">
        <f>IF(A68="","",IFERROR(INDEX(Custodia!$U$2:$U$301,MATCH(A68,Custodia!$A$2:$A$301,0)),"—"))</f>
        <v/>
      </c>
    </row>
    <row r="69">
      <c r="A69" s="13" t="n"/>
      <c r="B69" s="12">
        <f>IF(A69="","",IFERROR(INDEX(Custodia!$C$2:$C$301,MATCH(A69,Custodia!$A$2:$A$301,0)),"não custodiado"))</f>
        <v/>
      </c>
      <c r="C69" s="12">
        <f>IF(A69="","",IFERROR(INDEX(Custodia!$S$2:$S$301,MATCH(A69,Custodia!$A$2:$A$301,0)),"NÃO"))</f>
        <v/>
      </c>
      <c r="D69" s="12">
        <f>IF(A69="","",COUNTIFS(Log_Testes!$B$2:$B$301,A69,Log_Testes!$C$2:$C$301,"F4*"))</f>
        <v/>
      </c>
      <c r="E69" s="12">
        <f>IF(A69="","",COUNTIFS(Log_Testes!$B$2:$B$301,A69,Log_Testes!$C$2:$C$301,"F5*"))</f>
        <v/>
      </c>
      <c r="F69" s="12">
        <f>IF(A69="","",COUNTIFS(Log_Testes!$B$2:$B$301,A69,Log_Testes!$A$2:$A$301,"&lt;&gt;",Log_Testes!$M$2:$M$301,""))</f>
        <v/>
      </c>
      <c r="G69" s="12">
        <f>IF(A69="","",COUNTIFS(Log_Testes!$B$2:$B$301,A69,Log_Testes!$N$2:$N$301,"DIVERGE*"))</f>
        <v/>
      </c>
      <c r="H69" s="12">
        <f>IF(A69="","",COUNTIFS(Divergencias!$B$2:$B$301,A69,Divergencias!$Q$2:$Q$301,"Sim"))</f>
        <v/>
      </c>
      <c r="I69" s="12">
        <f>IF(A69="","",COUNTIFS(Divergencias!$B$2:$B$301,A69,Divergencias!$Q$2:$Q$301,"Sim",Divergencias!$M$2:$M$301,"Alta"))</f>
        <v/>
      </c>
      <c r="J69" s="12">
        <f>IF(A69="","",COUNTIFS(Red_Team!$B$2:$B$301,A69,Red_Team!$I$2:$I$301,"Aberta"))</f>
        <v/>
      </c>
      <c r="K69" s="12">
        <f>IF(A69="","",IFERROR(INDEX(Atas_Comite!$D$2:$D$301,MATCH(A69,Atas_Comite!$P$2:$P$301,0)),"sem ata"))</f>
        <v/>
      </c>
      <c r="L69" s="12">
        <f>IF(A69="","",IFERROR(INDEX(Atas_Comite!$O$2:$O$301,MATCH(A69,Atas_Comite!$P$2:$P$301,0)),"—"))</f>
        <v/>
      </c>
      <c r="M69" s="12">
        <f>IF(A69="","",IFERROR(INDEX(Contraditorio!$M$2:$M$301,MATCH(A69,Contraditorio!$N$2:$N$301,0)),"não enviado"))</f>
        <v/>
      </c>
      <c r="N69" s="12">
        <f>IF(A69="","",IF(AND(C69="Sim",OR(D69&gt;0,LEFT(O69,1)="C"),F69=0,G69=0,J69=0,L69="Sim",OR(M69="Respondido",M69="Prazo encerrado – sem resposta")),"SIM → revisão jurídica","Não"))</f>
        <v/>
      </c>
      <c r="O69" s="12">
        <f>IF(A69="","",IFERROR(INDEX(Custodia!$U$2:$U$301,MATCH(A69,Custodia!$A$2:$A$301,0)),"—"))</f>
        <v/>
      </c>
    </row>
    <row r="70">
      <c r="A70" s="13" t="n"/>
      <c r="B70" s="12">
        <f>IF(A70="","",IFERROR(INDEX(Custodia!$C$2:$C$301,MATCH(A70,Custodia!$A$2:$A$301,0)),"não custodiado"))</f>
        <v/>
      </c>
      <c r="C70" s="12">
        <f>IF(A70="","",IFERROR(INDEX(Custodia!$S$2:$S$301,MATCH(A70,Custodia!$A$2:$A$301,0)),"NÃO"))</f>
        <v/>
      </c>
      <c r="D70" s="12">
        <f>IF(A70="","",COUNTIFS(Log_Testes!$B$2:$B$301,A70,Log_Testes!$C$2:$C$301,"F4*"))</f>
        <v/>
      </c>
      <c r="E70" s="12">
        <f>IF(A70="","",COUNTIFS(Log_Testes!$B$2:$B$301,A70,Log_Testes!$C$2:$C$301,"F5*"))</f>
        <v/>
      </c>
      <c r="F70" s="12">
        <f>IF(A70="","",COUNTIFS(Log_Testes!$B$2:$B$301,A70,Log_Testes!$A$2:$A$301,"&lt;&gt;",Log_Testes!$M$2:$M$301,""))</f>
        <v/>
      </c>
      <c r="G70" s="12">
        <f>IF(A70="","",COUNTIFS(Log_Testes!$B$2:$B$301,A70,Log_Testes!$N$2:$N$301,"DIVERGE*"))</f>
        <v/>
      </c>
      <c r="H70" s="12">
        <f>IF(A70="","",COUNTIFS(Divergencias!$B$2:$B$301,A70,Divergencias!$Q$2:$Q$301,"Sim"))</f>
        <v/>
      </c>
      <c r="I70" s="12">
        <f>IF(A70="","",COUNTIFS(Divergencias!$B$2:$B$301,A70,Divergencias!$Q$2:$Q$301,"Sim",Divergencias!$M$2:$M$301,"Alta"))</f>
        <v/>
      </c>
      <c r="J70" s="12">
        <f>IF(A70="","",COUNTIFS(Red_Team!$B$2:$B$301,A70,Red_Team!$I$2:$I$301,"Aberta"))</f>
        <v/>
      </c>
      <c r="K70" s="12">
        <f>IF(A70="","",IFERROR(INDEX(Atas_Comite!$D$2:$D$301,MATCH(A70,Atas_Comite!$P$2:$P$301,0)),"sem ata"))</f>
        <v/>
      </c>
      <c r="L70" s="12">
        <f>IF(A70="","",IFERROR(INDEX(Atas_Comite!$O$2:$O$301,MATCH(A70,Atas_Comite!$P$2:$P$301,0)),"—"))</f>
        <v/>
      </c>
      <c r="M70" s="12">
        <f>IF(A70="","",IFERROR(INDEX(Contraditorio!$M$2:$M$301,MATCH(A70,Contraditorio!$N$2:$N$301,0)),"não enviado"))</f>
        <v/>
      </c>
      <c r="N70" s="12">
        <f>IF(A70="","",IF(AND(C70="Sim",OR(D70&gt;0,LEFT(O70,1)="C"),F70=0,G70=0,J70=0,L70="Sim",OR(M70="Respondido",M70="Prazo encerrado – sem resposta")),"SIM → revisão jurídica","Não"))</f>
        <v/>
      </c>
      <c r="O70" s="12">
        <f>IF(A70="","",IFERROR(INDEX(Custodia!$U$2:$U$301,MATCH(A70,Custodia!$A$2:$A$301,0)),"—"))</f>
        <v/>
      </c>
    </row>
    <row r="71">
      <c r="A71" s="13" t="n"/>
      <c r="B71" s="12">
        <f>IF(A71="","",IFERROR(INDEX(Custodia!$C$2:$C$301,MATCH(A71,Custodia!$A$2:$A$301,0)),"não custodiado"))</f>
        <v/>
      </c>
      <c r="C71" s="12">
        <f>IF(A71="","",IFERROR(INDEX(Custodia!$S$2:$S$301,MATCH(A71,Custodia!$A$2:$A$301,0)),"NÃO"))</f>
        <v/>
      </c>
      <c r="D71" s="12">
        <f>IF(A71="","",COUNTIFS(Log_Testes!$B$2:$B$301,A71,Log_Testes!$C$2:$C$301,"F4*"))</f>
        <v/>
      </c>
      <c r="E71" s="12">
        <f>IF(A71="","",COUNTIFS(Log_Testes!$B$2:$B$301,A71,Log_Testes!$C$2:$C$301,"F5*"))</f>
        <v/>
      </c>
      <c r="F71" s="12">
        <f>IF(A71="","",COUNTIFS(Log_Testes!$B$2:$B$301,A71,Log_Testes!$A$2:$A$301,"&lt;&gt;",Log_Testes!$M$2:$M$301,""))</f>
        <v/>
      </c>
      <c r="G71" s="12">
        <f>IF(A71="","",COUNTIFS(Log_Testes!$B$2:$B$301,A71,Log_Testes!$N$2:$N$301,"DIVERGE*"))</f>
        <v/>
      </c>
      <c r="H71" s="12">
        <f>IF(A71="","",COUNTIFS(Divergencias!$B$2:$B$301,A71,Divergencias!$Q$2:$Q$301,"Sim"))</f>
        <v/>
      </c>
      <c r="I71" s="12">
        <f>IF(A71="","",COUNTIFS(Divergencias!$B$2:$B$301,A71,Divergencias!$Q$2:$Q$301,"Sim",Divergencias!$M$2:$M$301,"Alta"))</f>
        <v/>
      </c>
      <c r="J71" s="12">
        <f>IF(A71="","",COUNTIFS(Red_Team!$B$2:$B$301,A71,Red_Team!$I$2:$I$301,"Aberta"))</f>
        <v/>
      </c>
      <c r="K71" s="12">
        <f>IF(A71="","",IFERROR(INDEX(Atas_Comite!$D$2:$D$301,MATCH(A71,Atas_Comite!$P$2:$P$301,0)),"sem ata"))</f>
        <v/>
      </c>
      <c r="L71" s="12">
        <f>IF(A71="","",IFERROR(INDEX(Atas_Comite!$O$2:$O$301,MATCH(A71,Atas_Comite!$P$2:$P$301,0)),"—"))</f>
        <v/>
      </c>
      <c r="M71" s="12">
        <f>IF(A71="","",IFERROR(INDEX(Contraditorio!$M$2:$M$301,MATCH(A71,Contraditorio!$N$2:$N$301,0)),"não enviado"))</f>
        <v/>
      </c>
      <c r="N71" s="12">
        <f>IF(A71="","",IF(AND(C71="Sim",OR(D71&gt;0,LEFT(O71,1)="C"),F71=0,G71=0,J71=0,L71="Sim",OR(M71="Respondido",M71="Prazo encerrado – sem resposta")),"SIM → revisão jurídica","Não"))</f>
        <v/>
      </c>
      <c r="O71" s="12">
        <f>IF(A71="","",IFERROR(INDEX(Custodia!$U$2:$U$301,MATCH(A71,Custodia!$A$2:$A$301,0)),"—"))</f>
        <v/>
      </c>
    </row>
    <row r="72">
      <c r="A72" s="13" t="n"/>
      <c r="B72" s="12">
        <f>IF(A72="","",IFERROR(INDEX(Custodia!$C$2:$C$301,MATCH(A72,Custodia!$A$2:$A$301,0)),"não custodiado"))</f>
        <v/>
      </c>
      <c r="C72" s="12">
        <f>IF(A72="","",IFERROR(INDEX(Custodia!$S$2:$S$301,MATCH(A72,Custodia!$A$2:$A$301,0)),"NÃO"))</f>
        <v/>
      </c>
      <c r="D72" s="12">
        <f>IF(A72="","",COUNTIFS(Log_Testes!$B$2:$B$301,A72,Log_Testes!$C$2:$C$301,"F4*"))</f>
        <v/>
      </c>
      <c r="E72" s="12">
        <f>IF(A72="","",COUNTIFS(Log_Testes!$B$2:$B$301,A72,Log_Testes!$C$2:$C$301,"F5*"))</f>
        <v/>
      </c>
      <c r="F72" s="12">
        <f>IF(A72="","",COUNTIFS(Log_Testes!$B$2:$B$301,A72,Log_Testes!$A$2:$A$301,"&lt;&gt;",Log_Testes!$M$2:$M$301,""))</f>
        <v/>
      </c>
      <c r="G72" s="12">
        <f>IF(A72="","",COUNTIFS(Log_Testes!$B$2:$B$301,A72,Log_Testes!$N$2:$N$301,"DIVERGE*"))</f>
        <v/>
      </c>
      <c r="H72" s="12">
        <f>IF(A72="","",COUNTIFS(Divergencias!$B$2:$B$301,A72,Divergencias!$Q$2:$Q$301,"Sim"))</f>
        <v/>
      </c>
      <c r="I72" s="12">
        <f>IF(A72="","",COUNTIFS(Divergencias!$B$2:$B$301,A72,Divergencias!$Q$2:$Q$301,"Sim",Divergencias!$M$2:$M$301,"Alta"))</f>
        <v/>
      </c>
      <c r="J72" s="12">
        <f>IF(A72="","",COUNTIFS(Red_Team!$B$2:$B$301,A72,Red_Team!$I$2:$I$301,"Aberta"))</f>
        <v/>
      </c>
      <c r="K72" s="12">
        <f>IF(A72="","",IFERROR(INDEX(Atas_Comite!$D$2:$D$301,MATCH(A72,Atas_Comite!$P$2:$P$301,0)),"sem ata"))</f>
        <v/>
      </c>
      <c r="L72" s="12">
        <f>IF(A72="","",IFERROR(INDEX(Atas_Comite!$O$2:$O$301,MATCH(A72,Atas_Comite!$P$2:$P$301,0)),"—"))</f>
        <v/>
      </c>
      <c r="M72" s="12">
        <f>IF(A72="","",IFERROR(INDEX(Contraditorio!$M$2:$M$301,MATCH(A72,Contraditorio!$N$2:$N$301,0)),"não enviado"))</f>
        <v/>
      </c>
      <c r="N72" s="12">
        <f>IF(A72="","",IF(AND(C72="Sim",OR(D72&gt;0,LEFT(O72,1)="C"),F72=0,G72=0,J72=0,L72="Sim",OR(M72="Respondido",M72="Prazo encerrado – sem resposta")),"SIM → revisão jurídica","Não"))</f>
        <v/>
      </c>
      <c r="O72" s="12">
        <f>IF(A72="","",IFERROR(INDEX(Custodia!$U$2:$U$301,MATCH(A72,Custodia!$A$2:$A$301,0)),"—"))</f>
        <v/>
      </c>
    </row>
    <row r="73">
      <c r="A73" s="13" t="n"/>
      <c r="B73" s="12">
        <f>IF(A73="","",IFERROR(INDEX(Custodia!$C$2:$C$301,MATCH(A73,Custodia!$A$2:$A$301,0)),"não custodiado"))</f>
        <v/>
      </c>
      <c r="C73" s="12">
        <f>IF(A73="","",IFERROR(INDEX(Custodia!$S$2:$S$301,MATCH(A73,Custodia!$A$2:$A$301,0)),"NÃO"))</f>
        <v/>
      </c>
      <c r="D73" s="12">
        <f>IF(A73="","",COUNTIFS(Log_Testes!$B$2:$B$301,A73,Log_Testes!$C$2:$C$301,"F4*"))</f>
        <v/>
      </c>
      <c r="E73" s="12">
        <f>IF(A73="","",COUNTIFS(Log_Testes!$B$2:$B$301,A73,Log_Testes!$C$2:$C$301,"F5*"))</f>
        <v/>
      </c>
      <c r="F73" s="12">
        <f>IF(A73="","",COUNTIFS(Log_Testes!$B$2:$B$301,A73,Log_Testes!$A$2:$A$301,"&lt;&gt;",Log_Testes!$M$2:$M$301,""))</f>
        <v/>
      </c>
      <c r="G73" s="12">
        <f>IF(A73="","",COUNTIFS(Log_Testes!$B$2:$B$301,A73,Log_Testes!$N$2:$N$301,"DIVERGE*"))</f>
        <v/>
      </c>
      <c r="H73" s="12">
        <f>IF(A73="","",COUNTIFS(Divergencias!$B$2:$B$301,A73,Divergencias!$Q$2:$Q$301,"Sim"))</f>
        <v/>
      </c>
      <c r="I73" s="12">
        <f>IF(A73="","",COUNTIFS(Divergencias!$B$2:$B$301,A73,Divergencias!$Q$2:$Q$301,"Sim",Divergencias!$M$2:$M$301,"Alta"))</f>
        <v/>
      </c>
      <c r="J73" s="12">
        <f>IF(A73="","",COUNTIFS(Red_Team!$B$2:$B$301,A73,Red_Team!$I$2:$I$301,"Aberta"))</f>
        <v/>
      </c>
      <c r="K73" s="12">
        <f>IF(A73="","",IFERROR(INDEX(Atas_Comite!$D$2:$D$301,MATCH(A73,Atas_Comite!$P$2:$P$301,0)),"sem ata"))</f>
        <v/>
      </c>
      <c r="L73" s="12">
        <f>IF(A73="","",IFERROR(INDEX(Atas_Comite!$O$2:$O$301,MATCH(A73,Atas_Comite!$P$2:$P$301,0)),"—"))</f>
        <v/>
      </c>
      <c r="M73" s="12">
        <f>IF(A73="","",IFERROR(INDEX(Contraditorio!$M$2:$M$301,MATCH(A73,Contraditorio!$N$2:$N$301,0)),"não enviado"))</f>
        <v/>
      </c>
      <c r="N73" s="12">
        <f>IF(A73="","",IF(AND(C73="Sim",OR(D73&gt;0,LEFT(O73,1)="C"),F73=0,G73=0,J73=0,L73="Sim",OR(M73="Respondido",M73="Prazo encerrado – sem resposta")),"SIM → revisão jurídica","Não"))</f>
        <v/>
      </c>
      <c r="O73" s="12">
        <f>IF(A73="","",IFERROR(INDEX(Custodia!$U$2:$U$301,MATCH(A73,Custodia!$A$2:$A$301,0)),"—"))</f>
        <v/>
      </c>
    </row>
    <row r="74">
      <c r="A74" s="13" t="n"/>
      <c r="B74" s="12">
        <f>IF(A74="","",IFERROR(INDEX(Custodia!$C$2:$C$301,MATCH(A74,Custodia!$A$2:$A$301,0)),"não custodiado"))</f>
        <v/>
      </c>
      <c r="C74" s="12">
        <f>IF(A74="","",IFERROR(INDEX(Custodia!$S$2:$S$301,MATCH(A74,Custodia!$A$2:$A$301,0)),"NÃO"))</f>
        <v/>
      </c>
      <c r="D74" s="12">
        <f>IF(A74="","",COUNTIFS(Log_Testes!$B$2:$B$301,A74,Log_Testes!$C$2:$C$301,"F4*"))</f>
        <v/>
      </c>
      <c r="E74" s="12">
        <f>IF(A74="","",COUNTIFS(Log_Testes!$B$2:$B$301,A74,Log_Testes!$C$2:$C$301,"F5*"))</f>
        <v/>
      </c>
      <c r="F74" s="12">
        <f>IF(A74="","",COUNTIFS(Log_Testes!$B$2:$B$301,A74,Log_Testes!$A$2:$A$301,"&lt;&gt;",Log_Testes!$M$2:$M$301,""))</f>
        <v/>
      </c>
      <c r="G74" s="12">
        <f>IF(A74="","",COUNTIFS(Log_Testes!$B$2:$B$301,A74,Log_Testes!$N$2:$N$301,"DIVERGE*"))</f>
        <v/>
      </c>
      <c r="H74" s="12">
        <f>IF(A74="","",COUNTIFS(Divergencias!$B$2:$B$301,A74,Divergencias!$Q$2:$Q$301,"Sim"))</f>
        <v/>
      </c>
      <c r="I74" s="12">
        <f>IF(A74="","",COUNTIFS(Divergencias!$B$2:$B$301,A74,Divergencias!$Q$2:$Q$301,"Sim",Divergencias!$M$2:$M$301,"Alta"))</f>
        <v/>
      </c>
      <c r="J74" s="12">
        <f>IF(A74="","",COUNTIFS(Red_Team!$B$2:$B$301,A74,Red_Team!$I$2:$I$301,"Aberta"))</f>
        <v/>
      </c>
      <c r="K74" s="12">
        <f>IF(A74="","",IFERROR(INDEX(Atas_Comite!$D$2:$D$301,MATCH(A74,Atas_Comite!$P$2:$P$301,0)),"sem ata"))</f>
        <v/>
      </c>
      <c r="L74" s="12">
        <f>IF(A74="","",IFERROR(INDEX(Atas_Comite!$O$2:$O$301,MATCH(A74,Atas_Comite!$P$2:$P$301,0)),"—"))</f>
        <v/>
      </c>
      <c r="M74" s="12">
        <f>IF(A74="","",IFERROR(INDEX(Contraditorio!$M$2:$M$301,MATCH(A74,Contraditorio!$N$2:$N$301,0)),"não enviado"))</f>
        <v/>
      </c>
      <c r="N74" s="12">
        <f>IF(A74="","",IF(AND(C74="Sim",OR(D74&gt;0,LEFT(O74,1)="C"),F74=0,G74=0,J74=0,L74="Sim",OR(M74="Respondido",M74="Prazo encerrado – sem resposta")),"SIM → revisão jurídica","Não"))</f>
        <v/>
      </c>
      <c r="O74" s="12">
        <f>IF(A74="","",IFERROR(INDEX(Custodia!$U$2:$U$301,MATCH(A74,Custodia!$A$2:$A$301,0)),"—"))</f>
        <v/>
      </c>
    </row>
    <row r="75">
      <c r="A75" s="13" t="n"/>
      <c r="B75" s="12">
        <f>IF(A75="","",IFERROR(INDEX(Custodia!$C$2:$C$301,MATCH(A75,Custodia!$A$2:$A$301,0)),"não custodiado"))</f>
        <v/>
      </c>
      <c r="C75" s="12">
        <f>IF(A75="","",IFERROR(INDEX(Custodia!$S$2:$S$301,MATCH(A75,Custodia!$A$2:$A$301,0)),"NÃO"))</f>
        <v/>
      </c>
      <c r="D75" s="12">
        <f>IF(A75="","",COUNTIFS(Log_Testes!$B$2:$B$301,A75,Log_Testes!$C$2:$C$301,"F4*"))</f>
        <v/>
      </c>
      <c r="E75" s="12">
        <f>IF(A75="","",COUNTIFS(Log_Testes!$B$2:$B$301,A75,Log_Testes!$C$2:$C$301,"F5*"))</f>
        <v/>
      </c>
      <c r="F75" s="12">
        <f>IF(A75="","",COUNTIFS(Log_Testes!$B$2:$B$301,A75,Log_Testes!$A$2:$A$301,"&lt;&gt;",Log_Testes!$M$2:$M$301,""))</f>
        <v/>
      </c>
      <c r="G75" s="12">
        <f>IF(A75="","",COUNTIFS(Log_Testes!$B$2:$B$301,A75,Log_Testes!$N$2:$N$301,"DIVERGE*"))</f>
        <v/>
      </c>
      <c r="H75" s="12">
        <f>IF(A75="","",COUNTIFS(Divergencias!$B$2:$B$301,A75,Divergencias!$Q$2:$Q$301,"Sim"))</f>
        <v/>
      </c>
      <c r="I75" s="12">
        <f>IF(A75="","",COUNTIFS(Divergencias!$B$2:$B$301,A75,Divergencias!$Q$2:$Q$301,"Sim",Divergencias!$M$2:$M$301,"Alta"))</f>
        <v/>
      </c>
      <c r="J75" s="12">
        <f>IF(A75="","",COUNTIFS(Red_Team!$B$2:$B$301,A75,Red_Team!$I$2:$I$301,"Aberta"))</f>
        <v/>
      </c>
      <c r="K75" s="12">
        <f>IF(A75="","",IFERROR(INDEX(Atas_Comite!$D$2:$D$301,MATCH(A75,Atas_Comite!$P$2:$P$301,0)),"sem ata"))</f>
        <v/>
      </c>
      <c r="L75" s="12">
        <f>IF(A75="","",IFERROR(INDEX(Atas_Comite!$O$2:$O$301,MATCH(A75,Atas_Comite!$P$2:$P$301,0)),"—"))</f>
        <v/>
      </c>
      <c r="M75" s="12">
        <f>IF(A75="","",IFERROR(INDEX(Contraditorio!$M$2:$M$301,MATCH(A75,Contraditorio!$N$2:$N$301,0)),"não enviado"))</f>
        <v/>
      </c>
      <c r="N75" s="12">
        <f>IF(A75="","",IF(AND(C75="Sim",OR(D75&gt;0,LEFT(O75,1)="C"),F75=0,G75=0,J75=0,L75="Sim",OR(M75="Respondido",M75="Prazo encerrado – sem resposta")),"SIM → revisão jurídica","Não"))</f>
        <v/>
      </c>
      <c r="O75" s="12">
        <f>IF(A75="","",IFERROR(INDEX(Custodia!$U$2:$U$301,MATCH(A75,Custodia!$A$2:$A$301,0)),"—"))</f>
        <v/>
      </c>
    </row>
    <row r="76">
      <c r="A76" s="13" t="n"/>
      <c r="B76" s="12">
        <f>IF(A76="","",IFERROR(INDEX(Custodia!$C$2:$C$301,MATCH(A76,Custodia!$A$2:$A$301,0)),"não custodiado"))</f>
        <v/>
      </c>
      <c r="C76" s="12">
        <f>IF(A76="","",IFERROR(INDEX(Custodia!$S$2:$S$301,MATCH(A76,Custodia!$A$2:$A$301,0)),"NÃO"))</f>
        <v/>
      </c>
      <c r="D76" s="12">
        <f>IF(A76="","",COUNTIFS(Log_Testes!$B$2:$B$301,A76,Log_Testes!$C$2:$C$301,"F4*"))</f>
        <v/>
      </c>
      <c r="E76" s="12">
        <f>IF(A76="","",COUNTIFS(Log_Testes!$B$2:$B$301,A76,Log_Testes!$C$2:$C$301,"F5*"))</f>
        <v/>
      </c>
      <c r="F76" s="12">
        <f>IF(A76="","",COUNTIFS(Log_Testes!$B$2:$B$301,A76,Log_Testes!$A$2:$A$301,"&lt;&gt;",Log_Testes!$M$2:$M$301,""))</f>
        <v/>
      </c>
      <c r="G76" s="12">
        <f>IF(A76="","",COUNTIFS(Log_Testes!$B$2:$B$301,A76,Log_Testes!$N$2:$N$301,"DIVERGE*"))</f>
        <v/>
      </c>
      <c r="H76" s="12">
        <f>IF(A76="","",COUNTIFS(Divergencias!$B$2:$B$301,A76,Divergencias!$Q$2:$Q$301,"Sim"))</f>
        <v/>
      </c>
      <c r="I76" s="12">
        <f>IF(A76="","",COUNTIFS(Divergencias!$B$2:$B$301,A76,Divergencias!$Q$2:$Q$301,"Sim",Divergencias!$M$2:$M$301,"Alta"))</f>
        <v/>
      </c>
      <c r="J76" s="12">
        <f>IF(A76="","",COUNTIFS(Red_Team!$B$2:$B$301,A76,Red_Team!$I$2:$I$301,"Aberta"))</f>
        <v/>
      </c>
      <c r="K76" s="12">
        <f>IF(A76="","",IFERROR(INDEX(Atas_Comite!$D$2:$D$301,MATCH(A76,Atas_Comite!$P$2:$P$301,0)),"sem ata"))</f>
        <v/>
      </c>
      <c r="L76" s="12">
        <f>IF(A76="","",IFERROR(INDEX(Atas_Comite!$O$2:$O$301,MATCH(A76,Atas_Comite!$P$2:$P$301,0)),"—"))</f>
        <v/>
      </c>
      <c r="M76" s="12">
        <f>IF(A76="","",IFERROR(INDEX(Contraditorio!$M$2:$M$301,MATCH(A76,Contraditorio!$N$2:$N$301,0)),"não enviado"))</f>
        <v/>
      </c>
      <c r="N76" s="12">
        <f>IF(A76="","",IF(AND(C76="Sim",OR(D76&gt;0,LEFT(O76,1)="C"),F76=0,G76=0,J76=0,L76="Sim",OR(M76="Respondido",M76="Prazo encerrado – sem resposta")),"SIM → revisão jurídica","Não"))</f>
        <v/>
      </c>
      <c r="O76" s="12">
        <f>IF(A76="","",IFERROR(INDEX(Custodia!$U$2:$U$301,MATCH(A76,Custodia!$A$2:$A$301,0)),"—"))</f>
        <v/>
      </c>
    </row>
    <row r="77">
      <c r="A77" s="13" t="n"/>
      <c r="B77" s="12">
        <f>IF(A77="","",IFERROR(INDEX(Custodia!$C$2:$C$301,MATCH(A77,Custodia!$A$2:$A$301,0)),"não custodiado"))</f>
        <v/>
      </c>
      <c r="C77" s="12">
        <f>IF(A77="","",IFERROR(INDEX(Custodia!$S$2:$S$301,MATCH(A77,Custodia!$A$2:$A$301,0)),"NÃO"))</f>
        <v/>
      </c>
      <c r="D77" s="12">
        <f>IF(A77="","",COUNTIFS(Log_Testes!$B$2:$B$301,A77,Log_Testes!$C$2:$C$301,"F4*"))</f>
        <v/>
      </c>
      <c r="E77" s="12">
        <f>IF(A77="","",COUNTIFS(Log_Testes!$B$2:$B$301,A77,Log_Testes!$C$2:$C$301,"F5*"))</f>
        <v/>
      </c>
      <c r="F77" s="12">
        <f>IF(A77="","",COUNTIFS(Log_Testes!$B$2:$B$301,A77,Log_Testes!$A$2:$A$301,"&lt;&gt;",Log_Testes!$M$2:$M$301,""))</f>
        <v/>
      </c>
      <c r="G77" s="12">
        <f>IF(A77="","",COUNTIFS(Log_Testes!$B$2:$B$301,A77,Log_Testes!$N$2:$N$301,"DIVERGE*"))</f>
        <v/>
      </c>
      <c r="H77" s="12">
        <f>IF(A77="","",COUNTIFS(Divergencias!$B$2:$B$301,A77,Divergencias!$Q$2:$Q$301,"Sim"))</f>
        <v/>
      </c>
      <c r="I77" s="12">
        <f>IF(A77="","",COUNTIFS(Divergencias!$B$2:$B$301,A77,Divergencias!$Q$2:$Q$301,"Sim",Divergencias!$M$2:$M$301,"Alta"))</f>
        <v/>
      </c>
      <c r="J77" s="12">
        <f>IF(A77="","",COUNTIFS(Red_Team!$B$2:$B$301,A77,Red_Team!$I$2:$I$301,"Aberta"))</f>
        <v/>
      </c>
      <c r="K77" s="12">
        <f>IF(A77="","",IFERROR(INDEX(Atas_Comite!$D$2:$D$301,MATCH(A77,Atas_Comite!$P$2:$P$301,0)),"sem ata"))</f>
        <v/>
      </c>
      <c r="L77" s="12">
        <f>IF(A77="","",IFERROR(INDEX(Atas_Comite!$O$2:$O$301,MATCH(A77,Atas_Comite!$P$2:$P$301,0)),"—"))</f>
        <v/>
      </c>
      <c r="M77" s="12">
        <f>IF(A77="","",IFERROR(INDEX(Contraditorio!$M$2:$M$301,MATCH(A77,Contraditorio!$N$2:$N$301,0)),"não enviado"))</f>
        <v/>
      </c>
      <c r="N77" s="12">
        <f>IF(A77="","",IF(AND(C77="Sim",OR(D77&gt;0,LEFT(O77,1)="C"),F77=0,G77=0,J77=0,L77="Sim",OR(M77="Respondido",M77="Prazo encerrado – sem resposta")),"SIM → revisão jurídica","Não"))</f>
        <v/>
      </c>
      <c r="O77" s="12">
        <f>IF(A77="","",IFERROR(INDEX(Custodia!$U$2:$U$301,MATCH(A77,Custodia!$A$2:$A$301,0)),"—"))</f>
        <v/>
      </c>
    </row>
    <row r="78">
      <c r="A78" s="13" t="n"/>
      <c r="B78" s="12">
        <f>IF(A78="","",IFERROR(INDEX(Custodia!$C$2:$C$301,MATCH(A78,Custodia!$A$2:$A$301,0)),"não custodiado"))</f>
        <v/>
      </c>
      <c r="C78" s="12">
        <f>IF(A78="","",IFERROR(INDEX(Custodia!$S$2:$S$301,MATCH(A78,Custodia!$A$2:$A$301,0)),"NÃO"))</f>
        <v/>
      </c>
      <c r="D78" s="12">
        <f>IF(A78="","",COUNTIFS(Log_Testes!$B$2:$B$301,A78,Log_Testes!$C$2:$C$301,"F4*"))</f>
        <v/>
      </c>
      <c r="E78" s="12">
        <f>IF(A78="","",COUNTIFS(Log_Testes!$B$2:$B$301,A78,Log_Testes!$C$2:$C$301,"F5*"))</f>
        <v/>
      </c>
      <c r="F78" s="12">
        <f>IF(A78="","",COUNTIFS(Log_Testes!$B$2:$B$301,A78,Log_Testes!$A$2:$A$301,"&lt;&gt;",Log_Testes!$M$2:$M$301,""))</f>
        <v/>
      </c>
      <c r="G78" s="12">
        <f>IF(A78="","",COUNTIFS(Log_Testes!$B$2:$B$301,A78,Log_Testes!$N$2:$N$301,"DIVERGE*"))</f>
        <v/>
      </c>
      <c r="H78" s="12">
        <f>IF(A78="","",COUNTIFS(Divergencias!$B$2:$B$301,A78,Divergencias!$Q$2:$Q$301,"Sim"))</f>
        <v/>
      </c>
      <c r="I78" s="12">
        <f>IF(A78="","",COUNTIFS(Divergencias!$B$2:$B$301,A78,Divergencias!$Q$2:$Q$301,"Sim",Divergencias!$M$2:$M$301,"Alta"))</f>
        <v/>
      </c>
      <c r="J78" s="12">
        <f>IF(A78="","",COUNTIFS(Red_Team!$B$2:$B$301,A78,Red_Team!$I$2:$I$301,"Aberta"))</f>
        <v/>
      </c>
      <c r="K78" s="12">
        <f>IF(A78="","",IFERROR(INDEX(Atas_Comite!$D$2:$D$301,MATCH(A78,Atas_Comite!$P$2:$P$301,0)),"sem ata"))</f>
        <v/>
      </c>
      <c r="L78" s="12">
        <f>IF(A78="","",IFERROR(INDEX(Atas_Comite!$O$2:$O$301,MATCH(A78,Atas_Comite!$P$2:$P$301,0)),"—"))</f>
        <v/>
      </c>
      <c r="M78" s="12">
        <f>IF(A78="","",IFERROR(INDEX(Contraditorio!$M$2:$M$301,MATCH(A78,Contraditorio!$N$2:$N$301,0)),"não enviado"))</f>
        <v/>
      </c>
      <c r="N78" s="12">
        <f>IF(A78="","",IF(AND(C78="Sim",OR(D78&gt;0,LEFT(O78,1)="C"),F78=0,G78=0,J78=0,L78="Sim",OR(M78="Respondido",M78="Prazo encerrado – sem resposta")),"SIM → revisão jurídica","Não"))</f>
        <v/>
      </c>
      <c r="O78" s="12">
        <f>IF(A78="","",IFERROR(INDEX(Custodia!$U$2:$U$301,MATCH(A78,Custodia!$A$2:$A$301,0)),"—"))</f>
        <v/>
      </c>
    </row>
    <row r="79">
      <c r="A79" s="13" t="n"/>
      <c r="B79" s="12">
        <f>IF(A79="","",IFERROR(INDEX(Custodia!$C$2:$C$301,MATCH(A79,Custodia!$A$2:$A$301,0)),"não custodiado"))</f>
        <v/>
      </c>
      <c r="C79" s="12">
        <f>IF(A79="","",IFERROR(INDEX(Custodia!$S$2:$S$301,MATCH(A79,Custodia!$A$2:$A$301,0)),"NÃO"))</f>
        <v/>
      </c>
      <c r="D79" s="12">
        <f>IF(A79="","",COUNTIFS(Log_Testes!$B$2:$B$301,A79,Log_Testes!$C$2:$C$301,"F4*"))</f>
        <v/>
      </c>
      <c r="E79" s="12">
        <f>IF(A79="","",COUNTIFS(Log_Testes!$B$2:$B$301,A79,Log_Testes!$C$2:$C$301,"F5*"))</f>
        <v/>
      </c>
      <c r="F79" s="12">
        <f>IF(A79="","",COUNTIFS(Log_Testes!$B$2:$B$301,A79,Log_Testes!$A$2:$A$301,"&lt;&gt;",Log_Testes!$M$2:$M$301,""))</f>
        <v/>
      </c>
      <c r="G79" s="12">
        <f>IF(A79="","",COUNTIFS(Log_Testes!$B$2:$B$301,A79,Log_Testes!$N$2:$N$301,"DIVERGE*"))</f>
        <v/>
      </c>
      <c r="H79" s="12">
        <f>IF(A79="","",COUNTIFS(Divergencias!$B$2:$B$301,A79,Divergencias!$Q$2:$Q$301,"Sim"))</f>
        <v/>
      </c>
      <c r="I79" s="12">
        <f>IF(A79="","",COUNTIFS(Divergencias!$B$2:$B$301,A79,Divergencias!$Q$2:$Q$301,"Sim",Divergencias!$M$2:$M$301,"Alta"))</f>
        <v/>
      </c>
      <c r="J79" s="12">
        <f>IF(A79="","",COUNTIFS(Red_Team!$B$2:$B$301,A79,Red_Team!$I$2:$I$301,"Aberta"))</f>
        <v/>
      </c>
      <c r="K79" s="12">
        <f>IF(A79="","",IFERROR(INDEX(Atas_Comite!$D$2:$D$301,MATCH(A79,Atas_Comite!$P$2:$P$301,0)),"sem ata"))</f>
        <v/>
      </c>
      <c r="L79" s="12">
        <f>IF(A79="","",IFERROR(INDEX(Atas_Comite!$O$2:$O$301,MATCH(A79,Atas_Comite!$P$2:$P$301,0)),"—"))</f>
        <v/>
      </c>
      <c r="M79" s="12">
        <f>IF(A79="","",IFERROR(INDEX(Contraditorio!$M$2:$M$301,MATCH(A79,Contraditorio!$N$2:$N$301,0)),"não enviado"))</f>
        <v/>
      </c>
      <c r="N79" s="12">
        <f>IF(A79="","",IF(AND(C79="Sim",OR(D79&gt;0,LEFT(O79,1)="C"),F79=0,G79=0,J79=0,L79="Sim",OR(M79="Respondido",M79="Prazo encerrado – sem resposta")),"SIM → revisão jurídica","Não"))</f>
        <v/>
      </c>
      <c r="O79" s="12">
        <f>IF(A79="","",IFERROR(INDEX(Custodia!$U$2:$U$301,MATCH(A79,Custodia!$A$2:$A$301,0)),"—"))</f>
        <v/>
      </c>
    </row>
    <row r="80">
      <c r="A80" s="13" t="n"/>
      <c r="B80" s="12">
        <f>IF(A80="","",IFERROR(INDEX(Custodia!$C$2:$C$301,MATCH(A80,Custodia!$A$2:$A$301,0)),"não custodiado"))</f>
        <v/>
      </c>
      <c r="C80" s="12">
        <f>IF(A80="","",IFERROR(INDEX(Custodia!$S$2:$S$301,MATCH(A80,Custodia!$A$2:$A$301,0)),"NÃO"))</f>
        <v/>
      </c>
      <c r="D80" s="12">
        <f>IF(A80="","",COUNTIFS(Log_Testes!$B$2:$B$301,A80,Log_Testes!$C$2:$C$301,"F4*"))</f>
        <v/>
      </c>
      <c r="E80" s="12">
        <f>IF(A80="","",COUNTIFS(Log_Testes!$B$2:$B$301,A80,Log_Testes!$C$2:$C$301,"F5*"))</f>
        <v/>
      </c>
      <c r="F80" s="12">
        <f>IF(A80="","",COUNTIFS(Log_Testes!$B$2:$B$301,A80,Log_Testes!$A$2:$A$301,"&lt;&gt;",Log_Testes!$M$2:$M$301,""))</f>
        <v/>
      </c>
      <c r="G80" s="12">
        <f>IF(A80="","",COUNTIFS(Log_Testes!$B$2:$B$301,A80,Log_Testes!$N$2:$N$301,"DIVERGE*"))</f>
        <v/>
      </c>
      <c r="H80" s="12">
        <f>IF(A80="","",COUNTIFS(Divergencias!$B$2:$B$301,A80,Divergencias!$Q$2:$Q$301,"Sim"))</f>
        <v/>
      </c>
      <c r="I80" s="12">
        <f>IF(A80="","",COUNTIFS(Divergencias!$B$2:$B$301,A80,Divergencias!$Q$2:$Q$301,"Sim",Divergencias!$M$2:$M$301,"Alta"))</f>
        <v/>
      </c>
      <c r="J80" s="12">
        <f>IF(A80="","",COUNTIFS(Red_Team!$B$2:$B$301,A80,Red_Team!$I$2:$I$301,"Aberta"))</f>
        <v/>
      </c>
      <c r="K80" s="12">
        <f>IF(A80="","",IFERROR(INDEX(Atas_Comite!$D$2:$D$301,MATCH(A80,Atas_Comite!$P$2:$P$301,0)),"sem ata"))</f>
        <v/>
      </c>
      <c r="L80" s="12">
        <f>IF(A80="","",IFERROR(INDEX(Atas_Comite!$O$2:$O$301,MATCH(A80,Atas_Comite!$P$2:$P$301,0)),"—"))</f>
        <v/>
      </c>
      <c r="M80" s="12">
        <f>IF(A80="","",IFERROR(INDEX(Contraditorio!$M$2:$M$301,MATCH(A80,Contraditorio!$N$2:$N$301,0)),"não enviado"))</f>
        <v/>
      </c>
      <c r="N80" s="12">
        <f>IF(A80="","",IF(AND(C80="Sim",OR(D80&gt;0,LEFT(O80,1)="C"),F80=0,G80=0,J80=0,L80="Sim",OR(M80="Respondido",M80="Prazo encerrado – sem resposta")),"SIM → revisão jurídica","Não"))</f>
        <v/>
      </c>
      <c r="O80" s="12">
        <f>IF(A80="","",IFERROR(INDEX(Custodia!$U$2:$U$301,MATCH(A80,Custodia!$A$2:$A$301,0)),"—"))</f>
        <v/>
      </c>
    </row>
    <row r="81">
      <c r="A81" s="13" t="n"/>
      <c r="B81" s="12">
        <f>IF(A81="","",IFERROR(INDEX(Custodia!$C$2:$C$301,MATCH(A81,Custodia!$A$2:$A$301,0)),"não custodiado"))</f>
        <v/>
      </c>
      <c r="C81" s="12">
        <f>IF(A81="","",IFERROR(INDEX(Custodia!$S$2:$S$301,MATCH(A81,Custodia!$A$2:$A$301,0)),"NÃO"))</f>
        <v/>
      </c>
      <c r="D81" s="12">
        <f>IF(A81="","",COUNTIFS(Log_Testes!$B$2:$B$301,A81,Log_Testes!$C$2:$C$301,"F4*"))</f>
        <v/>
      </c>
      <c r="E81" s="12">
        <f>IF(A81="","",COUNTIFS(Log_Testes!$B$2:$B$301,A81,Log_Testes!$C$2:$C$301,"F5*"))</f>
        <v/>
      </c>
      <c r="F81" s="12">
        <f>IF(A81="","",COUNTIFS(Log_Testes!$B$2:$B$301,A81,Log_Testes!$A$2:$A$301,"&lt;&gt;",Log_Testes!$M$2:$M$301,""))</f>
        <v/>
      </c>
      <c r="G81" s="12">
        <f>IF(A81="","",COUNTIFS(Log_Testes!$B$2:$B$301,A81,Log_Testes!$N$2:$N$301,"DIVERGE*"))</f>
        <v/>
      </c>
      <c r="H81" s="12">
        <f>IF(A81="","",COUNTIFS(Divergencias!$B$2:$B$301,A81,Divergencias!$Q$2:$Q$301,"Sim"))</f>
        <v/>
      </c>
      <c r="I81" s="12">
        <f>IF(A81="","",COUNTIFS(Divergencias!$B$2:$B$301,A81,Divergencias!$Q$2:$Q$301,"Sim",Divergencias!$M$2:$M$301,"Alta"))</f>
        <v/>
      </c>
      <c r="J81" s="12">
        <f>IF(A81="","",COUNTIFS(Red_Team!$B$2:$B$301,A81,Red_Team!$I$2:$I$301,"Aberta"))</f>
        <v/>
      </c>
      <c r="K81" s="12">
        <f>IF(A81="","",IFERROR(INDEX(Atas_Comite!$D$2:$D$301,MATCH(A81,Atas_Comite!$P$2:$P$301,0)),"sem ata"))</f>
        <v/>
      </c>
      <c r="L81" s="12">
        <f>IF(A81="","",IFERROR(INDEX(Atas_Comite!$O$2:$O$301,MATCH(A81,Atas_Comite!$P$2:$P$301,0)),"—"))</f>
        <v/>
      </c>
      <c r="M81" s="12">
        <f>IF(A81="","",IFERROR(INDEX(Contraditorio!$M$2:$M$301,MATCH(A81,Contraditorio!$N$2:$N$301,0)),"não enviado"))</f>
        <v/>
      </c>
      <c r="N81" s="12">
        <f>IF(A81="","",IF(AND(C81="Sim",OR(D81&gt;0,LEFT(O81,1)="C"),F81=0,G81=0,J81=0,L81="Sim",OR(M81="Respondido",M81="Prazo encerrado – sem resposta")),"SIM → revisão jurídica","Não"))</f>
        <v/>
      </c>
      <c r="O81" s="12">
        <f>IF(A81="","",IFERROR(INDEX(Custodia!$U$2:$U$301,MATCH(A81,Custodia!$A$2:$A$301,0)),"—"))</f>
        <v/>
      </c>
    </row>
    <row r="82">
      <c r="A82" s="13" t="n"/>
      <c r="B82" s="12">
        <f>IF(A82="","",IFERROR(INDEX(Custodia!$C$2:$C$301,MATCH(A82,Custodia!$A$2:$A$301,0)),"não custodiado"))</f>
        <v/>
      </c>
      <c r="C82" s="12">
        <f>IF(A82="","",IFERROR(INDEX(Custodia!$S$2:$S$301,MATCH(A82,Custodia!$A$2:$A$301,0)),"NÃO"))</f>
        <v/>
      </c>
      <c r="D82" s="12">
        <f>IF(A82="","",COUNTIFS(Log_Testes!$B$2:$B$301,A82,Log_Testes!$C$2:$C$301,"F4*"))</f>
        <v/>
      </c>
      <c r="E82" s="12">
        <f>IF(A82="","",COUNTIFS(Log_Testes!$B$2:$B$301,A82,Log_Testes!$C$2:$C$301,"F5*"))</f>
        <v/>
      </c>
      <c r="F82" s="12">
        <f>IF(A82="","",COUNTIFS(Log_Testes!$B$2:$B$301,A82,Log_Testes!$A$2:$A$301,"&lt;&gt;",Log_Testes!$M$2:$M$301,""))</f>
        <v/>
      </c>
      <c r="G82" s="12">
        <f>IF(A82="","",COUNTIFS(Log_Testes!$B$2:$B$301,A82,Log_Testes!$N$2:$N$301,"DIVERGE*"))</f>
        <v/>
      </c>
      <c r="H82" s="12">
        <f>IF(A82="","",COUNTIFS(Divergencias!$B$2:$B$301,A82,Divergencias!$Q$2:$Q$301,"Sim"))</f>
        <v/>
      </c>
      <c r="I82" s="12">
        <f>IF(A82="","",COUNTIFS(Divergencias!$B$2:$B$301,A82,Divergencias!$Q$2:$Q$301,"Sim",Divergencias!$M$2:$M$301,"Alta"))</f>
        <v/>
      </c>
      <c r="J82" s="12">
        <f>IF(A82="","",COUNTIFS(Red_Team!$B$2:$B$301,A82,Red_Team!$I$2:$I$301,"Aberta"))</f>
        <v/>
      </c>
      <c r="K82" s="12">
        <f>IF(A82="","",IFERROR(INDEX(Atas_Comite!$D$2:$D$301,MATCH(A82,Atas_Comite!$P$2:$P$301,0)),"sem ata"))</f>
        <v/>
      </c>
      <c r="L82" s="12">
        <f>IF(A82="","",IFERROR(INDEX(Atas_Comite!$O$2:$O$301,MATCH(A82,Atas_Comite!$P$2:$P$301,0)),"—"))</f>
        <v/>
      </c>
      <c r="M82" s="12">
        <f>IF(A82="","",IFERROR(INDEX(Contraditorio!$M$2:$M$301,MATCH(A82,Contraditorio!$N$2:$N$301,0)),"não enviado"))</f>
        <v/>
      </c>
      <c r="N82" s="12">
        <f>IF(A82="","",IF(AND(C82="Sim",OR(D82&gt;0,LEFT(O82,1)="C"),F82=0,G82=0,J82=0,L82="Sim",OR(M82="Respondido",M82="Prazo encerrado – sem resposta")),"SIM → revisão jurídica","Não"))</f>
        <v/>
      </c>
      <c r="O82" s="12">
        <f>IF(A82="","",IFERROR(INDEX(Custodia!$U$2:$U$301,MATCH(A82,Custodia!$A$2:$A$301,0)),"—"))</f>
        <v/>
      </c>
    </row>
    <row r="83">
      <c r="A83" s="13" t="n"/>
      <c r="B83" s="12">
        <f>IF(A83="","",IFERROR(INDEX(Custodia!$C$2:$C$301,MATCH(A83,Custodia!$A$2:$A$301,0)),"não custodiado"))</f>
        <v/>
      </c>
      <c r="C83" s="12">
        <f>IF(A83="","",IFERROR(INDEX(Custodia!$S$2:$S$301,MATCH(A83,Custodia!$A$2:$A$301,0)),"NÃO"))</f>
        <v/>
      </c>
      <c r="D83" s="12">
        <f>IF(A83="","",COUNTIFS(Log_Testes!$B$2:$B$301,A83,Log_Testes!$C$2:$C$301,"F4*"))</f>
        <v/>
      </c>
      <c r="E83" s="12">
        <f>IF(A83="","",COUNTIFS(Log_Testes!$B$2:$B$301,A83,Log_Testes!$C$2:$C$301,"F5*"))</f>
        <v/>
      </c>
      <c r="F83" s="12">
        <f>IF(A83="","",COUNTIFS(Log_Testes!$B$2:$B$301,A83,Log_Testes!$A$2:$A$301,"&lt;&gt;",Log_Testes!$M$2:$M$301,""))</f>
        <v/>
      </c>
      <c r="G83" s="12">
        <f>IF(A83="","",COUNTIFS(Log_Testes!$B$2:$B$301,A83,Log_Testes!$N$2:$N$301,"DIVERGE*"))</f>
        <v/>
      </c>
      <c r="H83" s="12">
        <f>IF(A83="","",COUNTIFS(Divergencias!$B$2:$B$301,A83,Divergencias!$Q$2:$Q$301,"Sim"))</f>
        <v/>
      </c>
      <c r="I83" s="12">
        <f>IF(A83="","",COUNTIFS(Divergencias!$B$2:$B$301,A83,Divergencias!$Q$2:$Q$301,"Sim",Divergencias!$M$2:$M$301,"Alta"))</f>
        <v/>
      </c>
      <c r="J83" s="12">
        <f>IF(A83="","",COUNTIFS(Red_Team!$B$2:$B$301,A83,Red_Team!$I$2:$I$301,"Aberta"))</f>
        <v/>
      </c>
      <c r="K83" s="12">
        <f>IF(A83="","",IFERROR(INDEX(Atas_Comite!$D$2:$D$301,MATCH(A83,Atas_Comite!$P$2:$P$301,0)),"sem ata"))</f>
        <v/>
      </c>
      <c r="L83" s="12">
        <f>IF(A83="","",IFERROR(INDEX(Atas_Comite!$O$2:$O$301,MATCH(A83,Atas_Comite!$P$2:$P$301,0)),"—"))</f>
        <v/>
      </c>
      <c r="M83" s="12">
        <f>IF(A83="","",IFERROR(INDEX(Contraditorio!$M$2:$M$301,MATCH(A83,Contraditorio!$N$2:$N$301,0)),"não enviado"))</f>
        <v/>
      </c>
      <c r="N83" s="12">
        <f>IF(A83="","",IF(AND(C83="Sim",OR(D83&gt;0,LEFT(O83,1)="C"),F83=0,G83=0,J83=0,L83="Sim",OR(M83="Respondido",M83="Prazo encerrado – sem resposta")),"SIM → revisão jurídica","Não"))</f>
        <v/>
      </c>
      <c r="O83" s="12">
        <f>IF(A83="","",IFERROR(INDEX(Custodia!$U$2:$U$301,MATCH(A83,Custodia!$A$2:$A$301,0)),"—"))</f>
        <v/>
      </c>
    </row>
    <row r="84">
      <c r="A84" s="13" t="n"/>
      <c r="B84" s="12">
        <f>IF(A84="","",IFERROR(INDEX(Custodia!$C$2:$C$301,MATCH(A84,Custodia!$A$2:$A$301,0)),"não custodiado"))</f>
        <v/>
      </c>
      <c r="C84" s="12">
        <f>IF(A84="","",IFERROR(INDEX(Custodia!$S$2:$S$301,MATCH(A84,Custodia!$A$2:$A$301,0)),"NÃO"))</f>
        <v/>
      </c>
      <c r="D84" s="12">
        <f>IF(A84="","",COUNTIFS(Log_Testes!$B$2:$B$301,A84,Log_Testes!$C$2:$C$301,"F4*"))</f>
        <v/>
      </c>
      <c r="E84" s="12">
        <f>IF(A84="","",COUNTIFS(Log_Testes!$B$2:$B$301,A84,Log_Testes!$C$2:$C$301,"F5*"))</f>
        <v/>
      </c>
      <c r="F84" s="12">
        <f>IF(A84="","",COUNTIFS(Log_Testes!$B$2:$B$301,A84,Log_Testes!$A$2:$A$301,"&lt;&gt;",Log_Testes!$M$2:$M$301,""))</f>
        <v/>
      </c>
      <c r="G84" s="12">
        <f>IF(A84="","",COUNTIFS(Log_Testes!$B$2:$B$301,A84,Log_Testes!$N$2:$N$301,"DIVERGE*"))</f>
        <v/>
      </c>
      <c r="H84" s="12">
        <f>IF(A84="","",COUNTIFS(Divergencias!$B$2:$B$301,A84,Divergencias!$Q$2:$Q$301,"Sim"))</f>
        <v/>
      </c>
      <c r="I84" s="12">
        <f>IF(A84="","",COUNTIFS(Divergencias!$B$2:$B$301,A84,Divergencias!$Q$2:$Q$301,"Sim",Divergencias!$M$2:$M$301,"Alta"))</f>
        <v/>
      </c>
      <c r="J84" s="12">
        <f>IF(A84="","",COUNTIFS(Red_Team!$B$2:$B$301,A84,Red_Team!$I$2:$I$301,"Aberta"))</f>
        <v/>
      </c>
      <c r="K84" s="12">
        <f>IF(A84="","",IFERROR(INDEX(Atas_Comite!$D$2:$D$301,MATCH(A84,Atas_Comite!$P$2:$P$301,0)),"sem ata"))</f>
        <v/>
      </c>
      <c r="L84" s="12">
        <f>IF(A84="","",IFERROR(INDEX(Atas_Comite!$O$2:$O$301,MATCH(A84,Atas_Comite!$P$2:$P$301,0)),"—"))</f>
        <v/>
      </c>
      <c r="M84" s="12">
        <f>IF(A84="","",IFERROR(INDEX(Contraditorio!$M$2:$M$301,MATCH(A84,Contraditorio!$N$2:$N$301,0)),"não enviado"))</f>
        <v/>
      </c>
      <c r="N84" s="12">
        <f>IF(A84="","",IF(AND(C84="Sim",OR(D84&gt;0,LEFT(O84,1)="C"),F84=0,G84=0,J84=0,L84="Sim",OR(M84="Respondido",M84="Prazo encerrado – sem resposta")),"SIM → revisão jurídica","Não"))</f>
        <v/>
      </c>
      <c r="O84" s="12">
        <f>IF(A84="","",IFERROR(INDEX(Custodia!$U$2:$U$301,MATCH(A84,Custodia!$A$2:$A$301,0)),"—"))</f>
        <v/>
      </c>
    </row>
    <row r="85">
      <c r="A85" s="13" t="n"/>
      <c r="B85" s="12">
        <f>IF(A85="","",IFERROR(INDEX(Custodia!$C$2:$C$301,MATCH(A85,Custodia!$A$2:$A$301,0)),"não custodiado"))</f>
        <v/>
      </c>
      <c r="C85" s="12">
        <f>IF(A85="","",IFERROR(INDEX(Custodia!$S$2:$S$301,MATCH(A85,Custodia!$A$2:$A$301,0)),"NÃO"))</f>
        <v/>
      </c>
      <c r="D85" s="12">
        <f>IF(A85="","",COUNTIFS(Log_Testes!$B$2:$B$301,A85,Log_Testes!$C$2:$C$301,"F4*"))</f>
        <v/>
      </c>
      <c r="E85" s="12">
        <f>IF(A85="","",COUNTIFS(Log_Testes!$B$2:$B$301,A85,Log_Testes!$C$2:$C$301,"F5*"))</f>
        <v/>
      </c>
      <c r="F85" s="12">
        <f>IF(A85="","",COUNTIFS(Log_Testes!$B$2:$B$301,A85,Log_Testes!$A$2:$A$301,"&lt;&gt;",Log_Testes!$M$2:$M$301,""))</f>
        <v/>
      </c>
      <c r="G85" s="12">
        <f>IF(A85="","",COUNTIFS(Log_Testes!$B$2:$B$301,A85,Log_Testes!$N$2:$N$301,"DIVERGE*"))</f>
        <v/>
      </c>
      <c r="H85" s="12">
        <f>IF(A85="","",COUNTIFS(Divergencias!$B$2:$B$301,A85,Divergencias!$Q$2:$Q$301,"Sim"))</f>
        <v/>
      </c>
      <c r="I85" s="12">
        <f>IF(A85="","",COUNTIFS(Divergencias!$B$2:$B$301,A85,Divergencias!$Q$2:$Q$301,"Sim",Divergencias!$M$2:$M$301,"Alta"))</f>
        <v/>
      </c>
      <c r="J85" s="12">
        <f>IF(A85="","",COUNTIFS(Red_Team!$B$2:$B$301,A85,Red_Team!$I$2:$I$301,"Aberta"))</f>
        <v/>
      </c>
      <c r="K85" s="12">
        <f>IF(A85="","",IFERROR(INDEX(Atas_Comite!$D$2:$D$301,MATCH(A85,Atas_Comite!$P$2:$P$301,0)),"sem ata"))</f>
        <v/>
      </c>
      <c r="L85" s="12">
        <f>IF(A85="","",IFERROR(INDEX(Atas_Comite!$O$2:$O$301,MATCH(A85,Atas_Comite!$P$2:$P$301,0)),"—"))</f>
        <v/>
      </c>
      <c r="M85" s="12">
        <f>IF(A85="","",IFERROR(INDEX(Contraditorio!$M$2:$M$301,MATCH(A85,Contraditorio!$N$2:$N$301,0)),"não enviado"))</f>
        <v/>
      </c>
      <c r="N85" s="12">
        <f>IF(A85="","",IF(AND(C85="Sim",OR(D85&gt;0,LEFT(O85,1)="C"),F85=0,G85=0,J85=0,L85="Sim",OR(M85="Respondido",M85="Prazo encerrado – sem resposta")),"SIM → revisão jurídica","Não"))</f>
        <v/>
      </c>
      <c r="O85" s="12">
        <f>IF(A85="","",IFERROR(INDEX(Custodia!$U$2:$U$301,MATCH(A85,Custodia!$A$2:$A$301,0)),"—"))</f>
        <v/>
      </c>
    </row>
    <row r="86">
      <c r="A86" s="13" t="n"/>
      <c r="B86" s="12">
        <f>IF(A86="","",IFERROR(INDEX(Custodia!$C$2:$C$301,MATCH(A86,Custodia!$A$2:$A$301,0)),"não custodiado"))</f>
        <v/>
      </c>
      <c r="C86" s="12">
        <f>IF(A86="","",IFERROR(INDEX(Custodia!$S$2:$S$301,MATCH(A86,Custodia!$A$2:$A$301,0)),"NÃO"))</f>
        <v/>
      </c>
      <c r="D86" s="12">
        <f>IF(A86="","",COUNTIFS(Log_Testes!$B$2:$B$301,A86,Log_Testes!$C$2:$C$301,"F4*"))</f>
        <v/>
      </c>
      <c r="E86" s="12">
        <f>IF(A86="","",COUNTIFS(Log_Testes!$B$2:$B$301,A86,Log_Testes!$C$2:$C$301,"F5*"))</f>
        <v/>
      </c>
      <c r="F86" s="12">
        <f>IF(A86="","",COUNTIFS(Log_Testes!$B$2:$B$301,A86,Log_Testes!$A$2:$A$301,"&lt;&gt;",Log_Testes!$M$2:$M$301,""))</f>
        <v/>
      </c>
      <c r="G86" s="12">
        <f>IF(A86="","",COUNTIFS(Log_Testes!$B$2:$B$301,A86,Log_Testes!$N$2:$N$301,"DIVERGE*"))</f>
        <v/>
      </c>
      <c r="H86" s="12">
        <f>IF(A86="","",COUNTIFS(Divergencias!$B$2:$B$301,A86,Divergencias!$Q$2:$Q$301,"Sim"))</f>
        <v/>
      </c>
      <c r="I86" s="12">
        <f>IF(A86="","",COUNTIFS(Divergencias!$B$2:$B$301,A86,Divergencias!$Q$2:$Q$301,"Sim",Divergencias!$M$2:$M$301,"Alta"))</f>
        <v/>
      </c>
      <c r="J86" s="12">
        <f>IF(A86="","",COUNTIFS(Red_Team!$B$2:$B$301,A86,Red_Team!$I$2:$I$301,"Aberta"))</f>
        <v/>
      </c>
      <c r="K86" s="12">
        <f>IF(A86="","",IFERROR(INDEX(Atas_Comite!$D$2:$D$301,MATCH(A86,Atas_Comite!$P$2:$P$301,0)),"sem ata"))</f>
        <v/>
      </c>
      <c r="L86" s="12">
        <f>IF(A86="","",IFERROR(INDEX(Atas_Comite!$O$2:$O$301,MATCH(A86,Atas_Comite!$P$2:$P$301,0)),"—"))</f>
        <v/>
      </c>
      <c r="M86" s="12">
        <f>IF(A86="","",IFERROR(INDEX(Contraditorio!$M$2:$M$301,MATCH(A86,Contraditorio!$N$2:$N$301,0)),"não enviado"))</f>
        <v/>
      </c>
      <c r="N86" s="12">
        <f>IF(A86="","",IF(AND(C86="Sim",OR(D86&gt;0,LEFT(O86,1)="C"),F86=0,G86=0,J86=0,L86="Sim",OR(M86="Respondido",M86="Prazo encerrado – sem resposta")),"SIM → revisão jurídica","Não"))</f>
        <v/>
      </c>
      <c r="O86" s="12">
        <f>IF(A86="","",IFERROR(INDEX(Custodia!$U$2:$U$301,MATCH(A86,Custodia!$A$2:$A$301,0)),"—"))</f>
        <v/>
      </c>
    </row>
    <row r="87">
      <c r="A87" s="13" t="n"/>
      <c r="B87" s="12">
        <f>IF(A87="","",IFERROR(INDEX(Custodia!$C$2:$C$301,MATCH(A87,Custodia!$A$2:$A$301,0)),"não custodiado"))</f>
        <v/>
      </c>
      <c r="C87" s="12">
        <f>IF(A87="","",IFERROR(INDEX(Custodia!$S$2:$S$301,MATCH(A87,Custodia!$A$2:$A$301,0)),"NÃO"))</f>
        <v/>
      </c>
      <c r="D87" s="12">
        <f>IF(A87="","",COUNTIFS(Log_Testes!$B$2:$B$301,A87,Log_Testes!$C$2:$C$301,"F4*"))</f>
        <v/>
      </c>
      <c r="E87" s="12">
        <f>IF(A87="","",COUNTIFS(Log_Testes!$B$2:$B$301,A87,Log_Testes!$C$2:$C$301,"F5*"))</f>
        <v/>
      </c>
      <c r="F87" s="12">
        <f>IF(A87="","",COUNTIFS(Log_Testes!$B$2:$B$301,A87,Log_Testes!$A$2:$A$301,"&lt;&gt;",Log_Testes!$M$2:$M$301,""))</f>
        <v/>
      </c>
      <c r="G87" s="12">
        <f>IF(A87="","",COUNTIFS(Log_Testes!$B$2:$B$301,A87,Log_Testes!$N$2:$N$301,"DIVERGE*"))</f>
        <v/>
      </c>
      <c r="H87" s="12">
        <f>IF(A87="","",COUNTIFS(Divergencias!$B$2:$B$301,A87,Divergencias!$Q$2:$Q$301,"Sim"))</f>
        <v/>
      </c>
      <c r="I87" s="12">
        <f>IF(A87="","",COUNTIFS(Divergencias!$B$2:$B$301,A87,Divergencias!$Q$2:$Q$301,"Sim",Divergencias!$M$2:$M$301,"Alta"))</f>
        <v/>
      </c>
      <c r="J87" s="12">
        <f>IF(A87="","",COUNTIFS(Red_Team!$B$2:$B$301,A87,Red_Team!$I$2:$I$301,"Aberta"))</f>
        <v/>
      </c>
      <c r="K87" s="12">
        <f>IF(A87="","",IFERROR(INDEX(Atas_Comite!$D$2:$D$301,MATCH(A87,Atas_Comite!$P$2:$P$301,0)),"sem ata"))</f>
        <v/>
      </c>
      <c r="L87" s="12">
        <f>IF(A87="","",IFERROR(INDEX(Atas_Comite!$O$2:$O$301,MATCH(A87,Atas_Comite!$P$2:$P$301,0)),"—"))</f>
        <v/>
      </c>
      <c r="M87" s="12">
        <f>IF(A87="","",IFERROR(INDEX(Contraditorio!$M$2:$M$301,MATCH(A87,Contraditorio!$N$2:$N$301,0)),"não enviado"))</f>
        <v/>
      </c>
      <c r="N87" s="12">
        <f>IF(A87="","",IF(AND(C87="Sim",OR(D87&gt;0,LEFT(O87,1)="C"),F87=0,G87=0,J87=0,L87="Sim",OR(M87="Respondido",M87="Prazo encerrado – sem resposta")),"SIM → revisão jurídica","Não"))</f>
        <v/>
      </c>
      <c r="O87" s="12">
        <f>IF(A87="","",IFERROR(INDEX(Custodia!$U$2:$U$301,MATCH(A87,Custodia!$A$2:$A$301,0)),"—"))</f>
        <v/>
      </c>
    </row>
    <row r="88">
      <c r="A88" s="13" t="n"/>
      <c r="B88" s="12">
        <f>IF(A88="","",IFERROR(INDEX(Custodia!$C$2:$C$301,MATCH(A88,Custodia!$A$2:$A$301,0)),"não custodiado"))</f>
        <v/>
      </c>
      <c r="C88" s="12">
        <f>IF(A88="","",IFERROR(INDEX(Custodia!$S$2:$S$301,MATCH(A88,Custodia!$A$2:$A$301,0)),"NÃO"))</f>
        <v/>
      </c>
      <c r="D88" s="12">
        <f>IF(A88="","",COUNTIFS(Log_Testes!$B$2:$B$301,A88,Log_Testes!$C$2:$C$301,"F4*"))</f>
        <v/>
      </c>
      <c r="E88" s="12">
        <f>IF(A88="","",COUNTIFS(Log_Testes!$B$2:$B$301,A88,Log_Testes!$C$2:$C$301,"F5*"))</f>
        <v/>
      </c>
      <c r="F88" s="12">
        <f>IF(A88="","",COUNTIFS(Log_Testes!$B$2:$B$301,A88,Log_Testes!$A$2:$A$301,"&lt;&gt;",Log_Testes!$M$2:$M$301,""))</f>
        <v/>
      </c>
      <c r="G88" s="12">
        <f>IF(A88="","",COUNTIFS(Log_Testes!$B$2:$B$301,A88,Log_Testes!$N$2:$N$301,"DIVERGE*"))</f>
        <v/>
      </c>
      <c r="H88" s="12">
        <f>IF(A88="","",COUNTIFS(Divergencias!$B$2:$B$301,A88,Divergencias!$Q$2:$Q$301,"Sim"))</f>
        <v/>
      </c>
      <c r="I88" s="12">
        <f>IF(A88="","",COUNTIFS(Divergencias!$B$2:$B$301,A88,Divergencias!$Q$2:$Q$301,"Sim",Divergencias!$M$2:$M$301,"Alta"))</f>
        <v/>
      </c>
      <c r="J88" s="12">
        <f>IF(A88="","",COUNTIFS(Red_Team!$B$2:$B$301,A88,Red_Team!$I$2:$I$301,"Aberta"))</f>
        <v/>
      </c>
      <c r="K88" s="12">
        <f>IF(A88="","",IFERROR(INDEX(Atas_Comite!$D$2:$D$301,MATCH(A88,Atas_Comite!$P$2:$P$301,0)),"sem ata"))</f>
        <v/>
      </c>
      <c r="L88" s="12">
        <f>IF(A88="","",IFERROR(INDEX(Atas_Comite!$O$2:$O$301,MATCH(A88,Atas_Comite!$P$2:$P$301,0)),"—"))</f>
        <v/>
      </c>
      <c r="M88" s="12">
        <f>IF(A88="","",IFERROR(INDEX(Contraditorio!$M$2:$M$301,MATCH(A88,Contraditorio!$N$2:$N$301,0)),"não enviado"))</f>
        <v/>
      </c>
      <c r="N88" s="12">
        <f>IF(A88="","",IF(AND(C88="Sim",OR(D88&gt;0,LEFT(O88,1)="C"),F88=0,G88=0,J88=0,L88="Sim",OR(M88="Respondido",M88="Prazo encerrado – sem resposta")),"SIM → revisão jurídica","Não"))</f>
        <v/>
      </c>
      <c r="O88" s="12">
        <f>IF(A88="","",IFERROR(INDEX(Custodia!$U$2:$U$301,MATCH(A88,Custodia!$A$2:$A$301,0)),"—"))</f>
        <v/>
      </c>
    </row>
    <row r="89">
      <c r="A89" s="13" t="n"/>
      <c r="B89" s="12">
        <f>IF(A89="","",IFERROR(INDEX(Custodia!$C$2:$C$301,MATCH(A89,Custodia!$A$2:$A$301,0)),"não custodiado"))</f>
        <v/>
      </c>
      <c r="C89" s="12">
        <f>IF(A89="","",IFERROR(INDEX(Custodia!$S$2:$S$301,MATCH(A89,Custodia!$A$2:$A$301,0)),"NÃO"))</f>
        <v/>
      </c>
      <c r="D89" s="12">
        <f>IF(A89="","",COUNTIFS(Log_Testes!$B$2:$B$301,A89,Log_Testes!$C$2:$C$301,"F4*"))</f>
        <v/>
      </c>
      <c r="E89" s="12">
        <f>IF(A89="","",COUNTIFS(Log_Testes!$B$2:$B$301,A89,Log_Testes!$C$2:$C$301,"F5*"))</f>
        <v/>
      </c>
      <c r="F89" s="12">
        <f>IF(A89="","",COUNTIFS(Log_Testes!$B$2:$B$301,A89,Log_Testes!$A$2:$A$301,"&lt;&gt;",Log_Testes!$M$2:$M$301,""))</f>
        <v/>
      </c>
      <c r="G89" s="12">
        <f>IF(A89="","",COUNTIFS(Log_Testes!$B$2:$B$301,A89,Log_Testes!$N$2:$N$301,"DIVERGE*"))</f>
        <v/>
      </c>
      <c r="H89" s="12">
        <f>IF(A89="","",COUNTIFS(Divergencias!$B$2:$B$301,A89,Divergencias!$Q$2:$Q$301,"Sim"))</f>
        <v/>
      </c>
      <c r="I89" s="12">
        <f>IF(A89="","",COUNTIFS(Divergencias!$B$2:$B$301,A89,Divergencias!$Q$2:$Q$301,"Sim",Divergencias!$M$2:$M$301,"Alta"))</f>
        <v/>
      </c>
      <c r="J89" s="12">
        <f>IF(A89="","",COUNTIFS(Red_Team!$B$2:$B$301,A89,Red_Team!$I$2:$I$301,"Aberta"))</f>
        <v/>
      </c>
      <c r="K89" s="12">
        <f>IF(A89="","",IFERROR(INDEX(Atas_Comite!$D$2:$D$301,MATCH(A89,Atas_Comite!$P$2:$P$301,0)),"sem ata"))</f>
        <v/>
      </c>
      <c r="L89" s="12">
        <f>IF(A89="","",IFERROR(INDEX(Atas_Comite!$O$2:$O$301,MATCH(A89,Atas_Comite!$P$2:$P$301,0)),"—"))</f>
        <v/>
      </c>
      <c r="M89" s="12">
        <f>IF(A89="","",IFERROR(INDEX(Contraditorio!$M$2:$M$301,MATCH(A89,Contraditorio!$N$2:$N$301,0)),"não enviado"))</f>
        <v/>
      </c>
      <c r="N89" s="12">
        <f>IF(A89="","",IF(AND(C89="Sim",OR(D89&gt;0,LEFT(O89,1)="C"),F89=0,G89=0,J89=0,L89="Sim",OR(M89="Respondido",M89="Prazo encerrado – sem resposta")),"SIM → revisão jurídica","Não"))</f>
        <v/>
      </c>
      <c r="O89" s="12">
        <f>IF(A89="","",IFERROR(INDEX(Custodia!$U$2:$U$301,MATCH(A89,Custodia!$A$2:$A$301,0)),"—"))</f>
        <v/>
      </c>
    </row>
    <row r="90">
      <c r="A90" s="13" t="n"/>
      <c r="B90" s="12">
        <f>IF(A90="","",IFERROR(INDEX(Custodia!$C$2:$C$301,MATCH(A90,Custodia!$A$2:$A$301,0)),"não custodiado"))</f>
        <v/>
      </c>
      <c r="C90" s="12">
        <f>IF(A90="","",IFERROR(INDEX(Custodia!$S$2:$S$301,MATCH(A90,Custodia!$A$2:$A$301,0)),"NÃO"))</f>
        <v/>
      </c>
      <c r="D90" s="12">
        <f>IF(A90="","",COUNTIFS(Log_Testes!$B$2:$B$301,A90,Log_Testes!$C$2:$C$301,"F4*"))</f>
        <v/>
      </c>
      <c r="E90" s="12">
        <f>IF(A90="","",COUNTIFS(Log_Testes!$B$2:$B$301,A90,Log_Testes!$C$2:$C$301,"F5*"))</f>
        <v/>
      </c>
      <c r="F90" s="12">
        <f>IF(A90="","",COUNTIFS(Log_Testes!$B$2:$B$301,A90,Log_Testes!$A$2:$A$301,"&lt;&gt;",Log_Testes!$M$2:$M$301,""))</f>
        <v/>
      </c>
      <c r="G90" s="12">
        <f>IF(A90="","",COUNTIFS(Log_Testes!$B$2:$B$301,A90,Log_Testes!$N$2:$N$301,"DIVERGE*"))</f>
        <v/>
      </c>
      <c r="H90" s="12">
        <f>IF(A90="","",COUNTIFS(Divergencias!$B$2:$B$301,A90,Divergencias!$Q$2:$Q$301,"Sim"))</f>
        <v/>
      </c>
      <c r="I90" s="12">
        <f>IF(A90="","",COUNTIFS(Divergencias!$B$2:$B$301,A90,Divergencias!$Q$2:$Q$301,"Sim",Divergencias!$M$2:$M$301,"Alta"))</f>
        <v/>
      </c>
      <c r="J90" s="12">
        <f>IF(A90="","",COUNTIFS(Red_Team!$B$2:$B$301,A90,Red_Team!$I$2:$I$301,"Aberta"))</f>
        <v/>
      </c>
      <c r="K90" s="12">
        <f>IF(A90="","",IFERROR(INDEX(Atas_Comite!$D$2:$D$301,MATCH(A90,Atas_Comite!$P$2:$P$301,0)),"sem ata"))</f>
        <v/>
      </c>
      <c r="L90" s="12">
        <f>IF(A90="","",IFERROR(INDEX(Atas_Comite!$O$2:$O$301,MATCH(A90,Atas_Comite!$P$2:$P$301,0)),"—"))</f>
        <v/>
      </c>
      <c r="M90" s="12">
        <f>IF(A90="","",IFERROR(INDEX(Contraditorio!$M$2:$M$301,MATCH(A90,Contraditorio!$N$2:$N$301,0)),"não enviado"))</f>
        <v/>
      </c>
      <c r="N90" s="12">
        <f>IF(A90="","",IF(AND(C90="Sim",OR(D90&gt;0,LEFT(O90,1)="C"),F90=0,G90=0,J90=0,L90="Sim",OR(M90="Respondido",M90="Prazo encerrado – sem resposta")),"SIM → revisão jurídica","Não"))</f>
        <v/>
      </c>
      <c r="O90" s="12">
        <f>IF(A90="","",IFERROR(INDEX(Custodia!$U$2:$U$301,MATCH(A90,Custodia!$A$2:$A$301,0)),"—"))</f>
        <v/>
      </c>
    </row>
    <row r="91">
      <c r="A91" s="13" t="n"/>
      <c r="B91" s="12">
        <f>IF(A91="","",IFERROR(INDEX(Custodia!$C$2:$C$301,MATCH(A91,Custodia!$A$2:$A$301,0)),"não custodiado"))</f>
        <v/>
      </c>
      <c r="C91" s="12">
        <f>IF(A91="","",IFERROR(INDEX(Custodia!$S$2:$S$301,MATCH(A91,Custodia!$A$2:$A$301,0)),"NÃO"))</f>
        <v/>
      </c>
      <c r="D91" s="12">
        <f>IF(A91="","",COUNTIFS(Log_Testes!$B$2:$B$301,A91,Log_Testes!$C$2:$C$301,"F4*"))</f>
        <v/>
      </c>
      <c r="E91" s="12">
        <f>IF(A91="","",COUNTIFS(Log_Testes!$B$2:$B$301,A91,Log_Testes!$C$2:$C$301,"F5*"))</f>
        <v/>
      </c>
      <c r="F91" s="12">
        <f>IF(A91="","",COUNTIFS(Log_Testes!$B$2:$B$301,A91,Log_Testes!$A$2:$A$301,"&lt;&gt;",Log_Testes!$M$2:$M$301,""))</f>
        <v/>
      </c>
      <c r="G91" s="12">
        <f>IF(A91="","",COUNTIFS(Log_Testes!$B$2:$B$301,A91,Log_Testes!$N$2:$N$301,"DIVERGE*"))</f>
        <v/>
      </c>
      <c r="H91" s="12">
        <f>IF(A91="","",COUNTIFS(Divergencias!$B$2:$B$301,A91,Divergencias!$Q$2:$Q$301,"Sim"))</f>
        <v/>
      </c>
      <c r="I91" s="12">
        <f>IF(A91="","",COUNTIFS(Divergencias!$B$2:$B$301,A91,Divergencias!$Q$2:$Q$301,"Sim",Divergencias!$M$2:$M$301,"Alta"))</f>
        <v/>
      </c>
      <c r="J91" s="12">
        <f>IF(A91="","",COUNTIFS(Red_Team!$B$2:$B$301,A91,Red_Team!$I$2:$I$301,"Aberta"))</f>
        <v/>
      </c>
      <c r="K91" s="12">
        <f>IF(A91="","",IFERROR(INDEX(Atas_Comite!$D$2:$D$301,MATCH(A91,Atas_Comite!$P$2:$P$301,0)),"sem ata"))</f>
        <v/>
      </c>
      <c r="L91" s="12">
        <f>IF(A91="","",IFERROR(INDEX(Atas_Comite!$O$2:$O$301,MATCH(A91,Atas_Comite!$P$2:$P$301,0)),"—"))</f>
        <v/>
      </c>
      <c r="M91" s="12">
        <f>IF(A91="","",IFERROR(INDEX(Contraditorio!$M$2:$M$301,MATCH(A91,Contraditorio!$N$2:$N$301,0)),"não enviado"))</f>
        <v/>
      </c>
      <c r="N91" s="12">
        <f>IF(A91="","",IF(AND(C91="Sim",OR(D91&gt;0,LEFT(O91,1)="C"),F91=0,G91=0,J91=0,L91="Sim",OR(M91="Respondido",M91="Prazo encerrado – sem resposta")),"SIM → revisão jurídica","Não"))</f>
        <v/>
      </c>
      <c r="O91" s="12">
        <f>IF(A91="","",IFERROR(INDEX(Custodia!$U$2:$U$301,MATCH(A91,Custodia!$A$2:$A$301,0)),"—"))</f>
        <v/>
      </c>
    </row>
    <row r="92">
      <c r="A92" s="13" t="n"/>
      <c r="B92" s="12">
        <f>IF(A92="","",IFERROR(INDEX(Custodia!$C$2:$C$301,MATCH(A92,Custodia!$A$2:$A$301,0)),"não custodiado"))</f>
        <v/>
      </c>
      <c r="C92" s="12">
        <f>IF(A92="","",IFERROR(INDEX(Custodia!$S$2:$S$301,MATCH(A92,Custodia!$A$2:$A$301,0)),"NÃO"))</f>
        <v/>
      </c>
      <c r="D92" s="12">
        <f>IF(A92="","",COUNTIFS(Log_Testes!$B$2:$B$301,A92,Log_Testes!$C$2:$C$301,"F4*"))</f>
        <v/>
      </c>
      <c r="E92" s="12">
        <f>IF(A92="","",COUNTIFS(Log_Testes!$B$2:$B$301,A92,Log_Testes!$C$2:$C$301,"F5*"))</f>
        <v/>
      </c>
      <c r="F92" s="12">
        <f>IF(A92="","",COUNTIFS(Log_Testes!$B$2:$B$301,A92,Log_Testes!$A$2:$A$301,"&lt;&gt;",Log_Testes!$M$2:$M$301,""))</f>
        <v/>
      </c>
      <c r="G92" s="12">
        <f>IF(A92="","",COUNTIFS(Log_Testes!$B$2:$B$301,A92,Log_Testes!$N$2:$N$301,"DIVERGE*"))</f>
        <v/>
      </c>
      <c r="H92" s="12">
        <f>IF(A92="","",COUNTIFS(Divergencias!$B$2:$B$301,A92,Divergencias!$Q$2:$Q$301,"Sim"))</f>
        <v/>
      </c>
      <c r="I92" s="12">
        <f>IF(A92="","",COUNTIFS(Divergencias!$B$2:$B$301,A92,Divergencias!$Q$2:$Q$301,"Sim",Divergencias!$M$2:$M$301,"Alta"))</f>
        <v/>
      </c>
      <c r="J92" s="12">
        <f>IF(A92="","",COUNTIFS(Red_Team!$B$2:$B$301,A92,Red_Team!$I$2:$I$301,"Aberta"))</f>
        <v/>
      </c>
      <c r="K92" s="12">
        <f>IF(A92="","",IFERROR(INDEX(Atas_Comite!$D$2:$D$301,MATCH(A92,Atas_Comite!$P$2:$P$301,0)),"sem ata"))</f>
        <v/>
      </c>
      <c r="L92" s="12">
        <f>IF(A92="","",IFERROR(INDEX(Atas_Comite!$O$2:$O$301,MATCH(A92,Atas_Comite!$P$2:$P$301,0)),"—"))</f>
        <v/>
      </c>
      <c r="M92" s="12">
        <f>IF(A92="","",IFERROR(INDEX(Contraditorio!$M$2:$M$301,MATCH(A92,Contraditorio!$N$2:$N$301,0)),"não enviado"))</f>
        <v/>
      </c>
      <c r="N92" s="12">
        <f>IF(A92="","",IF(AND(C92="Sim",OR(D92&gt;0,LEFT(O92,1)="C"),F92=0,G92=0,J92=0,L92="Sim",OR(M92="Respondido",M92="Prazo encerrado – sem resposta")),"SIM → revisão jurídica","Não"))</f>
        <v/>
      </c>
      <c r="O92" s="12">
        <f>IF(A92="","",IFERROR(INDEX(Custodia!$U$2:$U$301,MATCH(A92,Custodia!$A$2:$A$301,0)),"—"))</f>
        <v/>
      </c>
    </row>
    <row r="93">
      <c r="A93" s="13" t="n"/>
      <c r="B93" s="12">
        <f>IF(A93="","",IFERROR(INDEX(Custodia!$C$2:$C$301,MATCH(A93,Custodia!$A$2:$A$301,0)),"não custodiado"))</f>
        <v/>
      </c>
      <c r="C93" s="12">
        <f>IF(A93="","",IFERROR(INDEX(Custodia!$S$2:$S$301,MATCH(A93,Custodia!$A$2:$A$301,0)),"NÃO"))</f>
        <v/>
      </c>
      <c r="D93" s="12">
        <f>IF(A93="","",COUNTIFS(Log_Testes!$B$2:$B$301,A93,Log_Testes!$C$2:$C$301,"F4*"))</f>
        <v/>
      </c>
      <c r="E93" s="12">
        <f>IF(A93="","",COUNTIFS(Log_Testes!$B$2:$B$301,A93,Log_Testes!$C$2:$C$301,"F5*"))</f>
        <v/>
      </c>
      <c r="F93" s="12">
        <f>IF(A93="","",COUNTIFS(Log_Testes!$B$2:$B$301,A93,Log_Testes!$A$2:$A$301,"&lt;&gt;",Log_Testes!$M$2:$M$301,""))</f>
        <v/>
      </c>
      <c r="G93" s="12">
        <f>IF(A93="","",COUNTIFS(Log_Testes!$B$2:$B$301,A93,Log_Testes!$N$2:$N$301,"DIVERGE*"))</f>
        <v/>
      </c>
      <c r="H93" s="12">
        <f>IF(A93="","",COUNTIFS(Divergencias!$B$2:$B$301,A93,Divergencias!$Q$2:$Q$301,"Sim"))</f>
        <v/>
      </c>
      <c r="I93" s="12">
        <f>IF(A93="","",COUNTIFS(Divergencias!$B$2:$B$301,A93,Divergencias!$Q$2:$Q$301,"Sim",Divergencias!$M$2:$M$301,"Alta"))</f>
        <v/>
      </c>
      <c r="J93" s="12">
        <f>IF(A93="","",COUNTIFS(Red_Team!$B$2:$B$301,A93,Red_Team!$I$2:$I$301,"Aberta"))</f>
        <v/>
      </c>
      <c r="K93" s="12">
        <f>IF(A93="","",IFERROR(INDEX(Atas_Comite!$D$2:$D$301,MATCH(A93,Atas_Comite!$P$2:$P$301,0)),"sem ata"))</f>
        <v/>
      </c>
      <c r="L93" s="12">
        <f>IF(A93="","",IFERROR(INDEX(Atas_Comite!$O$2:$O$301,MATCH(A93,Atas_Comite!$P$2:$P$301,0)),"—"))</f>
        <v/>
      </c>
      <c r="M93" s="12">
        <f>IF(A93="","",IFERROR(INDEX(Contraditorio!$M$2:$M$301,MATCH(A93,Contraditorio!$N$2:$N$301,0)),"não enviado"))</f>
        <v/>
      </c>
      <c r="N93" s="12">
        <f>IF(A93="","",IF(AND(C93="Sim",OR(D93&gt;0,LEFT(O93,1)="C"),F93=0,G93=0,J93=0,L93="Sim",OR(M93="Respondido",M93="Prazo encerrado – sem resposta")),"SIM → revisão jurídica","Não"))</f>
        <v/>
      </c>
      <c r="O93" s="12">
        <f>IF(A93="","",IFERROR(INDEX(Custodia!$U$2:$U$301,MATCH(A93,Custodia!$A$2:$A$301,0)),"—"))</f>
        <v/>
      </c>
    </row>
    <row r="94">
      <c r="A94" s="13" t="n"/>
      <c r="B94" s="12">
        <f>IF(A94="","",IFERROR(INDEX(Custodia!$C$2:$C$301,MATCH(A94,Custodia!$A$2:$A$301,0)),"não custodiado"))</f>
        <v/>
      </c>
      <c r="C94" s="12">
        <f>IF(A94="","",IFERROR(INDEX(Custodia!$S$2:$S$301,MATCH(A94,Custodia!$A$2:$A$301,0)),"NÃO"))</f>
        <v/>
      </c>
      <c r="D94" s="12">
        <f>IF(A94="","",COUNTIFS(Log_Testes!$B$2:$B$301,A94,Log_Testes!$C$2:$C$301,"F4*"))</f>
        <v/>
      </c>
      <c r="E94" s="12">
        <f>IF(A94="","",COUNTIFS(Log_Testes!$B$2:$B$301,A94,Log_Testes!$C$2:$C$301,"F5*"))</f>
        <v/>
      </c>
      <c r="F94" s="12">
        <f>IF(A94="","",COUNTIFS(Log_Testes!$B$2:$B$301,A94,Log_Testes!$A$2:$A$301,"&lt;&gt;",Log_Testes!$M$2:$M$301,""))</f>
        <v/>
      </c>
      <c r="G94" s="12">
        <f>IF(A94="","",COUNTIFS(Log_Testes!$B$2:$B$301,A94,Log_Testes!$N$2:$N$301,"DIVERGE*"))</f>
        <v/>
      </c>
      <c r="H94" s="12">
        <f>IF(A94="","",COUNTIFS(Divergencias!$B$2:$B$301,A94,Divergencias!$Q$2:$Q$301,"Sim"))</f>
        <v/>
      </c>
      <c r="I94" s="12">
        <f>IF(A94="","",COUNTIFS(Divergencias!$B$2:$B$301,A94,Divergencias!$Q$2:$Q$301,"Sim",Divergencias!$M$2:$M$301,"Alta"))</f>
        <v/>
      </c>
      <c r="J94" s="12">
        <f>IF(A94="","",COUNTIFS(Red_Team!$B$2:$B$301,A94,Red_Team!$I$2:$I$301,"Aberta"))</f>
        <v/>
      </c>
      <c r="K94" s="12">
        <f>IF(A94="","",IFERROR(INDEX(Atas_Comite!$D$2:$D$301,MATCH(A94,Atas_Comite!$P$2:$P$301,0)),"sem ata"))</f>
        <v/>
      </c>
      <c r="L94" s="12">
        <f>IF(A94="","",IFERROR(INDEX(Atas_Comite!$O$2:$O$301,MATCH(A94,Atas_Comite!$P$2:$P$301,0)),"—"))</f>
        <v/>
      </c>
      <c r="M94" s="12">
        <f>IF(A94="","",IFERROR(INDEX(Contraditorio!$M$2:$M$301,MATCH(A94,Contraditorio!$N$2:$N$301,0)),"não enviado"))</f>
        <v/>
      </c>
      <c r="N94" s="12">
        <f>IF(A94="","",IF(AND(C94="Sim",OR(D94&gt;0,LEFT(O94,1)="C"),F94=0,G94=0,J94=0,L94="Sim",OR(M94="Respondido",M94="Prazo encerrado – sem resposta")),"SIM → revisão jurídica","Não"))</f>
        <v/>
      </c>
      <c r="O94" s="12">
        <f>IF(A94="","",IFERROR(INDEX(Custodia!$U$2:$U$301,MATCH(A94,Custodia!$A$2:$A$301,0)),"—"))</f>
        <v/>
      </c>
    </row>
    <row r="95">
      <c r="A95" s="13" t="n"/>
      <c r="B95" s="12">
        <f>IF(A95="","",IFERROR(INDEX(Custodia!$C$2:$C$301,MATCH(A95,Custodia!$A$2:$A$301,0)),"não custodiado"))</f>
        <v/>
      </c>
      <c r="C95" s="12">
        <f>IF(A95="","",IFERROR(INDEX(Custodia!$S$2:$S$301,MATCH(A95,Custodia!$A$2:$A$301,0)),"NÃO"))</f>
        <v/>
      </c>
      <c r="D95" s="12">
        <f>IF(A95="","",COUNTIFS(Log_Testes!$B$2:$B$301,A95,Log_Testes!$C$2:$C$301,"F4*"))</f>
        <v/>
      </c>
      <c r="E95" s="12">
        <f>IF(A95="","",COUNTIFS(Log_Testes!$B$2:$B$301,A95,Log_Testes!$C$2:$C$301,"F5*"))</f>
        <v/>
      </c>
      <c r="F95" s="12">
        <f>IF(A95="","",COUNTIFS(Log_Testes!$B$2:$B$301,A95,Log_Testes!$A$2:$A$301,"&lt;&gt;",Log_Testes!$M$2:$M$301,""))</f>
        <v/>
      </c>
      <c r="G95" s="12">
        <f>IF(A95="","",COUNTIFS(Log_Testes!$B$2:$B$301,A95,Log_Testes!$N$2:$N$301,"DIVERGE*"))</f>
        <v/>
      </c>
      <c r="H95" s="12">
        <f>IF(A95="","",COUNTIFS(Divergencias!$B$2:$B$301,A95,Divergencias!$Q$2:$Q$301,"Sim"))</f>
        <v/>
      </c>
      <c r="I95" s="12">
        <f>IF(A95="","",COUNTIFS(Divergencias!$B$2:$B$301,A95,Divergencias!$Q$2:$Q$301,"Sim",Divergencias!$M$2:$M$301,"Alta"))</f>
        <v/>
      </c>
      <c r="J95" s="12">
        <f>IF(A95="","",COUNTIFS(Red_Team!$B$2:$B$301,A95,Red_Team!$I$2:$I$301,"Aberta"))</f>
        <v/>
      </c>
      <c r="K95" s="12">
        <f>IF(A95="","",IFERROR(INDEX(Atas_Comite!$D$2:$D$301,MATCH(A95,Atas_Comite!$P$2:$P$301,0)),"sem ata"))</f>
        <v/>
      </c>
      <c r="L95" s="12">
        <f>IF(A95="","",IFERROR(INDEX(Atas_Comite!$O$2:$O$301,MATCH(A95,Atas_Comite!$P$2:$P$301,0)),"—"))</f>
        <v/>
      </c>
      <c r="M95" s="12">
        <f>IF(A95="","",IFERROR(INDEX(Contraditorio!$M$2:$M$301,MATCH(A95,Contraditorio!$N$2:$N$301,0)),"não enviado"))</f>
        <v/>
      </c>
      <c r="N95" s="12">
        <f>IF(A95="","",IF(AND(C95="Sim",OR(D95&gt;0,LEFT(O95,1)="C"),F95=0,G95=0,J95=0,L95="Sim",OR(M95="Respondido",M95="Prazo encerrado – sem resposta")),"SIM → revisão jurídica","Não"))</f>
        <v/>
      </c>
      <c r="O95" s="12">
        <f>IF(A95="","",IFERROR(INDEX(Custodia!$U$2:$U$301,MATCH(A95,Custodia!$A$2:$A$301,0)),"—"))</f>
        <v/>
      </c>
    </row>
    <row r="96">
      <c r="A96" s="13" t="n"/>
      <c r="B96" s="12">
        <f>IF(A96="","",IFERROR(INDEX(Custodia!$C$2:$C$301,MATCH(A96,Custodia!$A$2:$A$301,0)),"não custodiado"))</f>
        <v/>
      </c>
      <c r="C96" s="12">
        <f>IF(A96="","",IFERROR(INDEX(Custodia!$S$2:$S$301,MATCH(A96,Custodia!$A$2:$A$301,0)),"NÃO"))</f>
        <v/>
      </c>
      <c r="D96" s="12">
        <f>IF(A96="","",COUNTIFS(Log_Testes!$B$2:$B$301,A96,Log_Testes!$C$2:$C$301,"F4*"))</f>
        <v/>
      </c>
      <c r="E96" s="12">
        <f>IF(A96="","",COUNTIFS(Log_Testes!$B$2:$B$301,A96,Log_Testes!$C$2:$C$301,"F5*"))</f>
        <v/>
      </c>
      <c r="F96" s="12">
        <f>IF(A96="","",COUNTIFS(Log_Testes!$B$2:$B$301,A96,Log_Testes!$A$2:$A$301,"&lt;&gt;",Log_Testes!$M$2:$M$301,""))</f>
        <v/>
      </c>
      <c r="G96" s="12">
        <f>IF(A96="","",COUNTIFS(Log_Testes!$B$2:$B$301,A96,Log_Testes!$N$2:$N$301,"DIVERGE*"))</f>
        <v/>
      </c>
      <c r="H96" s="12">
        <f>IF(A96="","",COUNTIFS(Divergencias!$B$2:$B$301,A96,Divergencias!$Q$2:$Q$301,"Sim"))</f>
        <v/>
      </c>
      <c r="I96" s="12">
        <f>IF(A96="","",COUNTIFS(Divergencias!$B$2:$B$301,A96,Divergencias!$Q$2:$Q$301,"Sim",Divergencias!$M$2:$M$301,"Alta"))</f>
        <v/>
      </c>
      <c r="J96" s="12">
        <f>IF(A96="","",COUNTIFS(Red_Team!$B$2:$B$301,A96,Red_Team!$I$2:$I$301,"Aberta"))</f>
        <v/>
      </c>
      <c r="K96" s="12">
        <f>IF(A96="","",IFERROR(INDEX(Atas_Comite!$D$2:$D$301,MATCH(A96,Atas_Comite!$P$2:$P$301,0)),"sem ata"))</f>
        <v/>
      </c>
      <c r="L96" s="12">
        <f>IF(A96="","",IFERROR(INDEX(Atas_Comite!$O$2:$O$301,MATCH(A96,Atas_Comite!$P$2:$P$301,0)),"—"))</f>
        <v/>
      </c>
      <c r="M96" s="12">
        <f>IF(A96="","",IFERROR(INDEX(Contraditorio!$M$2:$M$301,MATCH(A96,Contraditorio!$N$2:$N$301,0)),"não enviado"))</f>
        <v/>
      </c>
      <c r="N96" s="12">
        <f>IF(A96="","",IF(AND(C96="Sim",OR(D96&gt;0,LEFT(O96,1)="C"),F96=0,G96=0,J96=0,L96="Sim",OR(M96="Respondido",M96="Prazo encerrado – sem resposta")),"SIM → revisão jurídica","Não"))</f>
        <v/>
      </c>
      <c r="O96" s="12">
        <f>IF(A96="","",IFERROR(INDEX(Custodia!$U$2:$U$301,MATCH(A96,Custodia!$A$2:$A$301,0)),"—"))</f>
        <v/>
      </c>
    </row>
    <row r="97">
      <c r="A97" s="13" t="n"/>
      <c r="B97" s="12">
        <f>IF(A97="","",IFERROR(INDEX(Custodia!$C$2:$C$301,MATCH(A97,Custodia!$A$2:$A$301,0)),"não custodiado"))</f>
        <v/>
      </c>
      <c r="C97" s="12">
        <f>IF(A97="","",IFERROR(INDEX(Custodia!$S$2:$S$301,MATCH(A97,Custodia!$A$2:$A$301,0)),"NÃO"))</f>
        <v/>
      </c>
      <c r="D97" s="12">
        <f>IF(A97="","",COUNTIFS(Log_Testes!$B$2:$B$301,A97,Log_Testes!$C$2:$C$301,"F4*"))</f>
        <v/>
      </c>
      <c r="E97" s="12">
        <f>IF(A97="","",COUNTIFS(Log_Testes!$B$2:$B$301,A97,Log_Testes!$C$2:$C$301,"F5*"))</f>
        <v/>
      </c>
      <c r="F97" s="12">
        <f>IF(A97="","",COUNTIFS(Log_Testes!$B$2:$B$301,A97,Log_Testes!$A$2:$A$301,"&lt;&gt;",Log_Testes!$M$2:$M$301,""))</f>
        <v/>
      </c>
      <c r="G97" s="12">
        <f>IF(A97="","",COUNTIFS(Log_Testes!$B$2:$B$301,A97,Log_Testes!$N$2:$N$301,"DIVERGE*"))</f>
        <v/>
      </c>
      <c r="H97" s="12">
        <f>IF(A97="","",COUNTIFS(Divergencias!$B$2:$B$301,A97,Divergencias!$Q$2:$Q$301,"Sim"))</f>
        <v/>
      </c>
      <c r="I97" s="12">
        <f>IF(A97="","",COUNTIFS(Divergencias!$B$2:$B$301,A97,Divergencias!$Q$2:$Q$301,"Sim",Divergencias!$M$2:$M$301,"Alta"))</f>
        <v/>
      </c>
      <c r="J97" s="12">
        <f>IF(A97="","",COUNTIFS(Red_Team!$B$2:$B$301,A97,Red_Team!$I$2:$I$301,"Aberta"))</f>
        <v/>
      </c>
      <c r="K97" s="12">
        <f>IF(A97="","",IFERROR(INDEX(Atas_Comite!$D$2:$D$301,MATCH(A97,Atas_Comite!$P$2:$P$301,0)),"sem ata"))</f>
        <v/>
      </c>
      <c r="L97" s="12">
        <f>IF(A97="","",IFERROR(INDEX(Atas_Comite!$O$2:$O$301,MATCH(A97,Atas_Comite!$P$2:$P$301,0)),"—"))</f>
        <v/>
      </c>
      <c r="M97" s="12">
        <f>IF(A97="","",IFERROR(INDEX(Contraditorio!$M$2:$M$301,MATCH(A97,Contraditorio!$N$2:$N$301,0)),"não enviado"))</f>
        <v/>
      </c>
      <c r="N97" s="12">
        <f>IF(A97="","",IF(AND(C97="Sim",OR(D97&gt;0,LEFT(O97,1)="C"),F97=0,G97=0,J97=0,L97="Sim",OR(M97="Respondido",M97="Prazo encerrado – sem resposta")),"SIM → revisão jurídica","Não"))</f>
        <v/>
      </c>
      <c r="O97" s="12">
        <f>IF(A97="","",IFERROR(INDEX(Custodia!$U$2:$U$301,MATCH(A97,Custodia!$A$2:$A$301,0)),"—"))</f>
        <v/>
      </c>
    </row>
    <row r="98">
      <c r="A98" s="13" t="n"/>
      <c r="B98" s="12">
        <f>IF(A98="","",IFERROR(INDEX(Custodia!$C$2:$C$301,MATCH(A98,Custodia!$A$2:$A$301,0)),"não custodiado"))</f>
        <v/>
      </c>
      <c r="C98" s="12">
        <f>IF(A98="","",IFERROR(INDEX(Custodia!$S$2:$S$301,MATCH(A98,Custodia!$A$2:$A$301,0)),"NÃO"))</f>
        <v/>
      </c>
      <c r="D98" s="12">
        <f>IF(A98="","",COUNTIFS(Log_Testes!$B$2:$B$301,A98,Log_Testes!$C$2:$C$301,"F4*"))</f>
        <v/>
      </c>
      <c r="E98" s="12">
        <f>IF(A98="","",COUNTIFS(Log_Testes!$B$2:$B$301,A98,Log_Testes!$C$2:$C$301,"F5*"))</f>
        <v/>
      </c>
      <c r="F98" s="12">
        <f>IF(A98="","",COUNTIFS(Log_Testes!$B$2:$B$301,A98,Log_Testes!$A$2:$A$301,"&lt;&gt;",Log_Testes!$M$2:$M$301,""))</f>
        <v/>
      </c>
      <c r="G98" s="12">
        <f>IF(A98="","",COUNTIFS(Log_Testes!$B$2:$B$301,A98,Log_Testes!$N$2:$N$301,"DIVERGE*"))</f>
        <v/>
      </c>
      <c r="H98" s="12">
        <f>IF(A98="","",COUNTIFS(Divergencias!$B$2:$B$301,A98,Divergencias!$Q$2:$Q$301,"Sim"))</f>
        <v/>
      </c>
      <c r="I98" s="12">
        <f>IF(A98="","",COUNTIFS(Divergencias!$B$2:$B$301,A98,Divergencias!$Q$2:$Q$301,"Sim",Divergencias!$M$2:$M$301,"Alta"))</f>
        <v/>
      </c>
      <c r="J98" s="12">
        <f>IF(A98="","",COUNTIFS(Red_Team!$B$2:$B$301,A98,Red_Team!$I$2:$I$301,"Aberta"))</f>
        <v/>
      </c>
      <c r="K98" s="12">
        <f>IF(A98="","",IFERROR(INDEX(Atas_Comite!$D$2:$D$301,MATCH(A98,Atas_Comite!$P$2:$P$301,0)),"sem ata"))</f>
        <v/>
      </c>
      <c r="L98" s="12">
        <f>IF(A98="","",IFERROR(INDEX(Atas_Comite!$O$2:$O$301,MATCH(A98,Atas_Comite!$P$2:$P$301,0)),"—"))</f>
        <v/>
      </c>
      <c r="M98" s="12">
        <f>IF(A98="","",IFERROR(INDEX(Contraditorio!$M$2:$M$301,MATCH(A98,Contraditorio!$N$2:$N$301,0)),"não enviado"))</f>
        <v/>
      </c>
      <c r="N98" s="12">
        <f>IF(A98="","",IF(AND(C98="Sim",OR(D98&gt;0,LEFT(O98,1)="C"),F98=0,G98=0,J98=0,L98="Sim",OR(M98="Respondido",M98="Prazo encerrado – sem resposta")),"SIM → revisão jurídica","Não"))</f>
        <v/>
      </c>
      <c r="O98" s="12">
        <f>IF(A98="","",IFERROR(INDEX(Custodia!$U$2:$U$301,MATCH(A98,Custodia!$A$2:$A$301,0)),"—"))</f>
        <v/>
      </c>
    </row>
    <row r="99">
      <c r="A99" s="13" t="n"/>
      <c r="B99" s="12">
        <f>IF(A99="","",IFERROR(INDEX(Custodia!$C$2:$C$301,MATCH(A99,Custodia!$A$2:$A$301,0)),"não custodiado"))</f>
        <v/>
      </c>
      <c r="C99" s="12">
        <f>IF(A99="","",IFERROR(INDEX(Custodia!$S$2:$S$301,MATCH(A99,Custodia!$A$2:$A$301,0)),"NÃO"))</f>
        <v/>
      </c>
      <c r="D99" s="12">
        <f>IF(A99="","",COUNTIFS(Log_Testes!$B$2:$B$301,A99,Log_Testes!$C$2:$C$301,"F4*"))</f>
        <v/>
      </c>
      <c r="E99" s="12">
        <f>IF(A99="","",COUNTIFS(Log_Testes!$B$2:$B$301,A99,Log_Testes!$C$2:$C$301,"F5*"))</f>
        <v/>
      </c>
      <c r="F99" s="12">
        <f>IF(A99="","",COUNTIFS(Log_Testes!$B$2:$B$301,A99,Log_Testes!$A$2:$A$301,"&lt;&gt;",Log_Testes!$M$2:$M$301,""))</f>
        <v/>
      </c>
      <c r="G99" s="12">
        <f>IF(A99="","",COUNTIFS(Log_Testes!$B$2:$B$301,A99,Log_Testes!$N$2:$N$301,"DIVERGE*"))</f>
        <v/>
      </c>
      <c r="H99" s="12">
        <f>IF(A99="","",COUNTIFS(Divergencias!$B$2:$B$301,A99,Divergencias!$Q$2:$Q$301,"Sim"))</f>
        <v/>
      </c>
      <c r="I99" s="12">
        <f>IF(A99="","",COUNTIFS(Divergencias!$B$2:$B$301,A99,Divergencias!$Q$2:$Q$301,"Sim",Divergencias!$M$2:$M$301,"Alta"))</f>
        <v/>
      </c>
      <c r="J99" s="12">
        <f>IF(A99="","",COUNTIFS(Red_Team!$B$2:$B$301,A99,Red_Team!$I$2:$I$301,"Aberta"))</f>
        <v/>
      </c>
      <c r="K99" s="12">
        <f>IF(A99="","",IFERROR(INDEX(Atas_Comite!$D$2:$D$301,MATCH(A99,Atas_Comite!$P$2:$P$301,0)),"sem ata"))</f>
        <v/>
      </c>
      <c r="L99" s="12">
        <f>IF(A99="","",IFERROR(INDEX(Atas_Comite!$O$2:$O$301,MATCH(A99,Atas_Comite!$P$2:$P$301,0)),"—"))</f>
        <v/>
      </c>
      <c r="M99" s="12">
        <f>IF(A99="","",IFERROR(INDEX(Contraditorio!$M$2:$M$301,MATCH(A99,Contraditorio!$N$2:$N$301,0)),"não enviado"))</f>
        <v/>
      </c>
      <c r="N99" s="12">
        <f>IF(A99="","",IF(AND(C99="Sim",OR(D99&gt;0,LEFT(O99,1)="C"),F99=0,G99=0,J99=0,L99="Sim",OR(M99="Respondido",M99="Prazo encerrado – sem resposta")),"SIM → revisão jurídica","Não"))</f>
        <v/>
      </c>
      <c r="O99" s="12">
        <f>IF(A99="","",IFERROR(INDEX(Custodia!$U$2:$U$301,MATCH(A99,Custodia!$A$2:$A$301,0)),"—"))</f>
        <v/>
      </c>
    </row>
    <row r="100">
      <c r="A100" s="13" t="n"/>
      <c r="B100" s="12">
        <f>IF(A100="","",IFERROR(INDEX(Custodia!$C$2:$C$301,MATCH(A100,Custodia!$A$2:$A$301,0)),"não custodiado"))</f>
        <v/>
      </c>
      <c r="C100" s="12">
        <f>IF(A100="","",IFERROR(INDEX(Custodia!$S$2:$S$301,MATCH(A100,Custodia!$A$2:$A$301,0)),"NÃO"))</f>
        <v/>
      </c>
      <c r="D100" s="12">
        <f>IF(A100="","",COUNTIFS(Log_Testes!$B$2:$B$301,A100,Log_Testes!$C$2:$C$301,"F4*"))</f>
        <v/>
      </c>
      <c r="E100" s="12">
        <f>IF(A100="","",COUNTIFS(Log_Testes!$B$2:$B$301,A100,Log_Testes!$C$2:$C$301,"F5*"))</f>
        <v/>
      </c>
      <c r="F100" s="12">
        <f>IF(A100="","",COUNTIFS(Log_Testes!$B$2:$B$301,A100,Log_Testes!$A$2:$A$301,"&lt;&gt;",Log_Testes!$M$2:$M$301,""))</f>
        <v/>
      </c>
      <c r="G100" s="12">
        <f>IF(A100="","",COUNTIFS(Log_Testes!$B$2:$B$301,A100,Log_Testes!$N$2:$N$301,"DIVERGE*"))</f>
        <v/>
      </c>
      <c r="H100" s="12">
        <f>IF(A100="","",COUNTIFS(Divergencias!$B$2:$B$301,A100,Divergencias!$Q$2:$Q$301,"Sim"))</f>
        <v/>
      </c>
      <c r="I100" s="12">
        <f>IF(A100="","",COUNTIFS(Divergencias!$B$2:$B$301,A100,Divergencias!$Q$2:$Q$301,"Sim",Divergencias!$M$2:$M$301,"Alta"))</f>
        <v/>
      </c>
      <c r="J100" s="12">
        <f>IF(A100="","",COUNTIFS(Red_Team!$B$2:$B$301,A100,Red_Team!$I$2:$I$301,"Aberta"))</f>
        <v/>
      </c>
      <c r="K100" s="12">
        <f>IF(A100="","",IFERROR(INDEX(Atas_Comite!$D$2:$D$301,MATCH(A100,Atas_Comite!$P$2:$P$301,0)),"sem ata"))</f>
        <v/>
      </c>
      <c r="L100" s="12">
        <f>IF(A100="","",IFERROR(INDEX(Atas_Comite!$O$2:$O$301,MATCH(A100,Atas_Comite!$P$2:$P$301,0)),"—"))</f>
        <v/>
      </c>
      <c r="M100" s="12">
        <f>IF(A100="","",IFERROR(INDEX(Contraditorio!$M$2:$M$301,MATCH(A100,Contraditorio!$N$2:$N$301,0)),"não enviado"))</f>
        <v/>
      </c>
      <c r="N100" s="12">
        <f>IF(A100="","",IF(AND(C100="Sim",OR(D100&gt;0,LEFT(O100,1)="C"),F100=0,G100=0,J100=0,L100="Sim",OR(M100="Respondido",M100="Prazo encerrado – sem resposta")),"SIM → revisão jurídica","Não"))</f>
        <v/>
      </c>
      <c r="O100" s="12">
        <f>IF(A100="","",IFERROR(INDEX(Custodia!$U$2:$U$301,MATCH(A100,Custodia!$A$2:$A$301,0)),"—"))</f>
        <v/>
      </c>
    </row>
    <row r="101">
      <c r="A101" s="13" t="n"/>
      <c r="B101" s="12">
        <f>IF(A101="","",IFERROR(INDEX(Custodia!$C$2:$C$301,MATCH(A101,Custodia!$A$2:$A$301,0)),"não custodiado"))</f>
        <v/>
      </c>
      <c r="C101" s="12">
        <f>IF(A101="","",IFERROR(INDEX(Custodia!$S$2:$S$301,MATCH(A101,Custodia!$A$2:$A$301,0)),"NÃO"))</f>
        <v/>
      </c>
      <c r="D101" s="12">
        <f>IF(A101="","",COUNTIFS(Log_Testes!$B$2:$B$301,A101,Log_Testes!$C$2:$C$301,"F4*"))</f>
        <v/>
      </c>
      <c r="E101" s="12">
        <f>IF(A101="","",COUNTIFS(Log_Testes!$B$2:$B$301,A101,Log_Testes!$C$2:$C$301,"F5*"))</f>
        <v/>
      </c>
      <c r="F101" s="12">
        <f>IF(A101="","",COUNTIFS(Log_Testes!$B$2:$B$301,A101,Log_Testes!$A$2:$A$301,"&lt;&gt;",Log_Testes!$M$2:$M$301,""))</f>
        <v/>
      </c>
      <c r="G101" s="12">
        <f>IF(A101="","",COUNTIFS(Log_Testes!$B$2:$B$301,A101,Log_Testes!$N$2:$N$301,"DIVERGE*"))</f>
        <v/>
      </c>
      <c r="H101" s="12">
        <f>IF(A101="","",COUNTIFS(Divergencias!$B$2:$B$301,A101,Divergencias!$Q$2:$Q$301,"Sim"))</f>
        <v/>
      </c>
      <c r="I101" s="12">
        <f>IF(A101="","",COUNTIFS(Divergencias!$B$2:$B$301,A101,Divergencias!$Q$2:$Q$301,"Sim",Divergencias!$M$2:$M$301,"Alta"))</f>
        <v/>
      </c>
      <c r="J101" s="12">
        <f>IF(A101="","",COUNTIFS(Red_Team!$B$2:$B$301,A101,Red_Team!$I$2:$I$301,"Aberta"))</f>
        <v/>
      </c>
      <c r="K101" s="12">
        <f>IF(A101="","",IFERROR(INDEX(Atas_Comite!$D$2:$D$301,MATCH(A101,Atas_Comite!$P$2:$P$301,0)),"sem ata"))</f>
        <v/>
      </c>
      <c r="L101" s="12">
        <f>IF(A101="","",IFERROR(INDEX(Atas_Comite!$O$2:$O$301,MATCH(A101,Atas_Comite!$P$2:$P$301,0)),"—"))</f>
        <v/>
      </c>
      <c r="M101" s="12">
        <f>IF(A101="","",IFERROR(INDEX(Contraditorio!$M$2:$M$301,MATCH(A101,Contraditorio!$N$2:$N$301,0)),"não enviado"))</f>
        <v/>
      </c>
      <c r="N101" s="12">
        <f>IF(A101="","",IF(AND(C101="Sim",OR(D101&gt;0,LEFT(O101,1)="C"),F101=0,G101=0,J101=0,L101="Sim",OR(M101="Respondido",M101="Prazo encerrado – sem resposta")),"SIM → revisão jurídica","Não"))</f>
        <v/>
      </c>
      <c r="O101" s="12">
        <f>IF(A101="","",IFERROR(INDEX(Custodia!$U$2:$U$301,MATCH(A101,Custodia!$A$2:$A$301,0)),"—"))</f>
        <v/>
      </c>
    </row>
    <row r="102">
      <c r="A102" s="13" t="n"/>
      <c r="B102" s="12">
        <f>IF(A102="","",IFERROR(INDEX(Custodia!$C$2:$C$301,MATCH(A102,Custodia!$A$2:$A$301,0)),"não custodiado"))</f>
        <v/>
      </c>
      <c r="C102" s="12">
        <f>IF(A102="","",IFERROR(INDEX(Custodia!$S$2:$S$301,MATCH(A102,Custodia!$A$2:$A$301,0)),"NÃO"))</f>
        <v/>
      </c>
      <c r="D102" s="12">
        <f>IF(A102="","",COUNTIFS(Log_Testes!$B$2:$B$301,A102,Log_Testes!$C$2:$C$301,"F4*"))</f>
        <v/>
      </c>
      <c r="E102" s="12">
        <f>IF(A102="","",COUNTIFS(Log_Testes!$B$2:$B$301,A102,Log_Testes!$C$2:$C$301,"F5*"))</f>
        <v/>
      </c>
      <c r="F102" s="12">
        <f>IF(A102="","",COUNTIFS(Log_Testes!$B$2:$B$301,A102,Log_Testes!$A$2:$A$301,"&lt;&gt;",Log_Testes!$M$2:$M$301,""))</f>
        <v/>
      </c>
      <c r="G102" s="12">
        <f>IF(A102="","",COUNTIFS(Log_Testes!$B$2:$B$301,A102,Log_Testes!$N$2:$N$301,"DIVERGE*"))</f>
        <v/>
      </c>
      <c r="H102" s="12">
        <f>IF(A102="","",COUNTIFS(Divergencias!$B$2:$B$301,A102,Divergencias!$Q$2:$Q$301,"Sim"))</f>
        <v/>
      </c>
      <c r="I102" s="12">
        <f>IF(A102="","",COUNTIFS(Divergencias!$B$2:$B$301,A102,Divergencias!$Q$2:$Q$301,"Sim",Divergencias!$M$2:$M$301,"Alta"))</f>
        <v/>
      </c>
      <c r="J102" s="12">
        <f>IF(A102="","",COUNTIFS(Red_Team!$B$2:$B$301,A102,Red_Team!$I$2:$I$301,"Aberta"))</f>
        <v/>
      </c>
      <c r="K102" s="12">
        <f>IF(A102="","",IFERROR(INDEX(Atas_Comite!$D$2:$D$301,MATCH(A102,Atas_Comite!$P$2:$P$301,0)),"sem ata"))</f>
        <v/>
      </c>
      <c r="L102" s="12">
        <f>IF(A102="","",IFERROR(INDEX(Atas_Comite!$O$2:$O$301,MATCH(A102,Atas_Comite!$P$2:$P$301,0)),"—"))</f>
        <v/>
      </c>
      <c r="M102" s="12">
        <f>IF(A102="","",IFERROR(INDEX(Contraditorio!$M$2:$M$301,MATCH(A102,Contraditorio!$N$2:$N$301,0)),"não enviado"))</f>
        <v/>
      </c>
      <c r="N102" s="12">
        <f>IF(A102="","",IF(AND(C102="Sim",OR(D102&gt;0,LEFT(O102,1)="C"),F102=0,G102=0,J102=0,L102="Sim",OR(M102="Respondido",M102="Prazo encerrado – sem resposta")),"SIM → revisão jurídica","Não"))</f>
        <v/>
      </c>
      <c r="O102" s="12">
        <f>IF(A102="","",IFERROR(INDEX(Custodia!$U$2:$U$301,MATCH(A102,Custodia!$A$2:$A$301,0)),"—"))</f>
        <v/>
      </c>
    </row>
    <row r="103">
      <c r="A103" s="13" t="n"/>
      <c r="B103" s="12">
        <f>IF(A103="","",IFERROR(INDEX(Custodia!$C$2:$C$301,MATCH(A103,Custodia!$A$2:$A$301,0)),"não custodiado"))</f>
        <v/>
      </c>
      <c r="C103" s="12">
        <f>IF(A103="","",IFERROR(INDEX(Custodia!$S$2:$S$301,MATCH(A103,Custodia!$A$2:$A$301,0)),"NÃO"))</f>
        <v/>
      </c>
      <c r="D103" s="12">
        <f>IF(A103="","",COUNTIFS(Log_Testes!$B$2:$B$301,A103,Log_Testes!$C$2:$C$301,"F4*"))</f>
        <v/>
      </c>
      <c r="E103" s="12">
        <f>IF(A103="","",COUNTIFS(Log_Testes!$B$2:$B$301,A103,Log_Testes!$C$2:$C$301,"F5*"))</f>
        <v/>
      </c>
      <c r="F103" s="12">
        <f>IF(A103="","",COUNTIFS(Log_Testes!$B$2:$B$301,A103,Log_Testes!$A$2:$A$301,"&lt;&gt;",Log_Testes!$M$2:$M$301,""))</f>
        <v/>
      </c>
      <c r="G103" s="12">
        <f>IF(A103="","",COUNTIFS(Log_Testes!$B$2:$B$301,A103,Log_Testes!$N$2:$N$301,"DIVERGE*"))</f>
        <v/>
      </c>
      <c r="H103" s="12">
        <f>IF(A103="","",COUNTIFS(Divergencias!$B$2:$B$301,A103,Divergencias!$Q$2:$Q$301,"Sim"))</f>
        <v/>
      </c>
      <c r="I103" s="12">
        <f>IF(A103="","",COUNTIFS(Divergencias!$B$2:$B$301,A103,Divergencias!$Q$2:$Q$301,"Sim",Divergencias!$M$2:$M$301,"Alta"))</f>
        <v/>
      </c>
      <c r="J103" s="12">
        <f>IF(A103="","",COUNTIFS(Red_Team!$B$2:$B$301,A103,Red_Team!$I$2:$I$301,"Aberta"))</f>
        <v/>
      </c>
      <c r="K103" s="12">
        <f>IF(A103="","",IFERROR(INDEX(Atas_Comite!$D$2:$D$301,MATCH(A103,Atas_Comite!$P$2:$P$301,0)),"sem ata"))</f>
        <v/>
      </c>
      <c r="L103" s="12">
        <f>IF(A103="","",IFERROR(INDEX(Atas_Comite!$O$2:$O$301,MATCH(A103,Atas_Comite!$P$2:$P$301,0)),"—"))</f>
        <v/>
      </c>
      <c r="M103" s="12">
        <f>IF(A103="","",IFERROR(INDEX(Contraditorio!$M$2:$M$301,MATCH(A103,Contraditorio!$N$2:$N$301,0)),"não enviado"))</f>
        <v/>
      </c>
      <c r="N103" s="12">
        <f>IF(A103="","",IF(AND(C103="Sim",OR(D103&gt;0,LEFT(O103,1)="C"),F103=0,G103=0,J103=0,L103="Sim",OR(M103="Respondido",M103="Prazo encerrado – sem resposta")),"SIM → revisão jurídica","Não"))</f>
        <v/>
      </c>
      <c r="O103" s="12">
        <f>IF(A103="","",IFERROR(INDEX(Custodia!$U$2:$U$301,MATCH(A103,Custodia!$A$2:$A$301,0)),"—"))</f>
        <v/>
      </c>
    </row>
  </sheetData>
  <conditionalFormatting sqref="N4:N103">
    <cfRule type="expression" priority="1" dxfId="0">
      <formula>LEFT(N4,3)="SIM"</formula>
    </cfRule>
  </conditionalFormatting>
  <conditionalFormatting sqref="C4:C103">
    <cfRule type="expression" priority="2" dxfId="0">
      <formula>C4="Sim"</formula>
    </cfRule>
    <cfRule type="expression" priority="3" dxfId="1">
      <formula>OR(C4="NÃO",C4="Pendente")</formula>
    </cfRule>
  </conditionalFormatting>
  <conditionalFormatting sqref="F4:F103">
    <cfRule type="expression" priority="4" dxfId="1">
      <formula>AND(ISNUMBER(F4),F4&gt;0)</formula>
    </cfRule>
  </conditionalFormatting>
  <conditionalFormatting sqref="G4:G103">
    <cfRule type="expression" priority="5" dxfId="1">
      <formula>AND(ISNUMBER(G4),G4&gt;0)</formula>
    </cfRule>
  </conditionalFormatting>
  <conditionalFormatting sqref="I4:I103">
    <cfRule type="expression" priority="6" dxfId="1">
      <formula>AND(ISNUMBER(I4),I4&gt;0)</formula>
    </cfRule>
  </conditionalFormatting>
  <conditionalFormatting sqref="J4:J103">
    <cfRule type="expression" priority="7" dxfId="1">
      <formula>AND(ISNUMBER(J4),J4&gt;0)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16" customWidth="1" min="4" max="4"/>
    <col width="30" customWidth="1" min="5" max="5"/>
    <col width="14" customWidth="1" min="6" max="6"/>
    <col width="16" customWidth="1" min="7" max="7"/>
    <col width="16" customWidth="1" min="8" max="8"/>
    <col width="12" customWidth="1" min="9" max="9"/>
    <col width="30" customWidth="1" min="10" max="10"/>
  </cols>
  <sheetData>
    <row r="1" ht="36" customHeight="1">
      <c r="A1" s="10" t="inlineStr">
        <is>
          <t>Codinome</t>
        </is>
      </c>
      <c r="B1" s="10" t="inlineStr">
        <is>
          <t>Célula</t>
        </is>
      </c>
      <c r="C1" s="10" t="inlineStr">
        <is>
          <t>Papel</t>
        </is>
      </c>
      <c r="D1" s="10" t="inlineStr">
        <is>
          <t>Conflito de interesse declarado?</t>
        </is>
      </c>
      <c r="E1" s="10" t="inlineStr">
        <is>
          <t>Descrição do conflito</t>
        </is>
      </c>
      <c r="F1" s="10" t="inlineStr">
        <is>
          <t>Pode decidir veredito?</t>
        </is>
      </c>
      <c r="G1" s="10" t="inlineStr">
        <is>
          <t>Acesso concedido em</t>
        </is>
      </c>
      <c r="H1" s="10" t="inlineStr">
        <is>
          <t>Acesso revogado em</t>
        </is>
      </c>
      <c r="I1" s="10" t="inlineStr">
        <is>
          <t>Acesso ativo?</t>
        </is>
      </c>
      <c r="J1" s="10" t="inlineStr">
        <is>
          <t>Observações</t>
        </is>
      </c>
    </row>
    <row r="2">
      <c r="A2" s="14" t="inlineStr">
        <is>
          <t>M01 (EXEMPLO – substituir)</t>
        </is>
      </c>
      <c r="B2" s="14" t="inlineStr">
        <is>
          <t>Perícia técnica</t>
        </is>
      </c>
      <c r="C2" s="14" t="inlineStr">
        <is>
          <t>Analista técnico</t>
        </is>
      </c>
      <c r="D2" s="14" t="inlineStr">
        <is>
          <t>Não</t>
        </is>
      </c>
      <c r="E2" s="15" t="n"/>
      <c r="F2" s="16">
        <f>IF(A2="","",IF(D2="Sim","Não – conflito",IF(B2="Comitê de Método","Sim","Não – fora do Comitê")))</f>
        <v/>
      </c>
      <c r="G2" s="17" t="n">
        <v>46317</v>
      </c>
      <c r="H2" s="18" t="n"/>
      <c r="I2" s="16">
        <f>IF(A2="","",IF(H2="","Sim","Não"))</f>
        <v/>
      </c>
      <c r="J2" s="15" t="n"/>
    </row>
    <row r="3">
      <c r="A3" s="15" t="n"/>
      <c r="B3" s="15" t="n"/>
      <c r="C3" s="15" t="n"/>
      <c r="D3" s="15" t="n"/>
      <c r="E3" s="15" t="n"/>
      <c r="F3" s="16">
        <f>IF(A3="","",IF(D3="Sim","Não – conflito",IF(B3="Comitê de Método","Sim","Não – fora do Comitê")))</f>
        <v/>
      </c>
      <c r="G3" s="18" t="n"/>
      <c r="H3" s="18" t="n"/>
      <c r="I3" s="16">
        <f>IF(A3="","",IF(H3="","Sim","Não"))</f>
        <v/>
      </c>
      <c r="J3" s="15" t="n"/>
    </row>
    <row r="4">
      <c r="A4" s="15" t="n"/>
      <c r="B4" s="15" t="n"/>
      <c r="C4" s="15" t="n"/>
      <c r="D4" s="15" t="n"/>
      <c r="E4" s="15" t="n"/>
      <c r="F4" s="16">
        <f>IF(A4="","",IF(D4="Sim","Não – conflito",IF(B4="Comitê de Método","Sim","Não – fora do Comitê")))</f>
        <v/>
      </c>
      <c r="G4" s="18" t="n"/>
      <c r="H4" s="18" t="n"/>
      <c r="I4" s="16">
        <f>IF(A4="","",IF(H4="","Sim","Não"))</f>
        <v/>
      </c>
      <c r="J4" s="15" t="n"/>
    </row>
    <row r="5">
      <c r="A5" s="15" t="n"/>
      <c r="B5" s="15" t="n"/>
      <c r="C5" s="15" t="n"/>
      <c r="D5" s="15" t="n"/>
      <c r="E5" s="15" t="n"/>
      <c r="F5" s="16">
        <f>IF(A5="","",IF(D5="Sim","Não – conflito",IF(B5="Comitê de Método","Sim","Não – fora do Comitê")))</f>
        <v/>
      </c>
      <c r="G5" s="18" t="n"/>
      <c r="H5" s="18" t="n"/>
      <c r="I5" s="16">
        <f>IF(A5="","",IF(H5="","Sim","Não"))</f>
        <v/>
      </c>
      <c r="J5" s="15" t="n"/>
    </row>
    <row r="6">
      <c r="A6" s="15" t="n"/>
      <c r="B6" s="15" t="n"/>
      <c r="C6" s="15" t="n"/>
      <c r="D6" s="15" t="n"/>
      <c r="E6" s="15" t="n"/>
      <c r="F6" s="16">
        <f>IF(A6="","",IF(D6="Sim","Não – conflito",IF(B6="Comitê de Método","Sim","Não – fora do Comitê")))</f>
        <v/>
      </c>
      <c r="G6" s="18" t="n"/>
      <c r="H6" s="18" t="n"/>
      <c r="I6" s="16">
        <f>IF(A6="","",IF(H6="","Sim","Não"))</f>
        <v/>
      </c>
      <c r="J6" s="15" t="n"/>
    </row>
    <row r="7">
      <c r="A7" s="15" t="n"/>
      <c r="B7" s="15" t="n"/>
      <c r="C7" s="15" t="n"/>
      <c r="D7" s="15" t="n"/>
      <c r="E7" s="15" t="n"/>
      <c r="F7" s="16">
        <f>IF(A7="","",IF(D7="Sim","Não – conflito",IF(B7="Comitê de Método","Sim","Não – fora do Comitê")))</f>
        <v/>
      </c>
      <c r="G7" s="18" t="n"/>
      <c r="H7" s="18" t="n"/>
      <c r="I7" s="16">
        <f>IF(A7="","",IF(H7="","Sim","Não"))</f>
        <v/>
      </c>
      <c r="J7" s="15" t="n"/>
    </row>
    <row r="8">
      <c r="A8" s="15" t="n"/>
      <c r="B8" s="15" t="n"/>
      <c r="C8" s="15" t="n"/>
      <c r="D8" s="15" t="n"/>
      <c r="E8" s="15" t="n"/>
      <c r="F8" s="16">
        <f>IF(A8="","",IF(D8="Sim","Não – conflito",IF(B8="Comitê de Método","Sim","Não – fora do Comitê")))</f>
        <v/>
      </c>
      <c r="G8" s="18" t="n"/>
      <c r="H8" s="18" t="n"/>
      <c r="I8" s="16">
        <f>IF(A8="","",IF(H8="","Sim","Não"))</f>
        <v/>
      </c>
      <c r="J8" s="15" t="n"/>
    </row>
    <row r="9">
      <c r="A9" s="15" t="n"/>
      <c r="B9" s="15" t="n"/>
      <c r="C9" s="15" t="n"/>
      <c r="D9" s="15" t="n"/>
      <c r="E9" s="15" t="n"/>
      <c r="F9" s="16">
        <f>IF(A9="","",IF(D9="Sim","Não – conflito",IF(B9="Comitê de Método","Sim","Não – fora do Comitê")))</f>
        <v/>
      </c>
      <c r="G9" s="18" t="n"/>
      <c r="H9" s="18" t="n"/>
      <c r="I9" s="16">
        <f>IF(A9="","",IF(H9="","Sim","Não"))</f>
        <v/>
      </c>
      <c r="J9" s="15" t="n"/>
    </row>
    <row r="10">
      <c r="A10" s="15" t="n"/>
      <c r="B10" s="15" t="n"/>
      <c r="C10" s="15" t="n"/>
      <c r="D10" s="15" t="n"/>
      <c r="E10" s="15" t="n"/>
      <c r="F10" s="16">
        <f>IF(A10="","",IF(D10="Sim","Não – conflito",IF(B10="Comitê de Método","Sim","Não – fora do Comitê")))</f>
        <v/>
      </c>
      <c r="G10" s="18" t="n"/>
      <c r="H10" s="18" t="n"/>
      <c r="I10" s="16">
        <f>IF(A10="","",IF(H10="","Sim","Não"))</f>
        <v/>
      </c>
      <c r="J10" s="15" t="n"/>
    </row>
    <row r="11">
      <c r="A11" s="15" t="n"/>
      <c r="B11" s="15" t="n"/>
      <c r="C11" s="15" t="n"/>
      <c r="D11" s="15" t="n"/>
      <c r="E11" s="15" t="n"/>
      <c r="F11" s="16">
        <f>IF(A11="","",IF(D11="Sim","Não – conflito",IF(B11="Comitê de Método","Sim","Não – fora do Comitê")))</f>
        <v/>
      </c>
      <c r="G11" s="18" t="n"/>
      <c r="H11" s="18" t="n"/>
      <c r="I11" s="16">
        <f>IF(A11="","",IF(H11="","Sim","Não"))</f>
        <v/>
      </c>
      <c r="J11" s="15" t="n"/>
    </row>
    <row r="12">
      <c r="A12" s="15" t="n"/>
      <c r="B12" s="15" t="n"/>
      <c r="C12" s="15" t="n"/>
      <c r="D12" s="15" t="n"/>
      <c r="E12" s="15" t="n"/>
      <c r="F12" s="16">
        <f>IF(A12="","",IF(D12="Sim","Não – conflito",IF(B12="Comitê de Método","Sim","Não – fora do Comitê")))</f>
        <v/>
      </c>
      <c r="G12" s="18" t="n"/>
      <c r="H12" s="18" t="n"/>
      <c r="I12" s="16">
        <f>IF(A12="","",IF(H12="","Sim","Não"))</f>
        <v/>
      </c>
      <c r="J12" s="15" t="n"/>
    </row>
    <row r="13">
      <c r="A13" s="15" t="n"/>
      <c r="B13" s="15" t="n"/>
      <c r="C13" s="15" t="n"/>
      <c r="D13" s="15" t="n"/>
      <c r="E13" s="15" t="n"/>
      <c r="F13" s="16">
        <f>IF(A13="","",IF(D13="Sim","Não – conflito",IF(B13="Comitê de Método","Sim","Não – fora do Comitê")))</f>
        <v/>
      </c>
      <c r="G13" s="18" t="n"/>
      <c r="H13" s="18" t="n"/>
      <c r="I13" s="16">
        <f>IF(A13="","",IF(H13="","Sim","Não"))</f>
        <v/>
      </c>
      <c r="J13" s="15" t="n"/>
    </row>
    <row r="14">
      <c r="A14" s="15" t="n"/>
      <c r="B14" s="15" t="n"/>
      <c r="C14" s="15" t="n"/>
      <c r="D14" s="15" t="n"/>
      <c r="E14" s="15" t="n"/>
      <c r="F14" s="16">
        <f>IF(A14="","",IF(D14="Sim","Não – conflito",IF(B14="Comitê de Método","Sim","Não – fora do Comitê")))</f>
        <v/>
      </c>
      <c r="G14" s="18" t="n"/>
      <c r="H14" s="18" t="n"/>
      <c r="I14" s="16">
        <f>IF(A14="","",IF(H14="","Sim","Não"))</f>
        <v/>
      </c>
      <c r="J14" s="15" t="n"/>
    </row>
    <row r="15">
      <c r="A15" s="15" t="n"/>
      <c r="B15" s="15" t="n"/>
      <c r="C15" s="15" t="n"/>
      <c r="D15" s="15" t="n"/>
      <c r="E15" s="15" t="n"/>
      <c r="F15" s="16">
        <f>IF(A15="","",IF(D15="Sim","Não – conflito",IF(B15="Comitê de Método","Sim","Não – fora do Comitê")))</f>
        <v/>
      </c>
      <c r="G15" s="18" t="n"/>
      <c r="H15" s="18" t="n"/>
      <c r="I15" s="16">
        <f>IF(A15="","",IF(H15="","Sim","Não"))</f>
        <v/>
      </c>
      <c r="J15" s="15" t="n"/>
    </row>
    <row r="16">
      <c r="A16" s="15" t="n"/>
      <c r="B16" s="15" t="n"/>
      <c r="C16" s="15" t="n"/>
      <c r="D16" s="15" t="n"/>
      <c r="E16" s="15" t="n"/>
      <c r="F16" s="16">
        <f>IF(A16="","",IF(D16="Sim","Não – conflito",IF(B16="Comitê de Método","Sim","Não – fora do Comitê")))</f>
        <v/>
      </c>
      <c r="G16" s="18" t="n"/>
      <c r="H16" s="18" t="n"/>
      <c r="I16" s="16">
        <f>IF(A16="","",IF(H16="","Sim","Não"))</f>
        <v/>
      </c>
      <c r="J16" s="15" t="n"/>
    </row>
    <row r="17">
      <c r="A17" s="15" t="n"/>
      <c r="B17" s="15" t="n"/>
      <c r="C17" s="15" t="n"/>
      <c r="D17" s="15" t="n"/>
      <c r="E17" s="15" t="n"/>
      <c r="F17" s="16">
        <f>IF(A17="","",IF(D17="Sim","Não – conflito",IF(B17="Comitê de Método","Sim","Não – fora do Comitê")))</f>
        <v/>
      </c>
      <c r="G17" s="18" t="n"/>
      <c r="H17" s="18" t="n"/>
      <c r="I17" s="16">
        <f>IF(A17="","",IF(H17="","Sim","Não"))</f>
        <v/>
      </c>
      <c r="J17" s="15" t="n"/>
    </row>
    <row r="18">
      <c r="A18" s="15" t="n"/>
      <c r="B18" s="15" t="n"/>
      <c r="C18" s="15" t="n"/>
      <c r="D18" s="15" t="n"/>
      <c r="E18" s="15" t="n"/>
      <c r="F18" s="16">
        <f>IF(A18="","",IF(D18="Sim","Não – conflito",IF(B18="Comitê de Método","Sim","Não – fora do Comitê")))</f>
        <v/>
      </c>
      <c r="G18" s="18" t="n"/>
      <c r="H18" s="18" t="n"/>
      <c r="I18" s="16">
        <f>IF(A18="","",IF(H18="","Sim","Não"))</f>
        <v/>
      </c>
      <c r="J18" s="15" t="n"/>
    </row>
    <row r="19">
      <c r="A19" s="15" t="n"/>
      <c r="B19" s="15" t="n"/>
      <c r="C19" s="15" t="n"/>
      <c r="D19" s="15" t="n"/>
      <c r="E19" s="15" t="n"/>
      <c r="F19" s="16">
        <f>IF(A19="","",IF(D19="Sim","Não – conflito",IF(B19="Comitê de Método","Sim","Não – fora do Comitê")))</f>
        <v/>
      </c>
      <c r="G19" s="18" t="n"/>
      <c r="H19" s="18" t="n"/>
      <c r="I19" s="16">
        <f>IF(A19="","",IF(H19="","Sim","Não"))</f>
        <v/>
      </c>
      <c r="J19" s="15" t="n"/>
    </row>
    <row r="20">
      <c r="A20" s="15" t="n"/>
      <c r="B20" s="15" t="n"/>
      <c r="C20" s="15" t="n"/>
      <c r="D20" s="15" t="n"/>
      <c r="E20" s="15" t="n"/>
      <c r="F20" s="16">
        <f>IF(A20="","",IF(D20="Sim","Não – conflito",IF(B20="Comitê de Método","Sim","Não – fora do Comitê")))</f>
        <v/>
      </c>
      <c r="G20" s="18" t="n"/>
      <c r="H20" s="18" t="n"/>
      <c r="I20" s="16">
        <f>IF(A20="","",IF(H20="","Sim","Não"))</f>
        <v/>
      </c>
      <c r="J20" s="15" t="n"/>
    </row>
    <row r="21">
      <c r="A21" s="15" t="n"/>
      <c r="B21" s="15" t="n"/>
      <c r="C21" s="15" t="n"/>
      <c r="D21" s="15" t="n"/>
      <c r="E21" s="15" t="n"/>
      <c r="F21" s="16">
        <f>IF(A21="","",IF(D21="Sim","Não – conflito",IF(B21="Comitê de Método","Sim","Não – fora do Comitê")))</f>
        <v/>
      </c>
      <c r="G21" s="18" t="n"/>
      <c r="H21" s="18" t="n"/>
      <c r="I21" s="16">
        <f>IF(A21="","",IF(H21="","Sim","Não"))</f>
        <v/>
      </c>
      <c r="J21" s="15" t="n"/>
    </row>
    <row r="22">
      <c r="A22" s="15" t="n"/>
      <c r="B22" s="15" t="n"/>
      <c r="C22" s="15" t="n"/>
      <c r="D22" s="15" t="n"/>
      <c r="E22" s="15" t="n"/>
      <c r="F22" s="16">
        <f>IF(A22="","",IF(D22="Sim","Não – conflito",IF(B22="Comitê de Método","Sim","Não – fora do Comitê")))</f>
        <v/>
      </c>
      <c r="G22" s="18" t="n"/>
      <c r="H22" s="18" t="n"/>
      <c r="I22" s="16">
        <f>IF(A22="","",IF(H22="","Sim","Não"))</f>
        <v/>
      </c>
      <c r="J22" s="15" t="n"/>
    </row>
    <row r="23">
      <c r="A23" s="15" t="n"/>
      <c r="B23" s="15" t="n"/>
      <c r="C23" s="15" t="n"/>
      <c r="D23" s="15" t="n"/>
      <c r="E23" s="15" t="n"/>
      <c r="F23" s="16">
        <f>IF(A23="","",IF(D23="Sim","Não – conflito",IF(B23="Comitê de Método","Sim","Não – fora do Comitê")))</f>
        <v/>
      </c>
      <c r="G23" s="18" t="n"/>
      <c r="H23" s="18" t="n"/>
      <c r="I23" s="16">
        <f>IF(A23="","",IF(H23="","Sim","Não"))</f>
        <v/>
      </c>
      <c r="J23" s="15" t="n"/>
    </row>
    <row r="24">
      <c r="A24" s="15" t="n"/>
      <c r="B24" s="15" t="n"/>
      <c r="C24" s="15" t="n"/>
      <c r="D24" s="15" t="n"/>
      <c r="E24" s="15" t="n"/>
      <c r="F24" s="16">
        <f>IF(A24="","",IF(D24="Sim","Não – conflito",IF(B24="Comitê de Método","Sim","Não – fora do Comitê")))</f>
        <v/>
      </c>
      <c r="G24" s="18" t="n"/>
      <c r="H24" s="18" t="n"/>
      <c r="I24" s="16">
        <f>IF(A24="","",IF(H24="","Sim","Não"))</f>
        <v/>
      </c>
      <c r="J24" s="15" t="n"/>
    </row>
    <row r="25">
      <c r="A25" s="15" t="n"/>
      <c r="B25" s="15" t="n"/>
      <c r="C25" s="15" t="n"/>
      <c r="D25" s="15" t="n"/>
      <c r="E25" s="15" t="n"/>
      <c r="F25" s="16">
        <f>IF(A25="","",IF(D25="Sim","Não – conflito",IF(B25="Comitê de Método","Sim","Não – fora do Comitê")))</f>
        <v/>
      </c>
      <c r="G25" s="18" t="n"/>
      <c r="H25" s="18" t="n"/>
      <c r="I25" s="16">
        <f>IF(A25="","",IF(H25="","Sim","Não"))</f>
        <v/>
      </c>
      <c r="J25" s="15" t="n"/>
    </row>
    <row r="26">
      <c r="A26" s="15" t="n"/>
      <c r="B26" s="15" t="n"/>
      <c r="C26" s="15" t="n"/>
      <c r="D26" s="15" t="n"/>
      <c r="E26" s="15" t="n"/>
      <c r="F26" s="16">
        <f>IF(A26="","",IF(D26="Sim","Não – conflito",IF(B26="Comitê de Método","Sim","Não – fora do Comitê")))</f>
        <v/>
      </c>
      <c r="G26" s="18" t="n"/>
      <c r="H26" s="18" t="n"/>
      <c r="I26" s="16">
        <f>IF(A26="","",IF(H26="","Sim","Não"))</f>
        <v/>
      </c>
      <c r="J26" s="15" t="n"/>
    </row>
    <row r="27">
      <c r="A27" s="15" t="n"/>
      <c r="B27" s="15" t="n"/>
      <c r="C27" s="15" t="n"/>
      <c r="D27" s="15" t="n"/>
      <c r="E27" s="15" t="n"/>
      <c r="F27" s="16">
        <f>IF(A27="","",IF(D27="Sim","Não – conflito",IF(B27="Comitê de Método","Sim","Não – fora do Comitê")))</f>
        <v/>
      </c>
      <c r="G27" s="18" t="n"/>
      <c r="H27" s="18" t="n"/>
      <c r="I27" s="16">
        <f>IF(A27="","",IF(H27="","Sim","Não"))</f>
        <v/>
      </c>
      <c r="J27" s="15" t="n"/>
    </row>
    <row r="28">
      <c r="A28" s="15" t="n"/>
      <c r="B28" s="15" t="n"/>
      <c r="C28" s="15" t="n"/>
      <c r="D28" s="15" t="n"/>
      <c r="E28" s="15" t="n"/>
      <c r="F28" s="16">
        <f>IF(A28="","",IF(D28="Sim","Não – conflito",IF(B28="Comitê de Método","Sim","Não – fora do Comitê")))</f>
        <v/>
      </c>
      <c r="G28" s="18" t="n"/>
      <c r="H28" s="18" t="n"/>
      <c r="I28" s="16">
        <f>IF(A28="","",IF(H28="","Sim","Não"))</f>
        <v/>
      </c>
      <c r="J28" s="15" t="n"/>
    </row>
    <row r="29">
      <c r="A29" s="15" t="n"/>
      <c r="B29" s="15" t="n"/>
      <c r="C29" s="15" t="n"/>
      <c r="D29" s="15" t="n"/>
      <c r="E29" s="15" t="n"/>
      <c r="F29" s="16">
        <f>IF(A29="","",IF(D29="Sim","Não – conflito",IF(B29="Comitê de Método","Sim","Não – fora do Comitê")))</f>
        <v/>
      </c>
      <c r="G29" s="18" t="n"/>
      <c r="H29" s="18" t="n"/>
      <c r="I29" s="16">
        <f>IF(A29="","",IF(H29="","Sim","Não"))</f>
        <v/>
      </c>
      <c r="J29" s="15" t="n"/>
    </row>
    <row r="30">
      <c r="A30" s="15" t="n"/>
      <c r="B30" s="15" t="n"/>
      <c r="C30" s="15" t="n"/>
      <c r="D30" s="15" t="n"/>
      <c r="E30" s="15" t="n"/>
      <c r="F30" s="16">
        <f>IF(A30="","",IF(D30="Sim","Não – conflito",IF(B30="Comitê de Método","Sim","Não – fora do Comitê")))</f>
        <v/>
      </c>
      <c r="G30" s="18" t="n"/>
      <c r="H30" s="18" t="n"/>
      <c r="I30" s="16">
        <f>IF(A30="","",IF(H30="","Sim","Não"))</f>
        <v/>
      </c>
      <c r="J30" s="15" t="n"/>
    </row>
    <row r="31">
      <c r="A31" s="15" t="n"/>
      <c r="B31" s="15" t="n"/>
      <c r="C31" s="15" t="n"/>
      <c r="D31" s="15" t="n"/>
      <c r="E31" s="15" t="n"/>
      <c r="F31" s="16">
        <f>IF(A31="","",IF(D31="Sim","Não – conflito",IF(B31="Comitê de Método","Sim","Não – fora do Comitê")))</f>
        <v/>
      </c>
      <c r="G31" s="18" t="n"/>
      <c r="H31" s="18" t="n"/>
      <c r="I31" s="16">
        <f>IF(A31="","",IF(H31="","Sim","Não"))</f>
        <v/>
      </c>
      <c r="J31" s="15" t="n"/>
    </row>
    <row r="32">
      <c r="A32" s="15" t="n"/>
      <c r="B32" s="15" t="n"/>
      <c r="C32" s="15" t="n"/>
      <c r="D32" s="15" t="n"/>
      <c r="E32" s="15" t="n"/>
      <c r="F32" s="16">
        <f>IF(A32="","",IF(D32="Sim","Não – conflito",IF(B32="Comitê de Método","Sim","Não – fora do Comitê")))</f>
        <v/>
      </c>
      <c r="G32" s="18" t="n"/>
      <c r="H32" s="18" t="n"/>
      <c r="I32" s="16">
        <f>IF(A32="","",IF(H32="","Sim","Não"))</f>
        <v/>
      </c>
      <c r="J32" s="15" t="n"/>
    </row>
    <row r="33">
      <c r="A33" s="15" t="n"/>
      <c r="B33" s="15" t="n"/>
      <c r="C33" s="15" t="n"/>
      <c r="D33" s="15" t="n"/>
      <c r="E33" s="15" t="n"/>
      <c r="F33" s="16">
        <f>IF(A33="","",IF(D33="Sim","Não – conflito",IF(B33="Comitê de Método","Sim","Não – fora do Comitê")))</f>
        <v/>
      </c>
      <c r="G33" s="18" t="n"/>
      <c r="H33" s="18" t="n"/>
      <c r="I33" s="16">
        <f>IF(A33="","",IF(H33="","Sim","Não"))</f>
        <v/>
      </c>
      <c r="J33" s="15" t="n"/>
    </row>
    <row r="34">
      <c r="A34" s="15" t="n"/>
      <c r="B34" s="15" t="n"/>
      <c r="C34" s="15" t="n"/>
      <c r="D34" s="15" t="n"/>
      <c r="E34" s="15" t="n"/>
      <c r="F34" s="16">
        <f>IF(A34="","",IF(D34="Sim","Não – conflito",IF(B34="Comitê de Método","Sim","Não – fora do Comitê")))</f>
        <v/>
      </c>
      <c r="G34" s="18" t="n"/>
      <c r="H34" s="18" t="n"/>
      <c r="I34" s="16">
        <f>IF(A34="","",IF(H34="","Sim","Não"))</f>
        <v/>
      </c>
      <c r="J34" s="15" t="n"/>
    </row>
    <row r="35">
      <c r="A35" s="15" t="n"/>
      <c r="B35" s="15" t="n"/>
      <c r="C35" s="15" t="n"/>
      <c r="D35" s="15" t="n"/>
      <c r="E35" s="15" t="n"/>
      <c r="F35" s="16">
        <f>IF(A35="","",IF(D35="Sim","Não – conflito",IF(B35="Comitê de Método","Sim","Não – fora do Comitê")))</f>
        <v/>
      </c>
      <c r="G35" s="18" t="n"/>
      <c r="H35" s="18" t="n"/>
      <c r="I35" s="16">
        <f>IF(A35="","",IF(H35="","Sim","Não"))</f>
        <v/>
      </c>
      <c r="J35" s="15" t="n"/>
    </row>
    <row r="36">
      <c r="A36" s="15" t="n"/>
      <c r="B36" s="15" t="n"/>
      <c r="C36" s="15" t="n"/>
      <c r="D36" s="15" t="n"/>
      <c r="E36" s="15" t="n"/>
      <c r="F36" s="16">
        <f>IF(A36="","",IF(D36="Sim","Não – conflito",IF(B36="Comitê de Método","Sim","Não – fora do Comitê")))</f>
        <v/>
      </c>
      <c r="G36" s="18" t="n"/>
      <c r="H36" s="18" t="n"/>
      <c r="I36" s="16">
        <f>IF(A36="","",IF(H36="","Sim","Não"))</f>
        <v/>
      </c>
      <c r="J36" s="15" t="n"/>
    </row>
    <row r="37">
      <c r="A37" s="15" t="n"/>
      <c r="B37" s="15" t="n"/>
      <c r="C37" s="15" t="n"/>
      <c r="D37" s="15" t="n"/>
      <c r="E37" s="15" t="n"/>
      <c r="F37" s="16">
        <f>IF(A37="","",IF(D37="Sim","Não – conflito",IF(B37="Comitê de Método","Sim","Não – fora do Comitê")))</f>
        <v/>
      </c>
      <c r="G37" s="18" t="n"/>
      <c r="H37" s="18" t="n"/>
      <c r="I37" s="16">
        <f>IF(A37="","",IF(H37="","Sim","Não"))</f>
        <v/>
      </c>
      <c r="J37" s="15" t="n"/>
    </row>
    <row r="38">
      <c r="A38" s="15" t="n"/>
      <c r="B38" s="15" t="n"/>
      <c r="C38" s="15" t="n"/>
      <c r="D38" s="15" t="n"/>
      <c r="E38" s="15" t="n"/>
      <c r="F38" s="16">
        <f>IF(A38="","",IF(D38="Sim","Não – conflito",IF(B38="Comitê de Método","Sim","Não – fora do Comitê")))</f>
        <v/>
      </c>
      <c r="G38" s="18" t="n"/>
      <c r="H38" s="18" t="n"/>
      <c r="I38" s="16">
        <f>IF(A38="","",IF(H38="","Sim","Não"))</f>
        <v/>
      </c>
      <c r="J38" s="15" t="n"/>
    </row>
    <row r="39">
      <c r="A39" s="15" t="n"/>
      <c r="B39" s="15" t="n"/>
      <c r="C39" s="15" t="n"/>
      <c r="D39" s="15" t="n"/>
      <c r="E39" s="15" t="n"/>
      <c r="F39" s="16">
        <f>IF(A39="","",IF(D39="Sim","Não – conflito",IF(B39="Comitê de Método","Sim","Não – fora do Comitê")))</f>
        <v/>
      </c>
      <c r="G39" s="18" t="n"/>
      <c r="H39" s="18" t="n"/>
      <c r="I39" s="16">
        <f>IF(A39="","",IF(H39="","Sim","Não"))</f>
        <v/>
      </c>
      <c r="J39" s="15" t="n"/>
    </row>
    <row r="40">
      <c r="A40" s="15" t="n"/>
      <c r="B40" s="15" t="n"/>
      <c r="C40" s="15" t="n"/>
      <c r="D40" s="15" t="n"/>
      <c r="E40" s="15" t="n"/>
      <c r="F40" s="16">
        <f>IF(A40="","",IF(D40="Sim","Não – conflito",IF(B40="Comitê de Método","Sim","Não – fora do Comitê")))</f>
        <v/>
      </c>
      <c r="G40" s="18" t="n"/>
      <c r="H40" s="18" t="n"/>
      <c r="I40" s="16">
        <f>IF(A40="","",IF(H40="","Sim","Não"))</f>
        <v/>
      </c>
      <c r="J40" s="15" t="n"/>
    </row>
    <row r="41">
      <c r="A41" s="15" t="n"/>
      <c r="B41" s="15" t="n"/>
      <c r="C41" s="15" t="n"/>
      <c r="D41" s="15" t="n"/>
      <c r="E41" s="15" t="n"/>
      <c r="F41" s="16">
        <f>IF(A41="","",IF(D41="Sim","Não – conflito",IF(B41="Comitê de Método","Sim","Não – fora do Comitê")))</f>
        <v/>
      </c>
      <c r="G41" s="18" t="n"/>
      <c r="H41" s="18" t="n"/>
      <c r="I41" s="16">
        <f>IF(A41="","",IF(H41="","Sim","Não"))</f>
        <v/>
      </c>
      <c r="J41" s="15" t="n"/>
    </row>
    <row r="42">
      <c r="A42" s="15" t="n"/>
      <c r="B42" s="15" t="n"/>
      <c r="C42" s="15" t="n"/>
      <c r="D42" s="15" t="n"/>
      <c r="E42" s="15" t="n"/>
      <c r="F42" s="16">
        <f>IF(A42="","",IF(D42="Sim","Não – conflito",IF(B42="Comitê de Método","Sim","Não – fora do Comitê")))</f>
        <v/>
      </c>
      <c r="G42" s="18" t="n"/>
      <c r="H42" s="18" t="n"/>
      <c r="I42" s="16">
        <f>IF(A42="","",IF(H42="","Sim","Não"))</f>
        <v/>
      </c>
      <c r="J42" s="15" t="n"/>
    </row>
    <row r="43">
      <c r="A43" s="15" t="n"/>
      <c r="B43" s="15" t="n"/>
      <c r="C43" s="15" t="n"/>
      <c r="D43" s="15" t="n"/>
      <c r="E43" s="15" t="n"/>
      <c r="F43" s="16">
        <f>IF(A43="","",IF(D43="Sim","Não – conflito",IF(B43="Comitê de Método","Sim","Não – fora do Comitê")))</f>
        <v/>
      </c>
      <c r="G43" s="18" t="n"/>
      <c r="H43" s="18" t="n"/>
      <c r="I43" s="16">
        <f>IF(A43="","",IF(H43="","Sim","Não"))</f>
        <v/>
      </c>
      <c r="J43" s="15" t="n"/>
    </row>
    <row r="44">
      <c r="A44" s="15" t="n"/>
      <c r="B44" s="15" t="n"/>
      <c r="C44" s="15" t="n"/>
      <c r="D44" s="15" t="n"/>
      <c r="E44" s="15" t="n"/>
      <c r="F44" s="16">
        <f>IF(A44="","",IF(D44="Sim","Não – conflito",IF(B44="Comitê de Método","Sim","Não – fora do Comitê")))</f>
        <v/>
      </c>
      <c r="G44" s="18" t="n"/>
      <c r="H44" s="18" t="n"/>
      <c r="I44" s="16">
        <f>IF(A44="","",IF(H44="","Sim","Não"))</f>
        <v/>
      </c>
      <c r="J44" s="15" t="n"/>
    </row>
    <row r="45">
      <c r="A45" s="15" t="n"/>
      <c r="B45" s="15" t="n"/>
      <c r="C45" s="15" t="n"/>
      <c r="D45" s="15" t="n"/>
      <c r="E45" s="15" t="n"/>
      <c r="F45" s="16">
        <f>IF(A45="","",IF(D45="Sim","Não – conflito",IF(B45="Comitê de Método","Sim","Não – fora do Comitê")))</f>
        <v/>
      </c>
      <c r="G45" s="18" t="n"/>
      <c r="H45" s="18" t="n"/>
      <c r="I45" s="16">
        <f>IF(A45="","",IF(H45="","Sim","Não"))</f>
        <v/>
      </c>
      <c r="J45" s="15" t="n"/>
    </row>
    <row r="46">
      <c r="A46" s="15" t="n"/>
      <c r="B46" s="15" t="n"/>
      <c r="C46" s="15" t="n"/>
      <c r="D46" s="15" t="n"/>
      <c r="E46" s="15" t="n"/>
      <c r="F46" s="16">
        <f>IF(A46="","",IF(D46="Sim","Não – conflito",IF(B46="Comitê de Método","Sim","Não – fora do Comitê")))</f>
        <v/>
      </c>
      <c r="G46" s="18" t="n"/>
      <c r="H46" s="18" t="n"/>
      <c r="I46" s="16">
        <f>IF(A46="","",IF(H46="","Sim","Não"))</f>
        <v/>
      </c>
      <c r="J46" s="15" t="n"/>
    </row>
    <row r="47">
      <c r="A47" s="15" t="n"/>
      <c r="B47" s="15" t="n"/>
      <c r="C47" s="15" t="n"/>
      <c r="D47" s="15" t="n"/>
      <c r="E47" s="15" t="n"/>
      <c r="F47" s="16">
        <f>IF(A47="","",IF(D47="Sim","Não – conflito",IF(B47="Comitê de Método","Sim","Não – fora do Comitê")))</f>
        <v/>
      </c>
      <c r="G47" s="18" t="n"/>
      <c r="H47" s="18" t="n"/>
      <c r="I47" s="16">
        <f>IF(A47="","",IF(H47="","Sim","Não"))</f>
        <v/>
      </c>
      <c r="J47" s="15" t="n"/>
    </row>
    <row r="48">
      <c r="A48" s="15" t="n"/>
      <c r="B48" s="15" t="n"/>
      <c r="C48" s="15" t="n"/>
      <c r="D48" s="15" t="n"/>
      <c r="E48" s="15" t="n"/>
      <c r="F48" s="16">
        <f>IF(A48="","",IF(D48="Sim","Não – conflito",IF(B48="Comitê de Método","Sim","Não – fora do Comitê")))</f>
        <v/>
      </c>
      <c r="G48" s="18" t="n"/>
      <c r="H48" s="18" t="n"/>
      <c r="I48" s="16">
        <f>IF(A48="","",IF(H48="","Sim","Não"))</f>
        <v/>
      </c>
      <c r="J48" s="15" t="n"/>
    </row>
    <row r="49">
      <c r="A49" s="15" t="n"/>
      <c r="B49" s="15" t="n"/>
      <c r="C49" s="15" t="n"/>
      <c r="D49" s="15" t="n"/>
      <c r="E49" s="15" t="n"/>
      <c r="F49" s="16">
        <f>IF(A49="","",IF(D49="Sim","Não – conflito",IF(B49="Comitê de Método","Sim","Não – fora do Comitê")))</f>
        <v/>
      </c>
      <c r="G49" s="18" t="n"/>
      <c r="H49" s="18" t="n"/>
      <c r="I49" s="16">
        <f>IF(A49="","",IF(H49="","Sim","Não"))</f>
        <v/>
      </c>
      <c r="J49" s="15" t="n"/>
    </row>
    <row r="50">
      <c r="A50" s="15" t="n"/>
      <c r="B50" s="15" t="n"/>
      <c r="C50" s="15" t="n"/>
      <c r="D50" s="15" t="n"/>
      <c r="E50" s="15" t="n"/>
      <c r="F50" s="16">
        <f>IF(A50="","",IF(D50="Sim","Não – conflito",IF(B50="Comitê de Método","Sim","Não – fora do Comitê")))</f>
        <v/>
      </c>
      <c r="G50" s="18" t="n"/>
      <c r="H50" s="18" t="n"/>
      <c r="I50" s="16">
        <f>IF(A50="","",IF(H50="","Sim","Não"))</f>
        <v/>
      </c>
      <c r="J50" s="15" t="n"/>
    </row>
    <row r="51">
      <c r="A51" s="15" t="n"/>
      <c r="B51" s="15" t="n"/>
      <c r="C51" s="15" t="n"/>
      <c r="D51" s="15" t="n"/>
      <c r="E51" s="15" t="n"/>
      <c r="F51" s="16">
        <f>IF(A51="","",IF(D51="Sim","Não – conflito",IF(B51="Comitê de Método","Sim","Não – fora do Comitê")))</f>
        <v/>
      </c>
      <c r="G51" s="18" t="n"/>
      <c r="H51" s="18" t="n"/>
      <c r="I51" s="16">
        <f>IF(A51="","",IF(H51="","Sim","Não"))</f>
        <v/>
      </c>
      <c r="J51" s="15" t="n"/>
    </row>
    <row r="52">
      <c r="A52" s="15" t="n"/>
      <c r="B52" s="15" t="n"/>
      <c r="C52" s="15" t="n"/>
      <c r="D52" s="15" t="n"/>
      <c r="E52" s="15" t="n"/>
      <c r="F52" s="16">
        <f>IF(A52="","",IF(D52="Sim","Não – conflito",IF(B52="Comitê de Método","Sim","Não – fora do Comitê")))</f>
        <v/>
      </c>
      <c r="G52" s="18" t="n"/>
      <c r="H52" s="18" t="n"/>
      <c r="I52" s="16">
        <f>IF(A52="","",IF(H52="","Sim","Não"))</f>
        <v/>
      </c>
      <c r="J52" s="15" t="n"/>
    </row>
    <row r="53">
      <c r="A53" s="15" t="n"/>
      <c r="B53" s="15" t="n"/>
      <c r="C53" s="15" t="n"/>
      <c r="D53" s="15" t="n"/>
      <c r="E53" s="15" t="n"/>
      <c r="F53" s="16">
        <f>IF(A53="","",IF(D53="Sim","Não – conflito",IF(B53="Comitê de Método","Sim","Não – fora do Comitê")))</f>
        <v/>
      </c>
      <c r="G53" s="18" t="n"/>
      <c r="H53" s="18" t="n"/>
      <c r="I53" s="16">
        <f>IF(A53="","",IF(H53="","Sim","Não"))</f>
        <v/>
      </c>
      <c r="J53" s="15" t="n"/>
    </row>
    <row r="54">
      <c r="A54" s="15" t="n"/>
      <c r="B54" s="15" t="n"/>
      <c r="C54" s="15" t="n"/>
      <c r="D54" s="15" t="n"/>
      <c r="E54" s="15" t="n"/>
      <c r="F54" s="16">
        <f>IF(A54="","",IF(D54="Sim","Não – conflito",IF(B54="Comitê de Método","Sim","Não – fora do Comitê")))</f>
        <v/>
      </c>
      <c r="G54" s="18" t="n"/>
      <c r="H54" s="18" t="n"/>
      <c r="I54" s="16">
        <f>IF(A54="","",IF(H54="","Sim","Não"))</f>
        <v/>
      </c>
      <c r="J54" s="15" t="n"/>
    </row>
    <row r="55">
      <c r="A55" s="15" t="n"/>
      <c r="B55" s="15" t="n"/>
      <c r="C55" s="15" t="n"/>
      <c r="D55" s="15" t="n"/>
      <c r="E55" s="15" t="n"/>
      <c r="F55" s="16">
        <f>IF(A55="","",IF(D55="Sim","Não – conflito",IF(B55="Comitê de Método","Sim","Não – fora do Comitê")))</f>
        <v/>
      </c>
      <c r="G55" s="18" t="n"/>
      <c r="H55" s="18" t="n"/>
      <c r="I55" s="16">
        <f>IF(A55="","",IF(H55="","Sim","Não"))</f>
        <v/>
      </c>
      <c r="J55" s="15" t="n"/>
    </row>
    <row r="56">
      <c r="A56" s="15" t="n"/>
      <c r="B56" s="15" t="n"/>
      <c r="C56" s="15" t="n"/>
      <c r="D56" s="15" t="n"/>
      <c r="E56" s="15" t="n"/>
      <c r="F56" s="16">
        <f>IF(A56="","",IF(D56="Sim","Não – conflito",IF(B56="Comitê de Método","Sim","Não – fora do Comitê")))</f>
        <v/>
      </c>
      <c r="G56" s="18" t="n"/>
      <c r="H56" s="18" t="n"/>
      <c r="I56" s="16">
        <f>IF(A56="","",IF(H56="","Sim","Não"))</f>
        <v/>
      </c>
      <c r="J56" s="15" t="n"/>
    </row>
    <row r="57">
      <c r="A57" s="15" t="n"/>
      <c r="B57" s="15" t="n"/>
      <c r="C57" s="15" t="n"/>
      <c r="D57" s="15" t="n"/>
      <c r="E57" s="15" t="n"/>
      <c r="F57" s="16">
        <f>IF(A57="","",IF(D57="Sim","Não – conflito",IF(B57="Comitê de Método","Sim","Não – fora do Comitê")))</f>
        <v/>
      </c>
      <c r="G57" s="18" t="n"/>
      <c r="H57" s="18" t="n"/>
      <c r="I57" s="16">
        <f>IF(A57="","",IF(H57="","Sim","Não"))</f>
        <v/>
      </c>
      <c r="J57" s="15" t="n"/>
    </row>
    <row r="58">
      <c r="A58" s="15" t="n"/>
      <c r="B58" s="15" t="n"/>
      <c r="C58" s="15" t="n"/>
      <c r="D58" s="15" t="n"/>
      <c r="E58" s="15" t="n"/>
      <c r="F58" s="16">
        <f>IF(A58="","",IF(D58="Sim","Não – conflito",IF(B58="Comitê de Método","Sim","Não – fora do Comitê")))</f>
        <v/>
      </c>
      <c r="G58" s="18" t="n"/>
      <c r="H58" s="18" t="n"/>
      <c r="I58" s="16">
        <f>IF(A58="","",IF(H58="","Sim","Não"))</f>
        <v/>
      </c>
      <c r="J58" s="15" t="n"/>
    </row>
    <row r="59">
      <c r="A59" s="15" t="n"/>
      <c r="B59" s="15" t="n"/>
      <c r="C59" s="15" t="n"/>
      <c r="D59" s="15" t="n"/>
      <c r="E59" s="15" t="n"/>
      <c r="F59" s="16">
        <f>IF(A59="","",IF(D59="Sim","Não – conflito",IF(B59="Comitê de Método","Sim","Não – fora do Comitê")))</f>
        <v/>
      </c>
      <c r="G59" s="18" t="n"/>
      <c r="H59" s="18" t="n"/>
      <c r="I59" s="16">
        <f>IF(A59="","",IF(H59="","Sim","Não"))</f>
        <v/>
      </c>
      <c r="J59" s="15" t="n"/>
    </row>
    <row r="60">
      <c r="A60" s="15" t="n"/>
      <c r="B60" s="15" t="n"/>
      <c r="C60" s="15" t="n"/>
      <c r="D60" s="15" t="n"/>
      <c r="E60" s="15" t="n"/>
      <c r="F60" s="16">
        <f>IF(A60="","",IF(D60="Sim","Não – conflito",IF(B60="Comitê de Método","Sim","Não – fora do Comitê")))</f>
        <v/>
      </c>
      <c r="G60" s="18" t="n"/>
      <c r="H60" s="18" t="n"/>
      <c r="I60" s="16">
        <f>IF(A60="","",IF(H60="","Sim","Não"))</f>
        <v/>
      </c>
      <c r="J60" s="15" t="n"/>
    </row>
    <row r="61">
      <c r="A61" s="15" t="n"/>
      <c r="B61" s="15" t="n"/>
      <c r="C61" s="15" t="n"/>
      <c r="D61" s="15" t="n"/>
      <c r="E61" s="15" t="n"/>
      <c r="F61" s="16">
        <f>IF(A61="","",IF(D61="Sim","Não – conflito",IF(B61="Comitê de Método","Sim","Não – fora do Comitê")))</f>
        <v/>
      </c>
      <c r="G61" s="18" t="n"/>
      <c r="H61" s="18" t="n"/>
      <c r="I61" s="16">
        <f>IF(A61="","",IF(H61="","Sim","Não"))</f>
        <v/>
      </c>
      <c r="J61" s="15" t="n"/>
    </row>
    <row r="62">
      <c r="A62" s="15" t="n"/>
      <c r="B62" s="15" t="n"/>
      <c r="C62" s="15" t="n"/>
      <c r="D62" s="15" t="n"/>
      <c r="E62" s="15" t="n"/>
      <c r="F62" s="16">
        <f>IF(A62="","",IF(D62="Sim","Não – conflito",IF(B62="Comitê de Método","Sim","Não – fora do Comitê")))</f>
        <v/>
      </c>
      <c r="G62" s="18" t="n"/>
      <c r="H62" s="18" t="n"/>
      <c r="I62" s="16">
        <f>IF(A62="","",IF(H62="","Sim","Não"))</f>
        <v/>
      </c>
      <c r="J62" s="15" t="n"/>
    </row>
    <row r="63">
      <c r="A63" s="15" t="n"/>
      <c r="B63" s="15" t="n"/>
      <c r="C63" s="15" t="n"/>
      <c r="D63" s="15" t="n"/>
      <c r="E63" s="15" t="n"/>
      <c r="F63" s="16">
        <f>IF(A63="","",IF(D63="Sim","Não – conflito",IF(B63="Comitê de Método","Sim","Não – fora do Comitê")))</f>
        <v/>
      </c>
      <c r="G63" s="18" t="n"/>
      <c r="H63" s="18" t="n"/>
      <c r="I63" s="16">
        <f>IF(A63="","",IF(H63="","Sim","Não"))</f>
        <v/>
      </c>
      <c r="J63" s="15" t="n"/>
    </row>
    <row r="64">
      <c r="A64" s="15" t="n"/>
      <c r="B64" s="15" t="n"/>
      <c r="C64" s="15" t="n"/>
      <c r="D64" s="15" t="n"/>
      <c r="E64" s="15" t="n"/>
      <c r="F64" s="16">
        <f>IF(A64="","",IF(D64="Sim","Não – conflito",IF(B64="Comitê de Método","Sim","Não – fora do Comitê")))</f>
        <v/>
      </c>
      <c r="G64" s="18" t="n"/>
      <c r="H64" s="18" t="n"/>
      <c r="I64" s="16">
        <f>IF(A64="","",IF(H64="","Sim","Não"))</f>
        <v/>
      </c>
      <c r="J64" s="15" t="n"/>
    </row>
    <row r="65">
      <c r="A65" s="15" t="n"/>
      <c r="B65" s="15" t="n"/>
      <c r="C65" s="15" t="n"/>
      <c r="D65" s="15" t="n"/>
      <c r="E65" s="15" t="n"/>
      <c r="F65" s="16">
        <f>IF(A65="","",IF(D65="Sim","Não – conflito",IF(B65="Comitê de Método","Sim","Não – fora do Comitê")))</f>
        <v/>
      </c>
      <c r="G65" s="18" t="n"/>
      <c r="H65" s="18" t="n"/>
      <c r="I65" s="16">
        <f>IF(A65="","",IF(H65="","Sim","Não"))</f>
        <v/>
      </c>
      <c r="J65" s="15" t="n"/>
    </row>
    <row r="66">
      <c r="A66" s="15" t="n"/>
      <c r="B66" s="15" t="n"/>
      <c r="C66" s="15" t="n"/>
      <c r="D66" s="15" t="n"/>
      <c r="E66" s="15" t="n"/>
      <c r="F66" s="16">
        <f>IF(A66="","",IF(D66="Sim","Não – conflito",IF(B66="Comitê de Método","Sim","Não – fora do Comitê")))</f>
        <v/>
      </c>
      <c r="G66" s="18" t="n"/>
      <c r="H66" s="18" t="n"/>
      <c r="I66" s="16">
        <f>IF(A66="","",IF(H66="","Sim","Não"))</f>
        <v/>
      </c>
      <c r="J66" s="15" t="n"/>
    </row>
    <row r="67">
      <c r="A67" s="15" t="n"/>
      <c r="B67" s="15" t="n"/>
      <c r="C67" s="15" t="n"/>
      <c r="D67" s="15" t="n"/>
      <c r="E67" s="15" t="n"/>
      <c r="F67" s="16">
        <f>IF(A67="","",IF(D67="Sim","Não – conflito",IF(B67="Comitê de Método","Sim","Não – fora do Comitê")))</f>
        <v/>
      </c>
      <c r="G67" s="18" t="n"/>
      <c r="H67" s="18" t="n"/>
      <c r="I67" s="16">
        <f>IF(A67="","",IF(H67="","Sim","Não"))</f>
        <v/>
      </c>
      <c r="J67" s="15" t="n"/>
    </row>
    <row r="68">
      <c r="A68" s="15" t="n"/>
      <c r="B68" s="15" t="n"/>
      <c r="C68" s="15" t="n"/>
      <c r="D68" s="15" t="n"/>
      <c r="E68" s="15" t="n"/>
      <c r="F68" s="16">
        <f>IF(A68="","",IF(D68="Sim","Não – conflito",IF(B68="Comitê de Método","Sim","Não – fora do Comitê")))</f>
        <v/>
      </c>
      <c r="G68" s="18" t="n"/>
      <c r="H68" s="18" t="n"/>
      <c r="I68" s="16">
        <f>IF(A68="","",IF(H68="","Sim","Não"))</f>
        <v/>
      </c>
      <c r="J68" s="15" t="n"/>
    </row>
    <row r="69">
      <c r="A69" s="15" t="n"/>
      <c r="B69" s="15" t="n"/>
      <c r="C69" s="15" t="n"/>
      <c r="D69" s="15" t="n"/>
      <c r="E69" s="15" t="n"/>
      <c r="F69" s="16">
        <f>IF(A69="","",IF(D69="Sim","Não – conflito",IF(B69="Comitê de Método","Sim","Não – fora do Comitê")))</f>
        <v/>
      </c>
      <c r="G69" s="18" t="n"/>
      <c r="H69" s="18" t="n"/>
      <c r="I69" s="16">
        <f>IF(A69="","",IF(H69="","Sim","Não"))</f>
        <v/>
      </c>
      <c r="J69" s="15" t="n"/>
    </row>
    <row r="70">
      <c r="A70" s="15" t="n"/>
      <c r="B70" s="15" t="n"/>
      <c r="C70" s="15" t="n"/>
      <c r="D70" s="15" t="n"/>
      <c r="E70" s="15" t="n"/>
      <c r="F70" s="16">
        <f>IF(A70="","",IF(D70="Sim","Não – conflito",IF(B70="Comitê de Método","Sim","Não – fora do Comitê")))</f>
        <v/>
      </c>
      <c r="G70" s="18" t="n"/>
      <c r="H70" s="18" t="n"/>
      <c r="I70" s="16">
        <f>IF(A70="","",IF(H70="","Sim","Não"))</f>
        <v/>
      </c>
      <c r="J70" s="15" t="n"/>
    </row>
    <row r="71">
      <c r="A71" s="15" t="n"/>
      <c r="B71" s="15" t="n"/>
      <c r="C71" s="15" t="n"/>
      <c r="D71" s="15" t="n"/>
      <c r="E71" s="15" t="n"/>
      <c r="F71" s="16">
        <f>IF(A71="","",IF(D71="Sim","Não – conflito",IF(B71="Comitê de Método","Sim","Não – fora do Comitê")))</f>
        <v/>
      </c>
      <c r="G71" s="18" t="n"/>
      <c r="H71" s="18" t="n"/>
      <c r="I71" s="16">
        <f>IF(A71="","",IF(H71="","Sim","Não"))</f>
        <v/>
      </c>
      <c r="J71" s="15" t="n"/>
    </row>
    <row r="72">
      <c r="A72" s="15" t="n"/>
      <c r="B72" s="15" t="n"/>
      <c r="C72" s="15" t="n"/>
      <c r="D72" s="15" t="n"/>
      <c r="E72" s="15" t="n"/>
      <c r="F72" s="16">
        <f>IF(A72="","",IF(D72="Sim","Não – conflito",IF(B72="Comitê de Método","Sim","Não – fora do Comitê")))</f>
        <v/>
      </c>
      <c r="G72" s="18" t="n"/>
      <c r="H72" s="18" t="n"/>
      <c r="I72" s="16">
        <f>IF(A72="","",IF(H72="","Sim","Não"))</f>
        <v/>
      </c>
      <c r="J72" s="15" t="n"/>
    </row>
    <row r="73">
      <c r="A73" s="15" t="n"/>
      <c r="B73" s="15" t="n"/>
      <c r="C73" s="15" t="n"/>
      <c r="D73" s="15" t="n"/>
      <c r="E73" s="15" t="n"/>
      <c r="F73" s="16">
        <f>IF(A73="","",IF(D73="Sim","Não – conflito",IF(B73="Comitê de Método","Sim","Não – fora do Comitê")))</f>
        <v/>
      </c>
      <c r="G73" s="18" t="n"/>
      <c r="H73" s="18" t="n"/>
      <c r="I73" s="16">
        <f>IF(A73="","",IF(H73="","Sim","Não"))</f>
        <v/>
      </c>
      <c r="J73" s="15" t="n"/>
    </row>
    <row r="74">
      <c r="A74" s="15" t="n"/>
      <c r="B74" s="15" t="n"/>
      <c r="C74" s="15" t="n"/>
      <c r="D74" s="15" t="n"/>
      <c r="E74" s="15" t="n"/>
      <c r="F74" s="16">
        <f>IF(A74="","",IF(D74="Sim","Não – conflito",IF(B74="Comitê de Método","Sim","Não – fora do Comitê")))</f>
        <v/>
      </c>
      <c r="G74" s="18" t="n"/>
      <c r="H74" s="18" t="n"/>
      <c r="I74" s="16">
        <f>IF(A74="","",IF(H74="","Sim","Não"))</f>
        <v/>
      </c>
      <c r="J74" s="15" t="n"/>
    </row>
    <row r="75">
      <c r="A75" s="15" t="n"/>
      <c r="B75" s="15" t="n"/>
      <c r="C75" s="15" t="n"/>
      <c r="D75" s="15" t="n"/>
      <c r="E75" s="15" t="n"/>
      <c r="F75" s="16">
        <f>IF(A75="","",IF(D75="Sim","Não – conflito",IF(B75="Comitê de Método","Sim","Não – fora do Comitê")))</f>
        <v/>
      </c>
      <c r="G75" s="18" t="n"/>
      <c r="H75" s="18" t="n"/>
      <c r="I75" s="16">
        <f>IF(A75="","",IF(H75="","Sim","Não"))</f>
        <v/>
      </c>
      <c r="J75" s="15" t="n"/>
    </row>
    <row r="76">
      <c r="A76" s="15" t="n"/>
      <c r="B76" s="15" t="n"/>
      <c r="C76" s="15" t="n"/>
      <c r="D76" s="15" t="n"/>
      <c r="E76" s="15" t="n"/>
      <c r="F76" s="16">
        <f>IF(A76="","",IF(D76="Sim","Não – conflito",IF(B76="Comitê de Método","Sim","Não – fora do Comitê")))</f>
        <v/>
      </c>
      <c r="G76" s="18" t="n"/>
      <c r="H76" s="18" t="n"/>
      <c r="I76" s="16">
        <f>IF(A76="","",IF(H76="","Sim","Não"))</f>
        <v/>
      </c>
      <c r="J76" s="15" t="n"/>
    </row>
    <row r="77">
      <c r="A77" s="15" t="n"/>
      <c r="B77" s="15" t="n"/>
      <c r="C77" s="15" t="n"/>
      <c r="D77" s="15" t="n"/>
      <c r="E77" s="15" t="n"/>
      <c r="F77" s="16">
        <f>IF(A77="","",IF(D77="Sim","Não – conflito",IF(B77="Comitê de Método","Sim","Não – fora do Comitê")))</f>
        <v/>
      </c>
      <c r="G77" s="18" t="n"/>
      <c r="H77" s="18" t="n"/>
      <c r="I77" s="16">
        <f>IF(A77="","",IF(H77="","Sim","Não"))</f>
        <v/>
      </c>
      <c r="J77" s="15" t="n"/>
    </row>
    <row r="78">
      <c r="A78" s="15" t="n"/>
      <c r="B78" s="15" t="n"/>
      <c r="C78" s="15" t="n"/>
      <c r="D78" s="15" t="n"/>
      <c r="E78" s="15" t="n"/>
      <c r="F78" s="16">
        <f>IF(A78="","",IF(D78="Sim","Não – conflito",IF(B78="Comitê de Método","Sim","Não – fora do Comitê")))</f>
        <v/>
      </c>
      <c r="G78" s="18" t="n"/>
      <c r="H78" s="18" t="n"/>
      <c r="I78" s="16">
        <f>IF(A78="","",IF(H78="","Sim","Não"))</f>
        <v/>
      </c>
      <c r="J78" s="15" t="n"/>
    </row>
    <row r="79">
      <c r="A79" s="15" t="n"/>
      <c r="B79" s="15" t="n"/>
      <c r="C79" s="15" t="n"/>
      <c r="D79" s="15" t="n"/>
      <c r="E79" s="15" t="n"/>
      <c r="F79" s="16">
        <f>IF(A79="","",IF(D79="Sim","Não – conflito",IF(B79="Comitê de Método","Sim","Não – fora do Comitê")))</f>
        <v/>
      </c>
      <c r="G79" s="18" t="n"/>
      <c r="H79" s="18" t="n"/>
      <c r="I79" s="16">
        <f>IF(A79="","",IF(H79="","Sim","Não"))</f>
        <v/>
      </c>
      <c r="J79" s="15" t="n"/>
    </row>
    <row r="80">
      <c r="A80" s="15" t="n"/>
      <c r="B80" s="15" t="n"/>
      <c r="C80" s="15" t="n"/>
      <c r="D80" s="15" t="n"/>
      <c r="E80" s="15" t="n"/>
      <c r="F80" s="16">
        <f>IF(A80="","",IF(D80="Sim","Não – conflito",IF(B80="Comitê de Método","Sim","Não – fora do Comitê")))</f>
        <v/>
      </c>
      <c r="G80" s="18" t="n"/>
      <c r="H80" s="18" t="n"/>
      <c r="I80" s="16">
        <f>IF(A80="","",IF(H80="","Sim","Não"))</f>
        <v/>
      </c>
      <c r="J80" s="15" t="n"/>
    </row>
    <row r="81">
      <c r="A81" s="15" t="n"/>
      <c r="B81" s="15" t="n"/>
      <c r="C81" s="15" t="n"/>
      <c r="D81" s="15" t="n"/>
      <c r="E81" s="15" t="n"/>
      <c r="F81" s="16">
        <f>IF(A81="","",IF(D81="Sim","Não – conflito",IF(B81="Comitê de Método","Sim","Não – fora do Comitê")))</f>
        <v/>
      </c>
      <c r="G81" s="18" t="n"/>
      <c r="H81" s="18" t="n"/>
      <c r="I81" s="16">
        <f>IF(A81="","",IF(H81="","Sim","Não"))</f>
        <v/>
      </c>
      <c r="J81" s="15" t="n"/>
    </row>
    <row r="82">
      <c r="A82" s="15" t="n"/>
      <c r="B82" s="15" t="n"/>
      <c r="C82" s="15" t="n"/>
      <c r="D82" s="15" t="n"/>
      <c r="E82" s="15" t="n"/>
      <c r="F82" s="16">
        <f>IF(A82="","",IF(D82="Sim","Não – conflito",IF(B82="Comitê de Método","Sim","Não – fora do Comitê")))</f>
        <v/>
      </c>
      <c r="G82" s="18" t="n"/>
      <c r="H82" s="18" t="n"/>
      <c r="I82" s="16">
        <f>IF(A82="","",IF(H82="","Sim","Não"))</f>
        <v/>
      </c>
      <c r="J82" s="15" t="n"/>
    </row>
    <row r="83">
      <c r="A83" s="15" t="n"/>
      <c r="B83" s="15" t="n"/>
      <c r="C83" s="15" t="n"/>
      <c r="D83" s="15" t="n"/>
      <c r="E83" s="15" t="n"/>
      <c r="F83" s="16">
        <f>IF(A83="","",IF(D83="Sim","Não – conflito",IF(B83="Comitê de Método","Sim","Não – fora do Comitê")))</f>
        <v/>
      </c>
      <c r="G83" s="18" t="n"/>
      <c r="H83" s="18" t="n"/>
      <c r="I83" s="16">
        <f>IF(A83="","",IF(H83="","Sim","Não"))</f>
        <v/>
      </c>
      <c r="J83" s="15" t="n"/>
    </row>
    <row r="84">
      <c r="A84" s="15" t="n"/>
      <c r="B84" s="15" t="n"/>
      <c r="C84" s="15" t="n"/>
      <c r="D84" s="15" t="n"/>
      <c r="E84" s="15" t="n"/>
      <c r="F84" s="16">
        <f>IF(A84="","",IF(D84="Sim","Não – conflito",IF(B84="Comitê de Método","Sim","Não – fora do Comitê")))</f>
        <v/>
      </c>
      <c r="G84" s="18" t="n"/>
      <c r="H84" s="18" t="n"/>
      <c r="I84" s="16">
        <f>IF(A84="","",IF(H84="","Sim","Não"))</f>
        <v/>
      </c>
      <c r="J84" s="15" t="n"/>
    </row>
    <row r="85">
      <c r="A85" s="15" t="n"/>
      <c r="B85" s="15" t="n"/>
      <c r="C85" s="15" t="n"/>
      <c r="D85" s="15" t="n"/>
      <c r="E85" s="15" t="n"/>
      <c r="F85" s="16">
        <f>IF(A85="","",IF(D85="Sim","Não – conflito",IF(B85="Comitê de Método","Sim","Não – fora do Comitê")))</f>
        <v/>
      </c>
      <c r="G85" s="18" t="n"/>
      <c r="H85" s="18" t="n"/>
      <c r="I85" s="16">
        <f>IF(A85="","",IF(H85="","Sim","Não"))</f>
        <v/>
      </c>
      <c r="J85" s="15" t="n"/>
    </row>
    <row r="86">
      <c r="A86" s="15" t="n"/>
      <c r="B86" s="15" t="n"/>
      <c r="C86" s="15" t="n"/>
      <c r="D86" s="15" t="n"/>
      <c r="E86" s="15" t="n"/>
      <c r="F86" s="16">
        <f>IF(A86="","",IF(D86="Sim","Não – conflito",IF(B86="Comitê de Método","Sim","Não – fora do Comitê")))</f>
        <v/>
      </c>
      <c r="G86" s="18" t="n"/>
      <c r="H86" s="18" t="n"/>
      <c r="I86" s="16">
        <f>IF(A86="","",IF(H86="","Sim","Não"))</f>
        <v/>
      </c>
      <c r="J86" s="15" t="n"/>
    </row>
    <row r="87">
      <c r="A87" s="15" t="n"/>
      <c r="B87" s="15" t="n"/>
      <c r="C87" s="15" t="n"/>
      <c r="D87" s="15" t="n"/>
      <c r="E87" s="15" t="n"/>
      <c r="F87" s="16">
        <f>IF(A87="","",IF(D87="Sim","Não – conflito",IF(B87="Comitê de Método","Sim","Não – fora do Comitê")))</f>
        <v/>
      </c>
      <c r="G87" s="18" t="n"/>
      <c r="H87" s="18" t="n"/>
      <c r="I87" s="16">
        <f>IF(A87="","",IF(H87="","Sim","Não"))</f>
        <v/>
      </c>
      <c r="J87" s="15" t="n"/>
    </row>
    <row r="88">
      <c r="A88" s="15" t="n"/>
      <c r="B88" s="15" t="n"/>
      <c r="C88" s="15" t="n"/>
      <c r="D88" s="15" t="n"/>
      <c r="E88" s="15" t="n"/>
      <c r="F88" s="16">
        <f>IF(A88="","",IF(D88="Sim","Não – conflito",IF(B88="Comitê de Método","Sim","Não – fora do Comitê")))</f>
        <v/>
      </c>
      <c r="G88" s="18" t="n"/>
      <c r="H88" s="18" t="n"/>
      <c r="I88" s="16">
        <f>IF(A88="","",IF(H88="","Sim","Não"))</f>
        <v/>
      </c>
      <c r="J88" s="15" t="n"/>
    </row>
    <row r="89">
      <c r="A89" s="15" t="n"/>
      <c r="B89" s="15" t="n"/>
      <c r="C89" s="15" t="n"/>
      <c r="D89" s="15" t="n"/>
      <c r="E89" s="15" t="n"/>
      <c r="F89" s="16">
        <f>IF(A89="","",IF(D89="Sim","Não – conflito",IF(B89="Comitê de Método","Sim","Não – fora do Comitê")))</f>
        <v/>
      </c>
      <c r="G89" s="18" t="n"/>
      <c r="H89" s="18" t="n"/>
      <c r="I89" s="16">
        <f>IF(A89="","",IF(H89="","Sim","Não"))</f>
        <v/>
      </c>
      <c r="J89" s="15" t="n"/>
    </row>
    <row r="90">
      <c r="A90" s="15" t="n"/>
      <c r="B90" s="15" t="n"/>
      <c r="C90" s="15" t="n"/>
      <c r="D90" s="15" t="n"/>
      <c r="E90" s="15" t="n"/>
      <c r="F90" s="16">
        <f>IF(A90="","",IF(D90="Sim","Não – conflito",IF(B90="Comitê de Método","Sim","Não – fora do Comitê")))</f>
        <v/>
      </c>
      <c r="G90" s="18" t="n"/>
      <c r="H90" s="18" t="n"/>
      <c r="I90" s="16">
        <f>IF(A90="","",IF(H90="","Sim","Não"))</f>
        <v/>
      </c>
      <c r="J90" s="15" t="n"/>
    </row>
    <row r="91">
      <c r="A91" s="15" t="n"/>
      <c r="B91" s="15" t="n"/>
      <c r="C91" s="15" t="n"/>
      <c r="D91" s="15" t="n"/>
      <c r="E91" s="15" t="n"/>
      <c r="F91" s="16">
        <f>IF(A91="","",IF(D91="Sim","Não – conflito",IF(B91="Comitê de Método","Sim","Não – fora do Comitê")))</f>
        <v/>
      </c>
      <c r="G91" s="18" t="n"/>
      <c r="H91" s="18" t="n"/>
      <c r="I91" s="16">
        <f>IF(A91="","",IF(H91="","Sim","Não"))</f>
        <v/>
      </c>
      <c r="J91" s="15" t="n"/>
    </row>
    <row r="92">
      <c r="A92" s="15" t="n"/>
      <c r="B92" s="15" t="n"/>
      <c r="C92" s="15" t="n"/>
      <c r="D92" s="15" t="n"/>
      <c r="E92" s="15" t="n"/>
      <c r="F92" s="16">
        <f>IF(A92="","",IF(D92="Sim","Não – conflito",IF(B92="Comitê de Método","Sim","Não – fora do Comitê")))</f>
        <v/>
      </c>
      <c r="G92" s="18" t="n"/>
      <c r="H92" s="18" t="n"/>
      <c r="I92" s="16">
        <f>IF(A92="","",IF(H92="","Sim","Não"))</f>
        <v/>
      </c>
      <c r="J92" s="15" t="n"/>
    </row>
    <row r="93">
      <c r="A93" s="15" t="n"/>
      <c r="B93" s="15" t="n"/>
      <c r="C93" s="15" t="n"/>
      <c r="D93" s="15" t="n"/>
      <c r="E93" s="15" t="n"/>
      <c r="F93" s="16">
        <f>IF(A93="","",IF(D93="Sim","Não – conflito",IF(B93="Comitê de Método","Sim","Não – fora do Comitê")))</f>
        <v/>
      </c>
      <c r="G93" s="18" t="n"/>
      <c r="H93" s="18" t="n"/>
      <c r="I93" s="16">
        <f>IF(A93="","",IF(H93="","Sim","Não"))</f>
        <v/>
      </c>
      <c r="J93" s="15" t="n"/>
    </row>
    <row r="94">
      <c r="A94" s="15" t="n"/>
      <c r="B94" s="15" t="n"/>
      <c r="C94" s="15" t="n"/>
      <c r="D94" s="15" t="n"/>
      <c r="E94" s="15" t="n"/>
      <c r="F94" s="16">
        <f>IF(A94="","",IF(D94="Sim","Não – conflito",IF(B94="Comitê de Método","Sim","Não – fora do Comitê")))</f>
        <v/>
      </c>
      <c r="G94" s="18" t="n"/>
      <c r="H94" s="18" t="n"/>
      <c r="I94" s="16">
        <f>IF(A94="","",IF(H94="","Sim","Não"))</f>
        <v/>
      </c>
      <c r="J94" s="15" t="n"/>
    </row>
    <row r="95">
      <c r="A95" s="15" t="n"/>
      <c r="B95" s="15" t="n"/>
      <c r="C95" s="15" t="n"/>
      <c r="D95" s="15" t="n"/>
      <c r="E95" s="15" t="n"/>
      <c r="F95" s="16">
        <f>IF(A95="","",IF(D95="Sim","Não – conflito",IF(B95="Comitê de Método","Sim","Não – fora do Comitê")))</f>
        <v/>
      </c>
      <c r="G95" s="18" t="n"/>
      <c r="H95" s="18" t="n"/>
      <c r="I95" s="16">
        <f>IF(A95="","",IF(H95="","Sim","Não"))</f>
        <v/>
      </c>
      <c r="J95" s="15" t="n"/>
    </row>
    <row r="96">
      <c r="A96" s="15" t="n"/>
      <c r="B96" s="15" t="n"/>
      <c r="C96" s="15" t="n"/>
      <c r="D96" s="15" t="n"/>
      <c r="E96" s="15" t="n"/>
      <c r="F96" s="16">
        <f>IF(A96="","",IF(D96="Sim","Não – conflito",IF(B96="Comitê de Método","Sim","Não – fora do Comitê")))</f>
        <v/>
      </c>
      <c r="G96" s="18" t="n"/>
      <c r="H96" s="18" t="n"/>
      <c r="I96" s="16">
        <f>IF(A96="","",IF(H96="","Sim","Não"))</f>
        <v/>
      </c>
      <c r="J96" s="15" t="n"/>
    </row>
    <row r="97">
      <c r="A97" s="15" t="n"/>
      <c r="B97" s="15" t="n"/>
      <c r="C97" s="15" t="n"/>
      <c r="D97" s="15" t="n"/>
      <c r="E97" s="15" t="n"/>
      <c r="F97" s="16">
        <f>IF(A97="","",IF(D97="Sim","Não – conflito",IF(B97="Comitê de Método","Sim","Não – fora do Comitê")))</f>
        <v/>
      </c>
      <c r="G97" s="18" t="n"/>
      <c r="H97" s="18" t="n"/>
      <c r="I97" s="16">
        <f>IF(A97="","",IF(H97="","Sim","Não"))</f>
        <v/>
      </c>
      <c r="J97" s="15" t="n"/>
    </row>
    <row r="98">
      <c r="A98" s="15" t="n"/>
      <c r="B98" s="15" t="n"/>
      <c r="C98" s="15" t="n"/>
      <c r="D98" s="15" t="n"/>
      <c r="E98" s="15" t="n"/>
      <c r="F98" s="16">
        <f>IF(A98="","",IF(D98="Sim","Não – conflito",IF(B98="Comitê de Método","Sim","Não – fora do Comitê")))</f>
        <v/>
      </c>
      <c r="G98" s="18" t="n"/>
      <c r="H98" s="18" t="n"/>
      <c r="I98" s="16">
        <f>IF(A98="","",IF(H98="","Sim","Não"))</f>
        <v/>
      </c>
      <c r="J98" s="15" t="n"/>
    </row>
    <row r="99">
      <c r="A99" s="15" t="n"/>
      <c r="B99" s="15" t="n"/>
      <c r="C99" s="15" t="n"/>
      <c r="D99" s="15" t="n"/>
      <c r="E99" s="15" t="n"/>
      <c r="F99" s="16">
        <f>IF(A99="","",IF(D99="Sim","Não – conflito",IF(B99="Comitê de Método","Sim","Não – fora do Comitê")))</f>
        <v/>
      </c>
      <c r="G99" s="18" t="n"/>
      <c r="H99" s="18" t="n"/>
      <c r="I99" s="16">
        <f>IF(A99="","",IF(H99="","Sim","Não"))</f>
        <v/>
      </c>
      <c r="J99" s="15" t="n"/>
    </row>
    <row r="100">
      <c r="A100" s="15" t="n"/>
      <c r="B100" s="15" t="n"/>
      <c r="C100" s="15" t="n"/>
      <c r="D100" s="15" t="n"/>
      <c r="E100" s="15" t="n"/>
      <c r="F100" s="16">
        <f>IF(A100="","",IF(D100="Sim","Não – conflito",IF(B100="Comitê de Método","Sim","Não – fora do Comitê")))</f>
        <v/>
      </c>
      <c r="G100" s="18" t="n"/>
      <c r="H100" s="18" t="n"/>
      <c r="I100" s="16">
        <f>IF(A100="","",IF(H100="","Sim","Não"))</f>
        <v/>
      </c>
      <c r="J100" s="15" t="n"/>
    </row>
    <row r="101">
      <c r="A101" s="15" t="n"/>
      <c r="B101" s="15" t="n"/>
      <c r="C101" s="15" t="n"/>
      <c r="D101" s="15" t="n"/>
      <c r="E101" s="15" t="n"/>
      <c r="F101" s="16">
        <f>IF(A101="","",IF(D101="Sim","Não – conflito",IF(B101="Comitê de Método","Sim","Não – fora do Comitê")))</f>
        <v/>
      </c>
      <c r="G101" s="18" t="n"/>
      <c r="H101" s="18" t="n"/>
      <c r="I101" s="16">
        <f>IF(A101="","",IF(H101="","Sim","Não"))</f>
        <v/>
      </c>
      <c r="J101" s="15" t="n"/>
    </row>
    <row r="102">
      <c r="A102" s="15" t="n"/>
      <c r="B102" s="15" t="n"/>
      <c r="C102" s="15" t="n"/>
      <c r="D102" s="15" t="n"/>
      <c r="E102" s="15" t="n"/>
      <c r="F102" s="16">
        <f>IF(A102="","",IF(D102="Sim","Não – conflito",IF(B102="Comitê de Método","Sim","Não – fora do Comitê")))</f>
        <v/>
      </c>
      <c r="G102" s="18" t="n"/>
      <c r="H102" s="18" t="n"/>
      <c r="I102" s="16">
        <f>IF(A102="","",IF(H102="","Sim","Não"))</f>
        <v/>
      </c>
      <c r="J102" s="15" t="n"/>
    </row>
    <row r="103">
      <c r="A103" s="15" t="n"/>
      <c r="B103" s="15" t="n"/>
      <c r="C103" s="15" t="n"/>
      <c r="D103" s="15" t="n"/>
      <c r="E103" s="15" t="n"/>
      <c r="F103" s="16">
        <f>IF(A103="","",IF(D103="Sim","Não – conflito",IF(B103="Comitê de Método","Sim","Não – fora do Comitê")))</f>
        <v/>
      </c>
      <c r="G103" s="18" t="n"/>
      <c r="H103" s="18" t="n"/>
      <c r="I103" s="16">
        <f>IF(A103="","",IF(H103="","Sim","Não"))</f>
        <v/>
      </c>
      <c r="J103" s="15" t="n"/>
    </row>
    <row r="104">
      <c r="A104" s="15" t="n"/>
      <c r="B104" s="15" t="n"/>
      <c r="C104" s="15" t="n"/>
      <c r="D104" s="15" t="n"/>
      <c r="E104" s="15" t="n"/>
      <c r="F104" s="16">
        <f>IF(A104="","",IF(D104="Sim","Não – conflito",IF(B104="Comitê de Método","Sim","Não – fora do Comitê")))</f>
        <v/>
      </c>
      <c r="G104" s="18" t="n"/>
      <c r="H104" s="18" t="n"/>
      <c r="I104" s="16">
        <f>IF(A104="","",IF(H104="","Sim","Não"))</f>
        <v/>
      </c>
      <c r="J104" s="15" t="n"/>
    </row>
    <row r="105">
      <c r="A105" s="15" t="n"/>
      <c r="B105" s="15" t="n"/>
      <c r="C105" s="15" t="n"/>
      <c r="D105" s="15" t="n"/>
      <c r="E105" s="15" t="n"/>
      <c r="F105" s="16">
        <f>IF(A105="","",IF(D105="Sim","Não – conflito",IF(B105="Comitê de Método","Sim","Não – fora do Comitê")))</f>
        <v/>
      </c>
      <c r="G105" s="18" t="n"/>
      <c r="H105" s="18" t="n"/>
      <c r="I105" s="16">
        <f>IF(A105="","",IF(H105="","Sim","Não"))</f>
        <v/>
      </c>
      <c r="J105" s="15" t="n"/>
    </row>
    <row r="106">
      <c r="A106" s="15" t="n"/>
      <c r="B106" s="15" t="n"/>
      <c r="C106" s="15" t="n"/>
      <c r="D106" s="15" t="n"/>
      <c r="E106" s="15" t="n"/>
      <c r="F106" s="16">
        <f>IF(A106="","",IF(D106="Sim","Não – conflito",IF(B106="Comitê de Método","Sim","Não – fora do Comitê")))</f>
        <v/>
      </c>
      <c r="G106" s="18" t="n"/>
      <c r="H106" s="18" t="n"/>
      <c r="I106" s="16">
        <f>IF(A106="","",IF(H106="","Sim","Não"))</f>
        <v/>
      </c>
      <c r="J106" s="15" t="n"/>
    </row>
    <row r="107">
      <c r="A107" s="15" t="n"/>
      <c r="B107" s="15" t="n"/>
      <c r="C107" s="15" t="n"/>
      <c r="D107" s="15" t="n"/>
      <c r="E107" s="15" t="n"/>
      <c r="F107" s="16">
        <f>IF(A107="","",IF(D107="Sim","Não – conflito",IF(B107="Comitê de Método","Sim","Não – fora do Comitê")))</f>
        <v/>
      </c>
      <c r="G107" s="18" t="n"/>
      <c r="H107" s="18" t="n"/>
      <c r="I107" s="16">
        <f>IF(A107="","",IF(H107="","Sim","Não"))</f>
        <v/>
      </c>
      <c r="J107" s="15" t="n"/>
    </row>
    <row r="108">
      <c r="A108" s="15" t="n"/>
      <c r="B108" s="15" t="n"/>
      <c r="C108" s="15" t="n"/>
      <c r="D108" s="15" t="n"/>
      <c r="E108" s="15" t="n"/>
      <c r="F108" s="16">
        <f>IF(A108="","",IF(D108="Sim","Não – conflito",IF(B108="Comitê de Método","Sim","Não – fora do Comitê")))</f>
        <v/>
      </c>
      <c r="G108" s="18" t="n"/>
      <c r="H108" s="18" t="n"/>
      <c r="I108" s="16">
        <f>IF(A108="","",IF(H108="","Sim","Não"))</f>
        <v/>
      </c>
      <c r="J108" s="15" t="n"/>
    </row>
    <row r="109">
      <c r="A109" s="15" t="n"/>
      <c r="B109" s="15" t="n"/>
      <c r="C109" s="15" t="n"/>
      <c r="D109" s="15" t="n"/>
      <c r="E109" s="15" t="n"/>
      <c r="F109" s="16">
        <f>IF(A109="","",IF(D109="Sim","Não – conflito",IF(B109="Comitê de Método","Sim","Não – fora do Comitê")))</f>
        <v/>
      </c>
      <c r="G109" s="18" t="n"/>
      <c r="H109" s="18" t="n"/>
      <c r="I109" s="16">
        <f>IF(A109="","",IF(H109="","Sim","Não"))</f>
        <v/>
      </c>
      <c r="J109" s="15" t="n"/>
    </row>
    <row r="110">
      <c r="A110" s="15" t="n"/>
      <c r="B110" s="15" t="n"/>
      <c r="C110" s="15" t="n"/>
      <c r="D110" s="15" t="n"/>
      <c r="E110" s="15" t="n"/>
      <c r="F110" s="16">
        <f>IF(A110="","",IF(D110="Sim","Não – conflito",IF(B110="Comitê de Método","Sim","Não – fora do Comitê")))</f>
        <v/>
      </c>
      <c r="G110" s="18" t="n"/>
      <c r="H110" s="18" t="n"/>
      <c r="I110" s="16">
        <f>IF(A110="","",IF(H110="","Sim","Não"))</f>
        <v/>
      </c>
      <c r="J110" s="15" t="n"/>
    </row>
    <row r="111">
      <c r="A111" s="15" t="n"/>
      <c r="B111" s="15" t="n"/>
      <c r="C111" s="15" t="n"/>
      <c r="D111" s="15" t="n"/>
      <c r="E111" s="15" t="n"/>
      <c r="F111" s="16">
        <f>IF(A111="","",IF(D111="Sim","Não – conflito",IF(B111="Comitê de Método","Sim","Não – fora do Comitê")))</f>
        <v/>
      </c>
      <c r="G111" s="18" t="n"/>
      <c r="H111" s="18" t="n"/>
      <c r="I111" s="16">
        <f>IF(A111="","",IF(H111="","Sim","Não"))</f>
        <v/>
      </c>
      <c r="J111" s="15" t="n"/>
    </row>
    <row r="112">
      <c r="A112" s="15" t="n"/>
      <c r="B112" s="15" t="n"/>
      <c r="C112" s="15" t="n"/>
      <c r="D112" s="15" t="n"/>
      <c r="E112" s="15" t="n"/>
      <c r="F112" s="16">
        <f>IF(A112="","",IF(D112="Sim","Não – conflito",IF(B112="Comitê de Método","Sim","Não – fora do Comitê")))</f>
        <v/>
      </c>
      <c r="G112" s="18" t="n"/>
      <c r="H112" s="18" t="n"/>
      <c r="I112" s="16">
        <f>IF(A112="","",IF(H112="","Sim","Não"))</f>
        <v/>
      </c>
      <c r="J112" s="15" t="n"/>
    </row>
    <row r="113">
      <c r="A113" s="15" t="n"/>
      <c r="B113" s="15" t="n"/>
      <c r="C113" s="15" t="n"/>
      <c r="D113" s="15" t="n"/>
      <c r="E113" s="15" t="n"/>
      <c r="F113" s="16">
        <f>IF(A113="","",IF(D113="Sim","Não – conflito",IF(B113="Comitê de Método","Sim","Não – fora do Comitê")))</f>
        <v/>
      </c>
      <c r="G113" s="18" t="n"/>
      <c r="H113" s="18" t="n"/>
      <c r="I113" s="16">
        <f>IF(A113="","",IF(H113="","Sim","Não"))</f>
        <v/>
      </c>
      <c r="J113" s="15" t="n"/>
    </row>
    <row r="114">
      <c r="A114" s="15" t="n"/>
      <c r="B114" s="15" t="n"/>
      <c r="C114" s="15" t="n"/>
      <c r="D114" s="15" t="n"/>
      <c r="E114" s="15" t="n"/>
      <c r="F114" s="16">
        <f>IF(A114="","",IF(D114="Sim","Não – conflito",IF(B114="Comitê de Método","Sim","Não – fora do Comitê")))</f>
        <v/>
      </c>
      <c r="G114" s="18" t="n"/>
      <c r="H114" s="18" t="n"/>
      <c r="I114" s="16">
        <f>IF(A114="","",IF(H114="","Sim","Não"))</f>
        <v/>
      </c>
      <c r="J114" s="15" t="n"/>
    </row>
    <row r="115">
      <c r="A115" s="15" t="n"/>
      <c r="B115" s="15" t="n"/>
      <c r="C115" s="15" t="n"/>
      <c r="D115" s="15" t="n"/>
      <c r="E115" s="15" t="n"/>
      <c r="F115" s="16">
        <f>IF(A115="","",IF(D115="Sim","Não – conflito",IF(B115="Comitê de Método","Sim","Não – fora do Comitê")))</f>
        <v/>
      </c>
      <c r="G115" s="18" t="n"/>
      <c r="H115" s="18" t="n"/>
      <c r="I115" s="16">
        <f>IF(A115="","",IF(H115="","Sim","Não"))</f>
        <v/>
      </c>
      <c r="J115" s="15" t="n"/>
    </row>
    <row r="116">
      <c r="A116" s="15" t="n"/>
      <c r="B116" s="15" t="n"/>
      <c r="C116" s="15" t="n"/>
      <c r="D116" s="15" t="n"/>
      <c r="E116" s="15" t="n"/>
      <c r="F116" s="16">
        <f>IF(A116="","",IF(D116="Sim","Não – conflito",IF(B116="Comitê de Método","Sim","Não – fora do Comitê")))</f>
        <v/>
      </c>
      <c r="G116" s="18" t="n"/>
      <c r="H116" s="18" t="n"/>
      <c r="I116" s="16">
        <f>IF(A116="","",IF(H116="","Sim","Não"))</f>
        <v/>
      </c>
      <c r="J116" s="15" t="n"/>
    </row>
    <row r="117">
      <c r="A117" s="15" t="n"/>
      <c r="B117" s="15" t="n"/>
      <c r="C117" s="15" t="n"/>
      <c r="D117" s="15" t="n"/>
      <c r="E117" s="15" t="n"/>
      <c r="F117" s="16">
        <f>IF(A117="","",IF(D117="Sim","Não – conflito",IF(B117="Comitê de Método","Sim","Não – fora do Comitê")))</f>
        <v/>
      </c>
      <c r="G117" s="18" t="n"/>
      <c r="H117" s="18" t="n"/>
      <c r="I117" s="16">
        <f>IF(A117="","",IF(H117="","Sim","Não"))</f>
        <v/>
      </c>
      <c r="J117" s="15" t="n"/>
    </row>
    <row r="118">
      <c r="A118" s="15" t="n"/>
      <c r="B118" s="15" t="n"/>
      <c r="C118" s="15" t="n"/>
      <c r="D118" s="15" t="n"/>
      <c r="E118" s="15" t="n"/>
      <c r="F118" s="16">
        <f>IF(A118="","",IF(D118="Sim","Não – conflito",IF(B118="Comitê de Método","Sim","Não – fora do Comitê")))</f>
        <v/>
      </c>
      <c r="G118" s="18" t="n"/>
      <c r="H118" s="18" t="n"/>
      <c r="I118" s="16">
        <f>IF(A118="","",IF(H118="","Sim","Não"))</f>
        <v/>
      </c>
      <c r="J118" s="15" t="n"/>
    </row>
    <row r="119">
      <c r="A119" s="15" t="n"/>
      <c r="B119" s="15" t="n"/>
      <c r="C119" s="15" t="n"/>
      <c r="D119" s="15" t="n"/>
      <c r="E119" s="15" t="n"/>
      <c r="F119" s="16">
        <f>IF(A119="","",IF(D119="Sim","Não – conflito",IF(B119="Comitê de Método","Sim","Não – fora do Comitê")))</f>
        <v/>
      </c>
      <c r="G119" s="18" t="n"/>
      <c r="H119" s="18" t="n"/>
      <c r="I119" s="16">
        <f>IF(A119="","",IF(H119="","Sim","Não"))</f>
        <v/>
      </c>
      <c r="J119" s="15" t="n"/>
    </row>
    <row r="120">
      <c r="A120" s="15" t="n"/>
      <c r="B120" s="15" t="n"/>
      <c r="C120" s="15" t="n"/>
      <c r="D120" s="15" t="n"/>
      <c r="E120" s="15" t="n"/>
      <c r="F120" s="16">
        <f>IF(A120="","",IF(D120="Sim","Não – conflito",IF(B120="Comitê de Método","Sim","Não – fora do Comitê")))</f>
        <v/>
      </c>
      <c r="G120" s="18" t="n"/>
      <c r="H120" s="18" t="n"/>
      <c r="I120" s="16">
        <f>IF(A120="","",IF(H120="","Sim","Não"))</f>
        <v/>
      </c>
      <c r="J120" s="15" t="n"/>
    </row>
    <row r="121">
      <c r="A121" s="15" t="n"/>
      <c r="B121" s="15" t="n"/>
      <c r="C121" s="15" t="n"/>
      <c r="D121" s="15" t="n"/>
      <c r="E121" s="15" t="n"/>
      <c r="F121" s="16">
        <f>IF(A121="","",IF(D121="Sim","Não – conflito",IF(B121="Comitê de Método","Sim","Não – fora do Comitê")))</f>
        <v/>
      </c>
      <c r="G121" s="18" t="n"/>
      <c r="H121" s="18" t="n"/>
      <c r="I121" s="16">
        <f>IF(A121="","",IF(H121="","Sim","Não"))</f>
        <v/>
      </c>
      <c r="J121" s="15" t="n"/>
    </row>
    <row r="122">
      <c r="A122" s="15" t="n"/>
      <c r="B122" s="15" t="n"/>
      <c r="C122" s="15" t="n"/>
      <c r="D122" s="15" t="n"/>
      <c r="E122" s="15" t="n"/>
      <c r="F122" s="16">
        <f>IF(A122="","",IF(D122="Sim","Não – conflito",IF(B122="Comitê de Método","Sim","Não – fora do Comitê")))</f>
        <v/>
      </c>
      <c r="G122" s="18" t="n"/>
      <c r="H122" s="18" t="n"/>
      <c r="I122" s="16">
        <f>IF(A122="","",IF(H122="","Sim","Não"))</f>
        <v/>
      </c>
      <c r="J122" s="15" t="n"/>
    </row>
    <row r="123">
      <c r="A123" s="15" t="n"/>
      <c r="B123" s="15" t="n"/>
      <c r="C123" s="15" t="n"/>
      <c r="D123" s="15" t="n"/>
      <c r="E123" s="15" t="n"/>
      <c r="F123" s="16">
        <f>IF(A123="","",IF(D123="Sim","Não – conflito",IF(B123="Comitê de Método","Sim","Não – fora do Comitê")))</f>
        <v/>
      </c>
      <c r="G123" s="18" t="n"/>
      <c r="H123" s="18" t="n"/>
      <c r="I123" s="16">
        <f>IF(A123="","",IF(H123="","Sim","Não"))</f>
        <v/>
      </c>
      <c r="J123" s="15" t="n"/>
    </row>
    <row r="124">
      <c r="A124" s="15" t="n"/>
      <c r="B124" s="15" t="n"/>
      <c r="C124" s="15" t="n"/>
      <c r="D124" s="15" t="n"/>
      <c r="E124" s="15" t="n"/>
      <c r="F124" s="16">
        <f>IF(A124="","",IF(D124="Sim","Não – conflito",IF(B124="Comitê de Método","Sim","Não – fora do Comitê")))</f>
        <v/>
      </c>
      <c r="G124" s="18" t="n"/>
      <c r="H124" s="18" t="n"/>
      <c r="I124" s="16">
        <f>IF(A124="","",IF(H124="","Sim","Não"))</f>
        <v/>
      </c>
      <c r="J124" s="15" t="n"/>
    </row>
    <row r="125">
      <c r="A125" s="15" t="n"/>
      <c r="B125" s="15" t="n"/>
      <c r="C125" s="15" t="n"/>
      <c r="D125" s="15" t="n"/>
      <c r="E125" s="15" t="n"/>
      <c r="F125" s="16">
        <f>IF(A125="","",IF(D125="Sim","Não – conflito",IF(B125="Comitê de Método","Sim","Não – fora do Comitê")))</f>
        <v/>
      </c>
      <c r="G125" s="18" t="n"/>
      <c r="H125" s="18" t="n"/>
      <c r="I125" s="16">
        <f>IF(A125="","",IF(H125="","Sim","Não"))</f>
        <v/>
      </c>
      <c r="J125" s="15" t="n"/>
    </row>
    <row r="126">
      <c r="A126" s="15" t="n"/>
      <c r="B126" s="15" t="n"/>
      <c r="C126" s="15" t="n"/>
      <c r="D126" s="15" t="n"/>
      <c r="E126" s="15" t="n"/>
      <c r="F126" s="16">
        <f>IF(A126="","",IF(D126="Sim","Não – conflito",IF(B126="Comitê de Método","Sim","Não – fora do Comitê")))</f>
        <v/>
      </c>
      <c r="G126" s="18" t="n"/>
      <c r="H126" s="18" t="n"/>
      <c r="I126" s="16">
        <f>IF(A126="","",IF(H126="","Sim","Não"))</f>
        <v/>
      </c>
      <c r="J126" s="15" t="n"/>
    </row>
    <row r="127">
      <c r="A127" s="15" t="n"/>
      <c r="B127" s="15" t="n"/>
      <c r="C127" s="15" t="n"/>
      <c r="D127" s="15" t="n"/>
      <c r="E127" s="15" t="n"/>
      <c r="F127" s="16">
        <f>IF(A127="","",IF(D127="Sim","Não – conflito",IF(B127="Comitê de Método","Sim","Não – fora do Comitê")))</f>
        <v/>
      </c>
      <c r="G127" s="18" t="n"/>
      <c r="H127" s="18" t="n"/>
      <c r="I127" s="16">
        <f>IF(A127="","",IF(H127="","Sim","Não"))</f>
        <v/>
      </c>
      <c r="J127" s="15" t="n"/>
    </row>
    <row r="128">
      <c r="A128" s="15" t="n"/>
      <c r="B128" s="15" t="n"/>
      <c r="C128" s="15" t="n"/>
      <c r="D128" s="15" t="n"/>
      <c r="E128" s="15" t="n"/>
      <c r="F128" s="16">
        <f>IF(A128="","",IF(D128="Sim","Não – conflito",IF(B128="Comitê de Método","Sim","Não – fora do Comitê")))</f>
        <v/>
      </c>
      <c r="G128" s="18" t="n"/>
      <c r="H128" s="18" t="n"/>
      <c r="I128" s="16">
        <f>IF(A128="","",IF(H128="","Sim","Não"))</f>
        <v/>
      </c>
      <c r="J128" s="15" t="n"/>
    </row>
    <row r="129">
      <c r="A129" s="15" t="n"/>
      <c r="B129" s="15" t="n"/>
      <c r="C129" s="15" t="n"/>
      <c r="D129" s="15" t="n"/>
      <c r="E129" s="15" t="n"/>
      <c r="F129" s="16">
        <f>IF(A129="","",IF(D129="Sim","Não – conflito",IF(B129="Comitê de Método","Sim","Não – fora do Comitê")))</f>
        <v/>
      </c>
      <c r="G129" s="18" t="n"/>
      <c r="H129" s="18" t="n"/>
      <c r="I129" s="16">
        <f>IF(A129="","",IF(H129="","Sim","Não"))</f>
        <v/>
      </c>
      <c r="J129" s="15" t="n"/>
    </row>
    <row r="130">
      <c r="A130" s="15" t="n"/>
      <c r="B130" s="15" t="n"/>
      <c r="C130" s="15" t="n"/>
      <c r="D130" s="15" t="n"/>
      <c r="E130" s="15" t="n"/>
      <c r="F130" s="16">
        <f>IF(A130="","",IF(D130="Sim","Não – conflito",IF(B130="Comitê de Método","Sim","Não – fora do Comitê")))</f>
        <v/>
      </c>
      <c r="G130" s="18" t="n"/>
      <c r="H130" s="18" t="n"/>
      <c r="I130" s="16">
        <f>IF(A130="","",IF(H130="","Sim","Não"))</f>
        <v/>
      </c>
      <c r="J130" s="15" t="n"/>
    </row>
    <row r="131">
      <c r="A131" s="15" t="n"/>
      <c r="B131" s="15" t="n"/>
      <c r="C131" s="15" t="n"/>
      <c r="D131" s="15" t="n"/>
      <c r="E131" s="15" t="n"/>
      <c r="F131" s="16">
        <f>IF(A131="","",IF(D131="Sim","Não – conflito",IF(B131="Comitê de Método","Sim","Não – fora do Comitê")))</f>
        <v/>
      </c>
      <c r="G131" s="18" t="n"/>
      <c r="H131" s="18" t="n"/>
      <c r="I131" s="16">
        <f>IF(A131="","",IF(H131="","Sim","Não"))</f>
        <v/>
      </c>
      <c r="J131" s="15" t="n"/>
    </row>
    <row r="132">
      <c r="A132" s="15" t="n"/>
      <c r="B132" s="15" t="n"/>
      <c r="C132" s="15" t="n"/>
      <c r="D132" s="15" t="n"/>
      <c r="E132" s="15" t="n"/>
      <c r="F132" s="16">
        <f>IF(A132="","",IF(D132="Sim","Não – conflito",IF(B132="Comitê de Método","Sim","Não – fora do Comitê")))</f>
        <v/>
      </c>
      <c r="G132" s="18" t="n"/>
      <c r="H132" s="18" t="n"/>
      <c r="I132" s="16">
        <f>IF(A132="","",IF(H132="","Sim","Não"))</f>
        <v/>
      </c>
      <c r="J132" s="15" t="n"/>
    </row>
    <row r="133">
      <c r="A133" s="15" t="n"/>
      <c r="B133" s="15" t="n"/>
      <c r="C133" s="15" t="n"/>
      <c r="D133" s="15" t="n"/>
      <c r="E133" s="15" t="n"/>
      <c r="F133" s="16">
        <f>IF(A133="","",IF(D133="Sim","Não – conflito",IF(B133="Comitê de Método","Sim","Não – fora do Comitê")))</f>
        <v/>
      </c>
      <c r="G133" s="18" t="n"/>
      <c r="H133" s="18" t="n"/>
      <c r="I133" s="16">
        <f>IF(A133="","",IF(H133="","Sim","Não"))</f>
        <v/>
      </c>
      <c r="J133" s="15" t="n"/>
    </row>
    <row r="134">
      <c r="A134" s="15" t="n"/>
      <c r="B134" s="15" t="n"/>
      <c r="C134" s="15" t="n"/>
      <c r="D134" s="15" t="n"/>
      <c r="E134" s="15" t="n"/>
      <c r="F134" s="16">
        <f>IF(A134="","",IF(D134="Sim","Não – conflito",IF(B134="Comitê de Método","Sim","Não – fora do Comitê")))</f>
        <v/>
      </c>
      <c r="G134" s="18" t="n"/>
      <c r="H134" s="18" t="n"/>
      <c r="I134" s="16">
        <f>IF(A134="","",IF(H134="","Sim","Não"))</f>
        <v/>
      </c>
      <c r="J134" s="15" t="n"/>
    </row>
    <row r="135">
      <c r="A135" s="15" t="n"/>
      <c r="B135" s="15" t="n"/>
      <c r="C135" s="15" t="n"/>
      <c r="D135" s="15" t="n"/>
      <c r="E135" s="15" t="n"/>
      <c r="F135" s="16">
        <f>IF(A135="","",IF(D135="Sim","Não – conflito",IF(B135="Comitê de Método","Sim","Não – fora do Comitê")))</f>
        <v/>
      </c>
      <c r="G135" s="18" t="n"/>
      <c r="H135" s="18" t="n"/>
      <c r="I135" s="16">
        <f>IF(A135="","",IF(H135="","Sim","Não"))</f>
        <v/>
      </c>
      <c r="J135" s="15" t="n"/>
    </row>
    <row r="136">
      <c r="A136" s="15" t="n"/>
      <c r="B136" s="15" t="n"/>
      <c r="C136" s="15" t="n"/>
      <c r="D136" s="15" t="n"/>
      <c r="E136" s="15" t="n"/>
      <c r="F136" s="16">
        <f>IF(A136="","",IF(D136="Sim","Não – conflito",IF(B136="Comitê de Método","Sim","Não – fora do Comitê")))</f>
        <v/>
      </c>
      <c r="G136" s="18" t="n"/>
      <c r="H136" s="18" t="n"/>
      <c r="I136" s="16">
        <f>IF(A136="","",IF(H136="","Sim","Não"))</f>
        <v/>
      </c>
      <c r="J136" s="15" t="n"/>
    </row>
    <row r="137">
      <c r="A137" s="15" t="n"/>
      <c r="B137" s="15" t="n"/>
      <c r="C137" s="15" t="n"/>
      <c r="D137" s="15" t="n"/>
      <c r="E137" s="15" t="n"/>
      <c r="F137" s="16">
        <f>IF(A137="","",IF(D137="Sim","Não – conflito",IF(B137="Comitê de Método","Sim","Não – fora do Comitê")))</f>
        <v/>
      </c>
      <c r="G137" s="18" t="n"/>
      <c r="H137" s="18" t="n"/>
      <c r="I137" s="16">
        <f>IF(A137="","",IF(H137="","Sim","Não"))</f>
        <v/>
      </c>
      <c r="J137" s="15" t="n"/>
    </row>
    <row r="138">
      <c r="A138" s="15" t="n"/>
      <c r="B138" s="15" t="n"/>
      <c r="C138" s="15" t="n"/>
      <c r="D138" s="15" t="n"/>
      <c r="E138" s="15" t="n"/>
      <c r="F138" s="16">
        <f>IF(A138="","",IF(D138="Sim","Não – conflito",IF(B138="Comitê de Método","Sim","Não – fora do Comitê")))</f>
        <v/>
      </c>
      <c r="G138" s="18" t="n"/>
      <c r="H138" s="18" t="n"/>
      <c r="I138" s="16">
        <f>IF(A138="","",IF(H138="","Sim","Não"))</f>
        <v/>
      </c>
      <c r="J138" s="15" t="n"/>
    </row>
    <row r="139">
      <c r="A139" s="15" t="n"/>
      <c r="B139" s="15" t="n"/>
      <c r="C139" s="15" t="n"/>
      <c r="D139" s="15" t="n"/>
      <c r="E139" s="15" t="n"/>
      <c r="F139" s="16">
        <f>IF(A139="","",IF(D139="Sim","Não – conflito",IF(B139="Comitê de Método","Sim","Não – fora do Comitê")))</f>
        <v/>
      </c>
      <c r="G139" s="18" t="n"/>
      <c r="H139" s="18" t="n"/>
      <c r="I139" s="16">
        <f>IF(A139="","",IF(H139="","Sim","Não"))</f>
        <v/>
      </c>
      <c r="J139" s="15" t="n"/>
    </row>
    <row r="140">
      <c r="A140" s="15" t="n"/>
      <c r="B140" s="15" t="n"/>
      <c r="C140" s="15" t="n"/>
      <c r="D140" s="15" t="n"/>
      <c r="E140" s="15" t="n"/>
      <c r="F140" s="16">
        <f>IF(A140="","",IF(D140="Sim","Não – conflito",IF(B140="Comitê de Método","Sim","Não – fora do Comitê")))</f>
        <v/>
      </c>
      <c r="G140" s="18" t="n"/>
      <c r="H140" s="18" t="n"/>
      <c r="I140" s="16">
        <f>IF(A140="","",IF(H140="","Sim","Não"))</f>
        <v/>
      </c>
      <c r="J140" s="15" t="n"/>
    </row>
    <row r="141">
      <c r="A141" s="15" t="n"/>
      <c r="B141" s="15" t="n"/>
      <c r="C141" s="15" t="n"/>
      <c r="D141" s="15" t="n"/>
      <c r="E141" s="15" t="n"/>
      <c r="F141" s="16">
        <f>IF(A141="","",IF(D141="Sim","Não – conflito",IF(B141="Comitê de Método","Sim","Não – fora do Comitê")))</f>
        <v/>
      </c>
      <c r="G141" s="18" t="n"/>
      <c r="H141" s="18" t="n"/>
      <c r="I141" s="16">
        <f>IF(A141="","",IF(H141="","Sim","Não"))</f>
        <v/>
      </c>
      <c r="J141" s="15" t="n"/>
    </row>
    <row r="142">
      <c r="A142" s="15" t="n"/>
      <c r="B142" s="15" t="n"/>
      <c r="C142" s="15" t="n"/>
      <c r="D142" s="15" t="n"/>
      <c r="E142" s="15" t="n"/>
      <c r="F142" s="16">
        <f>IF(A142="","",IF(D142="Sim","Não – conflito",IF(B142="Comitê de Método","Sim","Não – fora do Comitê")))</f>
        <v/>
      </c>
      <c r="G142" s="18" t="n"/>
      <c r="H142" s="18" t="n"/>
      <c r="I142" s="16">
        <f>IF(A142="","",IF(H142="","Sim","Não"))</f>
        <v/>
      </c>
      <c r="J142" s="15" t="n"/>
    </row>
    <row r="143">
      <c r="A143" s="15" t="n"/>
      <c r="B143" s="15" t="n"/>
      <c r="C143" s="15" t="n"/>
      <c r="D143" s="15" t="n"/>
      <c r="E143" s="15" t="n"/>
      <c r="F143" s="16">
        <f>IF(A143="","",IF(D143="Sim","Não – conflito",IF(B143="Comitê de Método","Sim","Não – fora do Comitê")))</f>
        <v/>
      </c>
      <c r="G143" s="18" t="n"/>
      <c r="H143" s="18" t="n"/>
      <c r="I143" s="16">
        <f>IF(A143="","",IF(H143="","Sim","Não"))</f>
        <v/>
      </c>
      <c r="J143" s="15" t="n"/>
    </row>
    <row r="144">
      <c r="A144" s="15" t="n"/>
      <c r="B144" s="15" t="n"/>
      <c r="C144" s="15" t="n"/>
      <c r="D144" s="15" t="n"/>
      <c r="E144" s="15" t="n"/>
      <c r="F144" s="16">
        <f>IF(A144="","",IF(D144="Sim","Não – conflito",IF(B144="Comitê de Método","Sim","Não – fora do Comitê")))</f>
        <v/>
      </c>
      <c r="G144" s="18" t="n"/>
      <c r="H144" s="18" t="n"/>
      <c r="I144" s="16">
        <f>IF(A144="","",IF(H144="","Sim","Não"))</f>
        <v/>
      </c>
      <c r="J144" s="15" t="n"/>
    </row>
    <row r="145">
      <c r="A145" s="15" t="n"/>
      <c r="B145" s="15" t="n"/>
      <c r="C145" s="15" t="n"/>
      <c r="D145" s="15" t="n"/>
      <c r="E145" s="15" t="n"/>
      <c r="F145" s="16">
        <f>IF(A145="","",IF(D145="Sim","Não – conflito",IF(B145="Comitê de Método","Sim","Não – fora do Comitê")))</f>
        <v/>
      </c>
      <c r="G145" s="18" t="n"/>
      <c r="H145" s="18" t="n"/>
      <c r="I145" s="16">
        <f>IF(A145="","",IF(H145="","Sim","Não"))</f>
        <v/>
      </c>
      <c r="J145" s="15" t="n"/>
    </row>
    <row r="146">
      <c r="A146" s="15" t="n"/>
      <c r="B146" s="15" t="n"/>
      <c r="C146" s="15" t="n"/>
      <c r="D146" s="15" t="n"/>
      <c r="E146" s="15" t="n"/>
      <c r="F146" s="16">
        <f>IF(A146="","",IF(D146="Sim","Não – conflito",IF(B146="Comitê de Método","Sim","Não – fora do Comitê")))</f>
        <v/>
      </c>
      <c r="G146" s="18" t="n"/>
      <c r="H146" s="18" t="n"/>
      <c r="I146" s="16">
        <f>IF(A146="","",IF(H146="","Sim","Não"))</f>
        <v/>
      </c>
      <c r="J146" s="15" t="n"/>
    </row>
    <row r="147">
      <c r="A147" s="15" t="n"/>
      <c r="B147" s="15" t="n"/>
      <c r="C147" s="15" t="n"/>
      <c r="D147" s="15" t="n"/>
      <c r="E147" s="15" t="n"/>
      <c r="F147" s="16">
        <f>IF(A147="","",IF(D147="Sim","Não – conflito",IF(B147="Comitê de Método","Sim","Não – fora do Comitê")))</f>
        <v/>
      </c>
      <c r="G147" s="18" t="n"/>
      <c r="H147" s="18" t="n"/>
      <c r="I147" s="16">
        <f>IF(A147="","",IF(H147="","Sim","Não"))</f>
        <v/>
      </c>
      <c r="J147" s="15" t="n"/>
    </row>
    <row r="148">
      <c r="A148" s="15" t="n"/>
      <c r="B148" s="15" t="n"/>
      <c r="C148" s="15" t="n"/>
      <c r="D148" s="15" t="n"/>
      <c r="E148" s="15" t="n"/>
      <c r="F148" s="16">
        <f>IF(A148="","",IF(D148="Sim","Não – conflito",IF(B148="Comitê de Método","Sim","Não – fora do Comitê")))</f>
        <v/>
      </c>
      <c r="G148" s="18" t="n"/>
      <c r="H148" s="18" t="n"/>
      <c r="I148" s="16">
        <f>IF(A148="","",IF(H148="","Sim","Não"))</f>
        <v/>
      </c>
      <c r="J148" s="15" t="n"/>
    </row>
    <row r="149">
      <c r="A149" s="15" t="n"/>
      <c r="B149" s="15" t="n"/>
      <c r="C149" s="15" t="n"/>
      <c r="D149" s="15" t="n"/>
      <c r="E149" s="15" t="n"/>
      <c r="F149" s="16">
        <f>IF(A149="","",IF(D149="Sim","Não – conflito",IF(B149="Comitê de Método","Sim","Não – fora do Comitê")))</f>
        <v/>
      </c>
      <c r="G149" s="18" t="n"/>
      <c r="H149" s="18" t="n"/>
      <c r="I149" s="16">
        <f>IF(A149="","",IF(H149="","Sim","Não"))</f>
        <v/>
      </c>
      <c r="J149" s="15" t="n"/>
    </row>
    <row r="150">
      <c r="A150" s="15" t="n"/>
      <c r="B150" s="15" t="n"/>
      <c r="C150" s="15" t="n"/>
      <c r="D150" s="15" t="n"/>
      <c r="E150" s="15" t="n"/>
      <c r="F150" s="16">
        <f>IF(A150="","",IF(D150="Sim","Não – conflito",IF(B150="Comitê de Método","Sim","Não – fora do Comitê")))</f>
        <v/>
      </c>
      <c r="G150" s="18" t="n"/>
      <c r="H150" s="18" t="n"/>
      <c r="I150" s="16">
        <f>IF(A150="","",IF(H150="","Sim","Não"))</f>
        <v/>
      </c>
      <c r="J150" s="15" t="n"/>
    </row>
    <row r="151">
      <c r="A151" s="15" t="n"/>
      <c r="B151" s="15" t="n"/>
      <c r="C151" s="15" t="n"/>
      <c r="D151" s="15" t="n"/>
      <c r="E151" s="15" t="n"/>
      <c r="F151" s="16">
        <f>IF(A151="","",IF(D151="Sim","Não – conflito",IF(B151="Comitê de Método","Sim","Não – fora do Comitê")))</f>
        <v/>
      </c>
      <c r="G151" s="18" t="n"/>
      <c r="H151" s="18" t="n"/>
      <c r="I151" s="16">
        <f>IF(A151="","",IF(H151="","Sim","Não"))</f>
        <v/>
      </c>
      <c r="J151" s="15" t="n"/>
    </row>
    <row r="152">
      <c r="A152" s="15" t="n"/>
      <c r="B152" s="15" t="n"/>
      <c r="C152" s="15" t="n"/>
      <c r="D152" s="15" t="n"/>
      <c r="E152" s="15" t="n"/>
      <c r="F152" s="16">
        <f>IF(A152="","",IF(D152="Sim","Não – conflito",IF(B152="Comitê de Método","Sim","Não – fora do Comitê")))</f>
        <v/>
      </c>
      <c r="G152" s="18" t="n"/>
      <c r="H152" s="18" t="n"/>
      <c r="I152" s="16">
        <f>IF(A152="","",IF(H152="","Sim","Não"))</f>
        <v/>
      </c>
      <c r="J152" s="15" t="n"/>
    </row>
    <row r="153">
      <c r="A153" s="15" t="n"/>
      <c r="B153" s="15" t="n"/>
      <c r="C153" s="15" t="n"/>
      <c r="D153" s="15" t="n"/>
      <c r="E153" s="15" t="n"/>
      <c r="F153" s="16">
        <f>IF(A153="","",IF(D153="Sim","Não – conflito",IF(B153="Comitê de Método","Sim","Não – fora do Comitê")))</f>
        <v/>
      </c>
      <c r="G153" s="18" t="n"/>
      <c r="H153" s="18" t="n"/>
      <c r="I153" s="16">
        <f>IF(A153="","",IF(H153="","Sim","Não"))</f>
        <v/>
      </c>
      <c r="J153" s="15" t="n"/>
    </row>
    <row r="154">
      <c r="A154" s="15" t="n"/>
      <c r="B154" s="15" t="n"/>
      <c r="C154" s="15" t="n"/>
      <c r="D154" s="15" t="n"/>
      <c r="E154" s="15" t="n"/>
      <c r="F154" s="16">
        <f>IF(A154="","",IF(D154="Sim","Não – conflito",IF(B154="Comitê de Método","Sim","Não – fora do Comitê")))</f>
        <v/>
      </c>
      <c r="G154" s="18" t="n"/>
      <c r="H154" s="18" t="n"/>
      <c r="I154" s="16">
        <f>IF(A154="","",IF(H154="","Sim","Não"))</f>
        <v/>
      </c>
      <c r="J154" s="15" t="n"/>
    </row>
    <row r="155">
      <c r="A155" s="15" t="n"/>
      <c r="B155" s="15" t="n"/>
      <c r="C155" s="15" t="n"/>
      <c r="D155" s="15" t="n"/>
      <c r="E155" s="15" t="n"/>
      <c r="F155" s="16">
        <f>IF(A155="","",IF(D155="Sim","Não – conflito",IF(B155="Comitê de Método","Sim","Não – fora do Comitê")))</f>
        <v/>
      </c>
      <c r="G155" s="18" t="n"/>
      <c r="H155" s="18" t="n"/>
      <c r="I155" s="16">
        <f>IF(A155="","",IF(H155="","Sim","Não"))</f>
        <v/>
      </c>
      <c r="J155" s="15" t="n"/>
    </row>
    <row r="156">
      <c r="A156" s="15" t="n"/>
      <c r="B156" s="15" t="n"/>
      <c r="C156" s="15" t="n"/>
      <c r="D156" s="15" t="n"/>
      <c r="E156" s="15" t="n"/>
      <c r="F156" s="16">
        <f>IF(A156="","",IF(D156="Sim","Não – conflito",IF(B156="Comitê de Método","Sim","Não – fora do Comitê")))</f>
        <v/>
      </c>
      <c r="G156" s="18" t="n"/>
      <c r="H156" s="18" t="n"/>
      <c r="I156" s="16">
        <f>IF(A156="","",IF(H156="","Sim","Não"))</f>
        <v/>
      </c>
      <c r="J156" s="15" t="n"/>
    </row>
    <row r="157">
      <c r="A157" s="15" t="n"/>
      <c r="B157" s="15" t="n"/>
      <c r="C157" s="15" t="n"/>
      <c r="D157" s="15" t="n"/>
      <c r="E157" s="15" t="n"/>
      <c r="F157" s="16">
        <f>IF(A157="","",IF(D157="Sim","Não – conflito",IF(B157="Comitê de Método","Sim","Não – fora do Comitê")))</f>
        <v/>
      </c>
      <c r="G157" s="18" t="n"/>
      <c r="H157" s="18" t="n"/>
      <c r="I157" s="16">
        <f>IF(A157="","",IF(H157="","Sim","Não"))</f>
        <v/>
      </c>
      <c r="J157" s="15" t="n"/>
    </row>
    <row r="158">
      <c r="A158" s="15" t="n"/>
      <c r="B158" s="15" t="n"/>
      <c r="C158" s="15" t="n"/>
      <c r="D158" s="15" t="n"/>
      <c r="E158" s="15" t="n"/>
      <c r="F158" s="16">
        <f>IF(A158="","",IF(D158="Sim","Não – conflito",IF(B158="Comitê de Método","Sim","Não – fora do Comitê")))</f>
        <v/>
      </c>
      <c r="G158" s="18" t="n"/>
      <c r="H158" s="18" t="n"/>
      <c r="I158" s="16">
        <f>IF(A158="","",IF(H158="","Sim","Não"))</f>
        <v/>
      </c>
      <c r="J158" s="15" t="n"/>
    </row>
    <row r="159">
      <c r="A159" s="15" t="n"/>
      <c r="B159" s="15" t="n"/>
      <c r="C159" s="15" t="n"/>
      <c r="D159" s="15" t="n"/>
      <c r="E159" s="15" t="n"/>
      <c r="F159" s="16">
        <f>IF(A159="","",IF(D159="Sim","Não – conflito",IF(B159="Comitê de Método","Sim","Não – fora do Comitê")))</f>
        <v/>
      </c>
      <c r="G159" s="18" t="n"/>
      <c r="H159" s="18" t="n"/>
      <c r="I159" s="16">
        <f>IF(A159="","",IF(H159="","Sim","Não"))</f>
        <v/>
      </c>
      <c r="J159" s="15" t="n"/>
    </row>
    <row r="160">
      <c r="A160" s="15" t="n"/>
      <c r="B160" s="15" t="n"/>
      <c r="C160" s="15" t="n"/>
      <c r="D160" s="15" t="n"/>
      <c r="E160" s="15" t="n"/>
      <c r="F160" s="16">
        <f>IF(A160="","",IF(D160="Sim","Não – conflito",IF(B160="Comitê de Método","Sim","Não – fora do Comitê")))</f>
        <v/>
      </c>
      <c r="G160" s="18" t="n"/>
      <c r="H160" s="18" t="n"/>
      <c r="I160" s="16">
        <f>IF(A160="","",IF(H160="","Sim","Não"))</f>
        <v/>
      </c>
      <c r="J160" s="15" t="n"/>
    </row>
    <row r="161">
      <c r="A161" s="15" t="n"/>
      <c r="B161" s="15" t="n"/>
      <c r="C161" s="15" t="n"/>
      <c r="D161" s="15" t="n"/>
      <c r="E161" s="15" t="n"/>
      <c r="F161" s="16">
        <f>IF(A161="","",IF(D161="Sim","Não – conflito",IF(B161="Comitê de Método","Sim","Não – fora do Comitê")))</f>
        <v/>
      </c>
      <c r="G161" s="18" t="n"/>
      <c r="H161" s="18" t="n"/>
      <c r="I161" s="16">
        <f>IF(A161="","",IF(H161="","Sim","Não"))</f>
        <v/>
      </c>
      <c r="J161" s="15" t="n"/>
    </row>
    <row r="162">
      <c r="A162" s="15" t="n"/>
      <c r="B162" s="15" t="n"/>
      <c r="C162" s="15" t="n"/>
      <c r="D162" s="15" t="n"/>
      <c r="E162" s="15" t="n"/>
      <c r="F162" s="16">
        <f>IF(A162="","",IF(D162="Sim","Não – conflito",IF(B162="Comitê de Método","Sim","Não – fora do Comitê")))</f>
        <v/>
      </c>
      <c r="G162" s="18" t="n"/>
      <c r="H162" s="18" t="n"/>
      <c r="I162" s="16">
        <f>IF(A162="","",IF(H162="","Sim","Não"))</f>
        <v/>
      </c>
      <c r="J162" s="15" t="n"/>
    </row>
    <row r="163">
      <c r="A163" s="15" t="n"/>
      <c r="B163" s="15" t="n"/>
      <c r="C163" s="15" t="n"/>
      <c r="D163" s="15" t="n"/>
      <c r="E163" s="15" t="n"/>
      <c r="F163" s="16">
        <f>IF(A163="","",IF(D163="Sim","Não – conflito",IF(B163="Comitê de Método","Sim","Não – fora do Comitê")))</f>
        <v/>
      </c>
      <c r="G163" s="18" t="n"/>
      <c r="H163" s="18" t="n"/>
      <c r="I163" s="16">
        <f>IF(A163="","",IF(H163="","Sim","Não"))</f>
        <v/>
      </c>
      <c r="J163" s="15" t="n"/>
    </row>
    <row r="164">
      <c r="A164" s="15" t="n"/>
      <c r="B164" s="15" t="n"/>
      <c r="C164" s="15" t="n"/>
      <c r="D164" s="15" t="n"/>
      <c r="E164" s="15" t="n"/>
      <c r="F164" s="16">
        <f>IF(A164="","",IF(D164="Sim","Não – conflito",IF(B164="Comitê de Método","Sim","Não – fora do Comitê")))</f>
        <v/>
      </c>
      <c r="G164" s="18" t="n"/>
      <c r="H164" s="18" t="n"/>
      <c r="I164" s="16">
        <f>IF(A164="","",IF(H164="","Sim","Não"))</f>
        <v/>
      </c>
      <c r="J164" s="15" t="n"/>
    </row>
    <row r="165">
      <c r="A165" s="15" t="n"/>
      <c r="B165" s="15" t="n"/>
      <c r="C165" s="15" t="n"/>
      <c r="D165" s="15" t="n"/>
      <c r="E165" s="15" t="n"/>
      <c r="F165" s="16">
        <f>IF(A165="","",IF(D165="Sim","Não – conflito",IF(B165="Comitê de Método","Sim","Não – fora do Comitê")))</f>
        <v/>
      </c>
      <c r="G165" s="18" t="n"/>
      <c r="H165" s="18" t="n"/>
      <c r="I165" s="16">
        <f>IF(A165="","",IF(H165="","Sim","Não"))</f>
        <v/>
      </c>
      <c r="J165" s="15" t="n"/>
    </row>
    <row r="166">
      <c r="A166" s="15" t="n"/>
      <c r="B166" s="15" t="n"/>
      <c r="C166" s="15" t="n"/>
      <c r="D166" s="15" t="n"/>
      <c r="E166" s="15" t="n"/>
      <c r="F166" s="16">
        <f>IF(A166="","",IF(D166="Sim","Não – conflito",IF(B166="Comitê de Método","Sim","Não – fora do Comitê")))</f>
        <v/>
      </c>
      <c r="G166" s="18" t="n"/>
      <c r="H166" s="18" t="n"/>
      <c r="I166" s="16">
        <f>IF(A166="","",IF(H166="","Sim","Não"))</f>
        <v/>
      </c>
      <c r="J166" s="15" t="n"/>
    </row>
    <row r="167">
      <c r="A167" s="15" t="n"/>
      <c r="B167" s="15" t="n"/>
      <c r="C167" s="15" t="n"/>
      <c r="D167" s="15" t="n"/>
      <c r="E167" s="15" t="n"/>
      <c r="F167" s="16">
        <f>IF(A167="","",IF(D167="Sim","Não – conflito",IF(B167="Comitê de Método","Sim","Não – fora do Comitê")))</f>
        <v/>
      </c>
      <c r="G167" s="18" t="n"/>
      <c r="H167" s="18" t="n"/>
      <c r="I167" s="16">
        <f>IF(A167="","",IF(H167="","Sim","Não"))</f>
        <v/>
      </c>
      <c r="J167" s="15" t="n"/>
    </row>
    <row r="168">
      <c r="A168" s="15" t="n"/>
      <c r="B168" s="15" t="n"/>
      <c r="C168" s="15" t="n"/>
      <c r="D168" s="15" t="n"/>
      <c r="E168" s="15" t="n"/>
      <c r="F168" s="16">
        <f>IF(A168="","",IF(D168="Sim","Não – conflito",IF(B168="Comitê de Método","Sim","Não – fora do Comitê")))</f>
        <v/>
      </c>
      <c r="G168" s="18" t="n"/>
      <c r="H168" s="18" t="n"/>
      <c r="I168" s="16">
        <f>IF(A168="","",IF(H168="","Sim","Não"))</f>
        <v/>
      </c>
      <c r="J168" s="15" t="n"/>
    </row>
    <row r="169">
      <c r="A169" s="15" t="n"/>
      <c r="B169" s="15" t="n"/>
      <c r="C169" s="15" t="n"/>
      <c r="D169" s="15" t="n"/>
      <c r="E169" s="15" t="n"/>
      <c r="F169" s="16">
        <f>IF(A169="","",IF(D169="Sim","Não – conflito",IF(B169="Comitê de Método","Sim","Não – fora do Comitê")))</f>
        <v/>
      </c>
      <c r="G169" s="18" t="n"/>
      <c r="H169" s="18" t="n"/>
      <c r="I169" s="16">
        <f>IF(A169="","",IF(H169="","Sim","Não"))</f>
        <v/>
      </c>
      <c r="J169" s="15" t="n"/>
    </row>
    <row r="170">
      <c r="A170" s="15" t="n"/>
      <c r="B170" s="15" t="n"/>
      <c r="C170" s="15" t="n"/>
      <c r="D170" s="15" t="n"/>
      <c r="E170" s="15" t="n"/>
      <c r="F170" s="16">
        <f>IF(A170="","",IF(D170="Sim","Não – conflito",IF(B170="Comitê de Método","Sim","Não – fora do Comitê")))</f>
        <v/>
      </c>
      <c r="G170" s="18" t="n"/>
      <c r="H170" s="18" t="n"/>
      <c r="I170" s="16">
        <f>IF(A170="","",IF(H170="","Sim","Não"))</f>
        <v/>
      </c>
      <c r="J170" s="15" t="n"/>
    </row>
    <row r="171">
      <c r="A171" s="15" t="n"/>
      <c r="B171" s="15" t="n"/>
      <c r="C171" s="15" t="n"/>
      <c r="D171" s="15" t="n"/>
      <c r="E171" s="15" t="n"/>
      <c r="F171" s="16">
        <f>IF(A171="","",IF(D171="Sim","Não – conflito",IF(B171="Comitê de Método","Sim","Não – fora do Comitê")))</f>
        <v/>
      </c>
      <c r="G171" s="18" t="n"/>
      <c r="H171" s="18" t="n"/>
      <c r="I171" s="16">
        <f>IF(A171="","",IF(H171="","Sim","Não"))</f>
        <v/>
      </c>
      <c r="J171" s="15" t="n"/>
    </row>
    <row r="172">
      <c r="A172" s="15" t="n"/>
      <c r="B172" s="15" t="n"/>
      <c r="C172" s="15" t="n"/>
      <c r="D172" s="15" t="n"/>
      <c r="E172" s="15" t="n"/>
      <c r="F172" s="16">
        <f>IF(A172="","",IF(D172="Sim","Não – conflito",IF(B172="Comitê de Método","Sim","Não – fora do Comitê")))</f>
        <v/>
      </c>
      <c r="G172" s="18" t="n"/>
      <c r="H172" s="18" t="n"/>
      <c r="I172" s="16">
        <f>IF(A172="","",IF(H172="","Sim","Não"))</f>
        <v/>
      </c>
      <c r="J172" s="15" t="n"/>
    </row>
    <row r="173">
      <c r="A173" s="15" t="n"/>
      <c r="B173" s="15" t="n"/>
      <c r="C173" s="15" t="n"/>
      <c r="D173" s="15" t="n"/>
      <c r="E173" s="15" t="n"/>
      <c r="F173" s="16">
        <f>IF(A173="","",IF(D173="Sim","Não – conflito",IF(B173="Comitê de Método","Sim","Não – fora do Comitê")))</f>
        <v/>
      </c>
      <c r="G173" s="18" t="n"/>
      <c r="H173" s="18" t="n"/>
      <c r="I173" s="16">
        <f>IF(A173="","",IF(H173="","Sim","Não"))</f>
        <v/>
      </c>
      <c r="J173" s="15" t="n"/>
    </row>
    <row r="174">
      <c r="A174" s="15" t="n"/>
      <c r="B174" s="15" t="n"/>
      <c r="C174" s="15" t="n"/>
      <c r="D174" s="15" t="n"/>
      <c r="E174" s="15" t="n"/>
      <c r="F174" s="16">
        <f>IF(A174="","",IF(D174="Sim","Não – conflito",IF(B174="Comitê de Método","Sim","Não – fora do Comitê")))</f>
        <v/>
      </c>
      <c r="G174" s="18" t="n"/>
      <c r="H174" s="18" t="n"/>
      <c r="I174" s="16">
        <f>IF(A174="","",IF(H174="","Sim","Não"))</f>
        <v/>
      </c>
      <c r="J174" s="15" t="n"/>
    </row>
    <row r="175">
      <c r="A175" s="15" t="n"/>
      <c r="B175" s="15" t="n"/>
      <c r="C175" s="15" t="n"/>
      <c r="D175" s="15" t="n"/>
      <c r="E175" s="15" t="n"/>
      <c r="F175" s="16">
        <f>IF(A175="","",IF(D175="Sim","Não – conflito",IF(B175="Comitê de Método","Sim","Não – fora do Comitê")))</f>
        <v/>
      </c>
      <c r="G175" s="18" t="n"/>
      <c r="H175" s="18" t="n"/>
      <c r="I175" s="16">
        <f>IF(A175="","",IF(H175="","Sim","Não"))</f>
        <v/>
      </c>
      <c r="J175" s="15" t="n"/>
    </row>
    <row r="176">
      <c r="A176" s="15" t="n"/>
      <c r="B176" s="15" t="n"/>
      <c r="C176" s="15" t="n"/>
      <c r="D176" s="15" t="n"/>
      <c r="E176" s="15" t="n"/>
      <c r="F176" s="16">
        <f>IF(A176="","",IF(D176="Sim","Não – conflito",IF(B176="Comitê de Método","Sim","Não – fora do Comitê")))</f>
        <v/>
      </c>
      <c r="G176" s="18" t="n"/>
      <c r="H176" s="18" t="n"/>
      <c r="I176" s="16">
        <f>IF(A176="","",IF(H176="","Sim","Não"))</f>
        <v/>
      </c>
      <c r="J176" s="15" t="n"/>
    </row>
    <row r="177">
      <c r="A177" s="15" t="n"/>
      <c r="B177" s="15" t="n"/>
      <c r="C177" s="15" t="n"/>
      <c r="D177" s="15" t="n"/>
      <c r="E177" s="15" t="n"/>
      <c r="F177" s="16">
        <f>IF(A177="","",IF(D177="Sim","Não – conflito",IF(B177="Comitê de Método","Sim","Não – fora do Comitê")))</f>
        <v/>
      </c>
      <c r="G177" s="18" t="n"/>
      <c r="H177" s="18" t="n"/>
      <c r="I177" s="16">
        <f>IF(A177="","",IF(H177="","Sim","Não"))</f>
        <v/>
      </c>
      <c r="J177" s="15" t="n"/>
    </row>
    <row r="178">
      <c r="A178" s="15" t="n"/>
      <c r="B178" s="15" t="n"/>
      <c r="C178" s="15" t="n"/>
      <c r="D178" s="15" t="n"/>
      <c r="E178" s="15" t="n"/>
      <c r="F178" s="16">
        <f>IF(A178="","",IF(D178="Sim","Não – conflito",IF(B178="Comitê de Método","Sim","Não – fora do Comitê")))</f>
        <v/>
      </c>
      <c r="G178" s="18" t="n"/>
      <c r="H178" s="18" t="n"/>
      <c r="I178" s="16">
        <f>IF(A178="","",IF(H178="","Sim","Não"))</f>
        <v/>
      </c>
      <c r="J178" s="15" t="n"/>
    </row>
    <row r="179">
      <c r="A179" s="15" t="n"/>
      <c r="B179" s="15" t="n"/>
      <c r="C179" s="15" t="n"/>
      <c r="D179" s="15" t="n"/>
      <c r="E179" s="15" t="n"/>
      <c r="F179" s="16">
        <f>IF(A179="","",IF(D179="Sim","Não – conflito",IF(B179="Comitê de Método","Sim","Não – fora do Comitê")))</f>
        <v/>
      </c>
      <c r="G179" s="18" t="n"/>
      <c r="H179" s="18" t="n"/>
      <c r="I179" s="16">
        <f>IF(A179="","",IF(H179="","Sim","Não"))</f>
        <v/>
      </c>
      <c r="J179" s="15" t="n"/>
    </row>
    <row r="180">
      <c r="A180" s="15" t="n"/>
      <c r="B180" s="15" t="n"/>
      <c r="C180" s="15" t="n"/>
      <c r="D180" s="15" t="n"/>
      <c r="E180" s="15" t="n"/>
      <c r="F180" s="16">
        <f>IF(A180="","",IF(D180="Sim","Não – conflito",IF(B180="Comitê de Método","Sim","Não – fora do Comitê")))</f>
        <v/>
      </c>
      <c r="G180" s="18" t="n"/>
      <c r="H180" s="18" t="n"/>
      <c r="I180" s="16">
        <f>IF(A180="","",IF(H180="","Sim","Não"))</f>
        <v/>
      </c>
      <c r="J180" s="15" t="n"/>
    </row>
    <row r="181">
      <c r="A181" s="15" t="n"/>
      <c r="B181" s="15" t="n"/>
      <c r="C181" s="15" t="n"/>
      <c r="D181" s="15" t="n"/>
      <c r="E181" s="15" t="n"/>
      <c r="F181" s="16">
        <f>IF(A181="","",IF(D181="Sim","Não – conflito",IF(B181="Comitê de Método","Sim","Não – fora do Comitê")))</f>
        <v/>
      </c>
      <c r="G181" s="18" t="n"/>
      <c r="H181" s="18" t="n"/>
      <c r="I181" s="16">
        <f>IF(A181="","",IF(H181="","Sim","Não"))</f>
        <v/>
      </c>
      <c r="J181" s="15" t="n"/>
    </row>
    <row r="182">
      <c r="A182" s="15" t="n"/>
      <c r="B182" s="15" t="n"/>
      <c r="C182" s="15" t="n"/>
      <c r="D182" s="15" t="n"/>
      <c r="E182" s="15" t="n"/>
      <c r="F182" s="16">
        <f>IF(A182="","",IF(D182="Sim","Não – conflito",IF(B182="Comitê de Método","Sim","Não – fora do Comitê")))</f>
        <v/>
      </c>
      <c r="G182" s="18" t="n"/>
      <c r="H182" s="18" t="n"/>
      <c r="I182" s="16">
        <f>IF(A182="","",IF(H182="","Sim","Não"))</f>
        <v/>
      </c>
      <c r="J182" s="15" t="n"/>
    </row>
    <row r="183">
      <c r="A183" s="15" t="n"/>
      <c r="B183" s="15" t="n"/>
      <c r="C183" s="15" t="n"/>
      <c r="D183" s="15" t="n"/>
      <c r="E183" s="15" t="n"/>
      <c r="F183" s="16">
        <f>IF(A183="","",IF(D183="Sim","Não – conflito",IF(B183="Comitê de Método","Sim","Não – fora do Comitê")))</f>
        <v/>
      </c>
      <c r="G183" s="18" t="n"/>
      <c r="H183" s="18" t="n"/>
      <c r="I183" s="16">
        <f>IF(A183="","",IF(H183="","Sim","Não"))</f>
        <v/>
      </c>
      <c r="J183" s="15" t="n"/>
    </row>
    <row r="184">
      <c r="A184" s="15" t="n"/>
      <c r="B184" s="15" t="n"/>
      <c r="C184" s="15" t="n"/>
      <c r="D184" s="15" t="n"/>
      <c r="E184" s="15" t="n"/>
      <c r="F184" s="16">
        <f>IF(A184="","",IF(D184="Sim","Não – conflito",IF(B184="Comitê de Método","Sim","Não – fora do Comitê")))</f>
        <v/>
      </c>
      <c r="G184" s="18" t="n"/>
      <c r="H184" s="18" t="n"/>
      <c r="I184" s="16">
        <f>IF(A184="","",IF(H184="","Sim","Não"))</f>
        <v/>
      </c>
      <c r="J184" s="15" t="n"/>
    </row>
    <row r="185">
      <c r="A185" s="15" t="n"/>
      <c r="B185" s="15" t="n"/>
      <c r="C185" s="15" t="n"/>
      <c r="D185" s="15" t="n"/>
      <c r="E185" s="15" t="n"/>
      <c r="F185" s="16">
        <f>IF(A185="","",IF(D185="Sim","Não – conflito",IF(B185="Comitê de Método","Sim","Não – fora do Comitê")))</f>
        <v/>
      </c>
      <c r="G185" s="18" t="n"/>
      <c r="H185" s="18" t="n"/>
      <c r="I185" s="16">
        <f>IF(A185="","",IF(H185="","Sim","Não"))</f>
        <v/>
      </c>
      <c r="J185" s="15" t="n"/>
    </row>
    <row r="186">
      <c r="A186" s="15" t="n"/>
      <c r="B186" s="15" t="n"/>
      <c r="C186" s="15" t="n"/>
      <c r="D186" s="15" t="n"/>
      <c r="E186" s="15" t="n"/>
      <c r="F186" s="16">
        <f>IF(A186="","",IF(D186="Sim","Não – conflito",IF(B186="Comitê de Método","Sim","Não – fora do Comitê")))</f>
        <v/>
      </c>
      <c r="G186" s="18" t="n"/>
      <c r="H186" s="18" t="n"/>
      <c r="I186" s="16">
        <f>IF(A186="","",IF(H186="","Sim","Não"))</f>
        <v/>
      </c>
      <c r="J186" s="15" t="n"/>
    </row>
    <row r="187">
      <c r="A187" s="15" t="n"/>
      <c r="B187" s="15" t="n"/>
      <c r="C187" s="15" t="n"/>
      <c r="D187" s="15" t="n"/>
      <c r="E187" s="15" t="n"/>
      <c r="F187" s="16">
        <f>IF(A187="","",IF(D187="Sim","Não – conflito",IF(B187="Comitê de Método","Sim","Não – fora do Comitê")))</f>
        <v/>
      </c>
      <c r="G187" s="18" t="n"/>
      <c r="H187" s="18" t="n"/>
      <c r="I187" s="16">
        <f>IF(A187="","",IF(H187="","Sim","Não"))</f>
        <v/>
      </c>
      <c r="J187" s="15" t="n"/>
    </row>
    <row r="188">
      <c r="A188" s="15" t="n"/>
      <c r="B188" s="15" t="n"/>
      <c r="C188" s="15" t="n"/>
      <c r="D188" s="15" t="n"/>
      <c r="E188" s="15" t="n"/>
      <c r="F188" s="16">
        <f>IF(A188="","",IF(D188="Sim","Não – conflito",IF(B188="Comitê de Método","Sim","Não – fora do Comitê")))</f>
        <v/>
      </c>
      <c r="G188" s="18" t="n"/>
      <c r="H188" s="18" t="n"/>
      <c r="I188" s="16">
        <f>IF(A188="","",IF(H188="","Sim","Não"))</f>
        <v/>
      </c>
      <c r="J188" s="15" t="n"/>
    </row>
    <row r="189">
      <c r="A189" s="15" t="n"/>
      <c r="B189" s="15" t="n"/>
      <c r="C189" s="15" t="n"/>
      <c r="D189" s="15" t="n"/>
      <c r="E189" s="15" t="n"/>
      <c r="F189" s="16">
        <f>IF(A189="","",IF(D189="Sim","Não – conflito",IF(B189="Comitê de Método","Sim","Não – fora do Comitê")))</f>
        <v/>
      </c>
      <c r="G189" s="18" t="n"/>
      <c r="H189" s="18" t="n"/>
      <c r="I189" s="16">
        <f>IF(A189="","",IF(H189="","Sim","Não"))</f>
        <v/>
      </c>
      <c r="J189" s="15" t="n"/>
    </row>
    <row r="190">
      <c r="A190" s="15" t="n"/>
      <c r="B190" s="15" t="n"/>
      <c r="C190" s="15" t="n"/>
      <c r="D190" s="15" t="n"/>
      <c r="E190" s="15" t="n"/>
      <c r="F190" s="16">
        <f>IF(A190="","",IF(D190="Sim","Não – conflito",IF(B190="Comitê de Método","Sim","Não – fora do Comitê")))</f>
        <v/>
      </c>
      <c r="G190" s="18" t="n"/>
      <c r="H190" s="18" t="n"/>
      <c r="I190" s="16">
        <f>IF(A190="","",IF(H190="","Sim","Não"))</f>
        <v/>
      </c>
      <c r="J190" s="15" t="n"/>
    </row>
    <row r="191">
      <c r="A191" s="15" t="n"/>
      <c r="B191" s="15" t="n"/>
      <c r="C191" s="15" t="n"/>
      <c r="D191" s="15" t="n"/>
      <c r="E191" s="15" t="n"/>
      <c r="F191" s="16">
        <f>IF(A191="","",IF(D191="Sim","Não – conflito",IF(B191="Comitê de Método","Sim","Não – fora do Comitê")))</f>
        <v/>
      </c>
      <c r="G191" s="18" t="n"/>
      <c r="H191" s="18" t="n"/>
      <c r="I191" s="16">
        <f>IF(A191="","",IF(H191="","Sim","Não"))</f>
        <v/>
      </c>
      <c r="J191" s="15" t="n"/>
    </row>
    <row r="192">
      <c r="A192" s="15" t="n"/>
      <c r="B192" s="15" t="n"/>
      <c r="C192" s="15" t="n"/>
      <c r="D192" s="15" t="n"/>
      <c r="E192" s="15" t="n"/>
      <c r="F192" s="16">
        <f>IF(A192="","",IF(D192="Sim","Não – conflito",IF(B192="Comitê de Método","Sim","Não – fora do Comitê")))</f>
        <v/>
      </c>
      <c r="G192" s="18" t="n"/>
      <c r="H192" s="18" t="n"/>
      <c r="I192" s="16">
        <f>IF(A192="","",IF(H192="","Sim","Não"))</f>
        <v/>
      </c>
      <c r="J192" s="15" t="n"/>
    </row>
    <row r="193">
      <c r="A193" s="15" t="n"/>
      <c r="B193" s="15" t="n"/>
      <c r="C193" s="15" t="n"/>
      <c r="D193" s="15" t="n"/>
      <c r="E193" s="15" t="n"/>
      <c r="F193" s="16">
        <f>IF(A193="","",IF(D193="Sim","Não – conflito",IF(B193="Comitê de Método","Sim","Não – fora do Comitê")))</f>
        <v/>
      </c>
      <c r="G193" s="18" t="n"/>
      <c r="H193" s="18" t="n"/>
      <c r="I193" s="16">
        <f>IF(A193="","",IF(H193="","Sim","Não"))</f>
        <v/>
      </c>
      <c r="J193" s="15" t="n"/>
    </row>
    <row r="194">
      <c r="A194" s="15" t="n"/>
      <c r="B194" s="15" t="n"/>
      <c r="C194" s="15" t="n"/>
      <c r="D194" s="15" t="n"/>
      <c r="E194" s="15" t="n"/>
      <c r="F194" s="16">
        <f>IF(A194="","",IF(D194="Sim","Não – conflito",IF(B194="Comitê de Método","Sim","Não – fora do Comitê")))</f>
        <v/>
      </c>
      <c r="G194" s="18" t="n"/>
      <c r="H194" s="18" t="n"/>
      <c r="I194" s="16">
        <f>IF(A194="","",IF(H194="","Sim","Não"))</f>
        <v/>
      </c>
      <c r="J194" s="15" t="n"/>
    </row>
    <row r="195">
      <c r="A195" s="15" t="n"/>
      <c r="B195" s="15" t="n"/>
      <c r="C195" s="15" t="n"/>
      <c r="D195" s="15" t="n"/>
      <c r="E195" s="15" t="n"/>
      <c r="F195" s="16">
        <f>IF(A195="","",IF(D195="Sim","Não – conflito",IF(B195="Comitê de Método","Sim","Não – fora do Comitê")))</f>
        <v/>
      </c>
      <c r="G195" s="18" t="n"/>
      <c r="H195" s="18" t="n"/>
      <c r="I195" s="16">
        <f>IF(A195="","",IF(H195="","Sim","Não"))</f>
        <v/>
      </c>
      <c r="J195" s="15" t="n"/>
    </row>
    <row r="196">
      <c r="A196" s="15" t="n"/>
      <c r="B196" s="15" t="n"/>
      <c r="C196" s="15" t="n"/>
      <c r="D196" s="15" t="n"/>
      <c r="E196" s="15" t="n"/>
      <c r="F196" s="16">
        <f>IF(A196="","",IF(D196="Sim","Não – conflito",IF(B196="Comitê de Método","Sim","Não – fora do Comitê")))</f>
        <v/>
      </c>
      <c r="G196" s="18" t="n"/>
      <c r="H196" s="18" t="n"/>
      <c r="I196" s="16">
        <f>IF(A196="","",IF(H196="","Sim","Não"))</f>
        <v/>
      </c>
      <c r="J196" s="15" t="n"/>
    </row>
    <row r="197">
      <c r="A197" s="15" t="n"/>
      <c r="B197" s="15" t="n"/>
      <c r="C197" s="15" t="n"/>
      <c r="D197" s="15" t="n"/>
      <c r="E197" s="15" t="n"/>
      <c r="F197" s="16">
        <f>IF(A197="","",IF(D197="Sim","Não – conflito",IF(B197="Comitê de Método","Sim","Não – fora do Comitê")))</f>
        <v/>
      </c>
      <c r="G197" s="18" t="n"/>
      <c r="H197" s="18" t="n"/>
      <c r="I197" s="16">
        <f>IF(A197="","",IF(H197="","Sim","Não"))</f>
        <v/>
      </c>
      <c r="J197" s="15" t="n"/>
    </row>
    <row r="198">
      <c r="A198" s="15" t="n"/>
      <c r="B198" s="15" t="n"/>
      <c r="C198" s="15" t="n"/>
      <c r="D198" s="15" t="n"/>
      <c r="E198" s="15" t="n"/>
      <c r="F198" s="16">
        <f>IF(A198="","",IF(D198="Sim","Não – conflito",IF(B198="Comitê de Método","Sim","Não – fora do Comitê")))</f>
        <v/>
      </c>
      <c r="G198" s="18" t="n"/>
      <c r="H198" s="18" t="n"/>
      <c r="I198" s="16">
        <f>IF(A198="","",IF(H198="","Sim","Não"))</f>
        <v/>
      </c>
      <c r="J198" s="15" t="n"/>
    </row>
    <row r="199">
      <c r="A199" s="15" t="n"/>
      <c r="B199" s="15" t="n"/>
      <c r="C199" s="15" t="n"/>
      <c r="D199" s="15" t="n"/>
      <c r="E199" s="15" t="n"/>
      <c r="F199" s="16">
        <f>IF(A199="","",IF(D199="Sim","Não – conflito",IF(B199="Comitê de Método","Sim","Não – fora do Comitê")))</f>
        <v/>
      </c>
      <c r="G199" s="18" t="n"/>
      <c r="H199" s="18" t="n"/>
      <c r="I199" s="16">
        <f>IF(A199="","",IF(H199="","Sim","Não"))</f>
        <v/>
      </c>
      <c r="J199" s="15" t="n"/>
    </row>
    <row r="200">
      <c r="A200" s="15" t="n"/>
      <c r="B200" s="15" t="n"/>
      <c r="C200" s="15" t="n"/>
      <c r="D200" s="15" t="n"/>
      <c r="E200" s="15" t="n"/>
      <c r="F200" s="16">
        <f>IF(A200="","",IF(D200="Sim","Não – conflito",IF(B200="Comitê de Método","Sim","Não – fora do Comitê")))</f>
        <v/>
      </c>
      <c r="G200" s="18" t="n"/>
      <c r="H200" s="18" t="n"/>
      <c r="I200" s="16">
        <f>IF(A200="","",IF(H200="","Sim","Não"))</f>
        <v/>
      </c>
      <c r="J200" s="15" t="n"/>
    </row>
    <row r="201">
      <c r="A201" s="15" t="n"/>
      <c r="B201" s="15" t="n"/>
      <c r="C201" s="15" t="n"/>
      <c r="D201" s="15" t="n"/>
      <c r="E201" s="15" t="n"/>
      <c r="F201" s="16">
        <f>IF(A201="","",IF(D201="Sim","Não – conflito",IF(B201="Comitê de Método","Sim","Não – fora do Comitê")))</f>
        <v/>
      </c>
      <c r="G201" s="18" t="n"/>
      <c r="H201" s="18" t="n"/>
      <c r="I201" s="16">
        <f>IF(A201="","",IF(H201="","Sim","Não"))</f>
        <v/>
      </c>
      <c r="J201" s="15" t="n"/>
    </row>
    <row r="202">
      <c r="A202" s="15" t="n"/>
      <c r="B202" s="15" t="n"/>
      <c r="C202" s="15" t="n"/>
      <c r="D202" s="15" t="n"/>
      <c r="E202" s="15" t="n"/>
      <c r="F202" s="16">
        <f>IF(A202="","",IF(D202="Sim","Não – conflito",IF(B202="Comitê de Método","Sim","Não – fora do Comitê")))</f>
        <v/>
      </c>
      <c r="G202" s="18" t="n"/>
      <c r="H202" s="18" t="n"/>
      <c r="I202" s="16">
        <f>IF(A202="","",IF(H202="","Sim","Não"))</f>
        <v/>
      </c>
      <c r="J202" s="15" t="n"/>
    </row>
    <row r="203">
      <c r="A203" s="15" t="n"/>
      <c r="B203" s="15" t="n"/>
      <c r="C203" s="15" t="n"/>
      <c r="D203" s="15" t="n"/>
      <c r="E203" s="15" t="n"/>
      <c r="F203" s="16">
        <f>IF(A203="","",IF(D203="Sim","Não – conflito",IF(B203="Comitê de Método","Sim","Não – fora do Comitê")))</f>
        <v/>
      </c>
      <c r="G203" s="18" t="n"/>
      <c r="H203" s="18" t="n"/>
      <c r="I203" s="16">
        <f>IF(A203="","",IF(H203="","Sim","Não"))</f>
        <v/>
      </c>
      <c r="J203" s="15" t="n"/>
    </row>
    <row r="204">
      <c r="A204" s="15" t="n"/>
      <c r="B204" s="15" t="n"/>
      <c r="C204" s="15" t="n"/>
      <c r="D204" s="15" t="n"/>
      <c r="E204" s="15" t="n"/>
      <c r="F204" s="16">
        <f>IF(A204="","",IF(D204="Sim","Não – conflito",IF(B204="Comitê de Método","Sim","Não – fora do Comitê")))</f>
        <v/>
      </c>
      <c r="G204" s="18" t="n"/>
      <c r="H204" s="18" t="n"/>
      <c r="I204" s="16">
        <f>IF(A204="","",IF(H204="","Sim","Não"))</f>
        <v/>
      </c>
      <c r="J204" s="15" t="n"/>
    </row>
    <row r="205">
      <c r="A205" s="15" t="n"/>
      <c r="B205" s="15" t="n"/>
      <c r="C205" s="15" t="n"/>
      <c r="D205" s="15" t="n"/>
      <c r="E205" s="15" t="n"/>
      <c r="F205" s="16">
        <f>IF(A205="","",IF(D205="Sim","Não – conflito",IF(B205="Comitê de Método","Sim","Não – fora do Comitê")))</f>
        <v/>
      </c>
      <c r="G205" s="18" t="n"/>
      <c r="H205" s="18" t="n"/>
      <c r="I205" s="16">
        <f>IF(A205="","",IF(H205="","Sim","Não"))</f>
        <v/>
      </c>
      <c r="J205" s="15" t="n"/>
    </row>
    <row r="206">
      <c r="A206" s="15" t="n"/>
      <c r="B206" s="15" t="n"/>
      <c r="C206" s="15" t="n"/>
      <c r="D206" s="15" t="n"/>
      <c r="E206" s="15" t="n"/>
      <c r="F206" s="16">
        <f>IF(A206="","",IF(D206="Sim","Não – conflito",IF(B206="Comitê de Método","Sim","Não – fora do Comitê")))</f>
        <v/>
      </c>
      <c r="G206" s="18" t="n"/>
      <c r="H206" s="18" t="n"/>
      <c r="I206" s="16">
        <f>IF(A206="","",IF(H206="","Sim","Não"))</f>
        <v/>
      </c>
      <c r="J206" s="15" t="n"/>
    </row>
    <row r="207">
      <c r="A207" s="15" t="n"/>
      <c r="B207" s="15" t="n"/>
      <c r="C207" s="15" t="n"/>
      <c r="D207" s="15" t="n"/>
      <c r="E207" s="15" t="n"/>
      <c r="F207" s="16">
        <f>IF(A207="","",IF(D207="Sim","Não – conflito",IF(B207="Comitê de Método","Sim","Não – fora do Comitê")))</f>
        <v/>
      </c>
      <c r="G207" s="18" t="n"/>
      <c r="H207" s="18" t="n"/>
      <c r="I207" s="16">
        <f>IF(A207="","",IF(H207="","Sim","Não"))</f>
        <v/>
      </c>
      <c r="J207" s="15" t="n"/>
    </row>
    <row r="208">
      <c r="A208" s="15" t="n"/>
      <c r="B208" s="15" t="n"/>
      <c r="C208" s="15" t="n"/>
      <c r="D208" s="15" t="n"/>
      <c r="E208" s="15" t="n"/>
      <c r="F208" s="16">
        <f>IF(A208="","",IF(D208="Sim","Não – conflito",IF(B208="Comitê de Método","Sim","Não – fora do Comitê")))</f>
        <v/>
      </c>
      <c r="G208" s="18" t="n"/>
      <c r="H208" s="18" t="n"/>
      <c r="I208" s="16">
        <f>IF(A208="","",IF(H208="","Sim","Não"))</f>
        <v/>
      </c>
      <c r="J208" s="15" t="n"/>
    </row>
    <row r="209">
      <c r="A209" s="15" t="n"/>
      <c r="B209" s="15" t="n"/>
      <c r="C209" s="15" t="n"/>
      <c r="D209" s="15" t="n"/>
      <c r="E209" s="15" t="n"/>
      <c r="F209" s="16">
        <f>IF(A209="","",IF(D209="Sim","Não – conflito",IF(B209="Comitê de Método","Sim","Não – fora do Comitê")))</f>
        <v/>
      </c>
      <c r="G209" s="18" t="n"/>
      <c r="H209" s="18" t="n"/>
      <c r="I209" s="16">
        <f>IF(A209="","",IF(H209="","Sim","Não"))</f>
        <v/>
      </c>
      <c r="J209" s="15" t="n"/>
    </row>
    <row r="210">
      <c r="A210" s="15" t="n"/>
      <c r="B210" s="15" t="n"/>
      <c r="C210" s="15" t="n"/>
      <c r="D210" s="15" t="n"/>
      <c r="E210" s="15" t="n"/>
      <c r="F210" s="16">
        <f>IF(A210="","",IF(D210="Sim","Não – conflito",IF(B210="Comitê de Método","Sim","Não – fora do Comitê")))</f>
        <v/>
      </c>
      <c r="G210" s="18" t="n"/>
      <c r="H210" s="18" t="n"/>
      <c r="I210" s="16">
        <f>IF(A210="","",IF(H210="","Sim","Não"))</f>
        <v/>
      </c>
      <c r="J210" s="15" t="n"/>
    </row>
    <row r="211">
      <c r="A211" s="15" t="n"/>
      <c r="B211" s="15" t="n"/>
      <c r="C211" s="15" t="n"/>
      <c r="D211" s="15" t="n"/>
      <c r="E211" s="15" t="n"/>
      <c r="F211" s="16">
        <f>IF(A211="","",IF(D211="Sim","Não – conflito",IF(B211="Comitê de Método","Sim","Não – fora do Comitê")))</f>
        <v/>
      </c>
      <c r="G211" s="18" t="n"/>
      <c r="H211" s="18" t="n"/>
      <c r="I211" s="16">
        <f>IF(A211="","",IF(H211="","Sim","Não"))</f>
        <v/>
      </c>
      <c r="J211" s="15" t="n"/>
    </row>
    <row r="212">
      <c r="A212" s="15" t="n"/>
      <c r="B212" s="15" t="n"/>
      <c r="C212" s="15" t="n"/>
      <c r="D212" s="15" t="n"/>
      <c r="E212" s="15" t="n"/>
      <c r="F212" s="16">
        <f>IF(A212="","",IF(D212="Sim","Não – conflito",IF(B212="Comitê de Método","Sim","Não – fora do Comitê")))</f>
        <v/>
      </c>
      <c r="G212" s="18" t="n"/>
      <c r="H212" s="18" t="n"/>
      <c r="I212" s="16">
        <f>IF(A212="","",IF(H212="","Sim","Não"))</f>
        <v/>
      </c>
      <c r="J212" s="15" t="n"/>
    </row>
    <row r="213">
      <c r="A213" s="15" t="n"/>
      <c r="B213" s="15" t="n"/>
      <c r="C213" s="15" t="n"/>
      <c r="D213" s="15" t="n"/>
      <c r="E213" s="15" t="n"/>
      <c r="F213" s="16">
        <f>IF(A213="","",IF(D213="Sim","Não – conflito",IF(B213="Comitê de Método","Sim","Não – fora do Comitê")))</f>
        <v/>
      </c>
      <c r="G213" s="18" t="n"/>
      <c r="H213" s="18" t="n"/>
      <c r="I213" s="16">
        <f>IF(A213="","",IF(H213="","Sim","Não"))</f>
        <v/>
      </c>
      <c r="J213" s="15" t="n"/>
    </row>
    <row r="214">
      <c r="A214" s="15" t="n"/>
      <c r="B214" s="15" t="n"/>
      <c r="C214" s="15" t="n"/>
      <c r="D214" s="15" t="n"/>
      <c r="E214" s="15" t="n"/>
      <c r="F214" s="16">
        <f>IF(A214="","",IF(D214="Sim","Não – conflito",IF(B214="Comitê de Método","Sim","Não – fora do Comitê")))</f>
        <v/>
      </c>
      <c r="G214" s="18" t="n"/>
      <c r="H214" s="18" t="n"/>
      <c r="I214" s="16">
        <f>IF(A214="","",IF(H214="","Sim","Não"))</f>
        <v/>
      </c>
      <c r="J214" s="15" t="n"/>
    </row>
    <row r="215">
      <c r="A215" s="15" t="n"/>
      <c r="B215" s="15" t="n"/>
      <c r="C215" s="15" t="n"/>
      <c r="D215" s="15" t="n"/>
      <c r="E215" s="15" t="n"/>
      <c r="F215" s="16">
        <f>IF(A215="","",IF(D215="Sim","Não – conflito",IF(B215="Comitê de Método","Sim","Não – fora do Comitê")))</f>
        <v/>
      </c>
      <c r="G215" s="18" t="n"/>
      <c r="H215" s="18" t="n"/>
      <c r="I215" s="16">
        <f>IF(A215="","",IF(H215="","Sim","Não"))</f>
        <v/>
      </c>
      <c r="J215" s="15" t="n"/>
    </row>
    <row r="216">
      <c r="A216" s="15" t="n"/>
      <c r="B216" s="15" t="n"/>
      <c r="C216" s="15" t="n"/>
      <c r="D216" s="15" t="n"/>
      <c r="E216" s="15" t="n"/>
      <c r="F216" s="16">
        <f>IF(A216="","",IF(D216="Sim","Não – conflito",IF(B216="Comitê de Método","Sim","Não – fora do Comitê")))</f>
        <v/>
      </c>
      <c r="G216" s="18" t="n"/>
      <c r="H216" s="18" t="n"/>
      <c r="I216" s="16">
        <f>IF(A216="","",IF(H216="","Sim","Não"))</f>
        <v/>
      </c>
      <c r="J216" s="15" t="n"/>
    </row>
    <row r="217">
      <c r="A217" s="15" t="n"/>
      <c r="B217" s="15" t="n"/>
      <c r="C217" s="15" t="n"/>
      <c r="D217" s="15" t="n"/>
      <c r="E217" s="15" t="n"/>
      <c r="F217" s="16">
        <f>IF(A217="","",IF(D217="Sim","Não – conflito",IF(B217="Comitê de Método","Sim","Não – fora do Comitê")))</f>
        <v/>
      </c>
      <c r="G217" s="18" t="n"/>
      <c r="H217" s="18" t="n"/>
      <c r="I217" s="16">
        <f>IF(A217="","",IF(H217="","Sim","Não"))</f>
        <v/>
      </c>
      <c r="J217" s="15" t="n"/>
    </row>
    <row r="218">
      <c r="A218" s="15" t="n"/>
      <c r="B218" s="15" t="n"/>
      <c r="C218" s="15" t="n"/>
      <c r="D218" s="15" t="n"/>
      <c r="E218" s="15" t="n"/>
      <c r="F218" s="16">
        <f>IF(A218="","",IF(D218="Sim","Não – conflito",IF(B218="Comitê de Método","Sim","Não – fora do Comitê")))</f>
        <v/>
      </c>
      <c r="G218" s="18" t="n"/>
      <c r="H218" s="18" t="n"/>
      <c r="I218" s="16">
        <f>IF(A218="","",IF(H218="","Sim","Não"))</f>
        <v/>
      </c>
      <c r="J218" s="15" t="n"/>
    </row>
    <row r="219">
      <c r="A219" s="15" t="n"/>
      <c r="B219" s="15" t="n"/>
      <c r="C219" s="15" t="n"/>
      <c r="D219" s="15" t="n"/>
      <c r="E219" s="15" t="n"/>
      <c r="F219" s="16">
        <f>IF(A219="","",IF(D219="Sim","Não – conflito",IF(B219="Comitê de Método","Sim","Não – fora do Comitê")))</f>
        <v/>
      </c>
      <c r="G219" s="18" t="n"/>
      <c r="H219" s="18" t="n"/>
      <c r="I219" s="16">
        <f>IF(A219="","",IF(H219="","Sim","Não"))</f>
        <v/>
      </c>
      <c r="J219" s="15" t="n"/>
    </row>
    <row r="220">
      <c r="A220" s="15" t="n"/>
      <c r="B220" s="15" t="n"/>
      <c r="C220" s="15" t="n"/>
      <c r="D220" s="15" t="n"/>
      <c r="E220" s="15" t="n"/>
      <c r="F220" s="16">
        <f>IF(A220="","",IF(D220="Sim","Não – conflito",IF(B220="Comitê de Método","Sim","Não – fora do Comitê")))</f>
        <v/>
      </c>
      <c r="G220" s="18" t="n"/>
      <c r="H220" s="18" t="n"/>
      <c r="I220" s="16">
        <f>IF(A220="","",IF(H220="","Sim","Não"))</f>
        <v/>
      </c>
      <c r="J220" s="15" t="n"/>
    </row>
    <row r="221">
      <c r="A221" s="15" t="n"/>
      <c r="B221" s="15" t="n"/>
      <c r="C221" s="15" t="n"/>
      <c r="D221" s="15" t="n"/>
      <c r="E221" s="15" t="n"/>
      <c r="F221" s="16">
        <f>IF(A221="","",IF(D221="Sim","Não – conflito",IF(B221="Comitê de Método","Sim","Não – fora do Comitê")))</f>
        <v/>
      </c>
      <c r="G221" s="18" t="n"/>
      <c r="H221" s="18" t="n"/>
      <c r="I221" s="16">
        <f>IF(A221="","",IF(H221="","Sim","Não"))</f>
        <v/>
      </c>
      <c r="J221" s="15" t="n"/>
    </row>
    <row r="222">
      <c r="A222" s="15" t="n"/>
      <c r="B222" s="15" t="n"/>
      <c r="C222" s="15" t="n"/>
      <c r="D222" s="15" t="n"/>
      <c r="E222" s="15" t="n"/>
      <c r="F222" s="16">
        <f>IF(A222="","",IF(D222="Sim","Não – conflito",IF(B222="Comitê de Método","Sim","Não – fora do Comitê")))</f>
        <v/>
      </c>
      <c r="G222" s="18" t="n"/>
      <c r="H222" s="18" t="n"/>
      <c r="I222" s="16">
        <f>IF(A222="","",IF(H222="","Sim","Não"))</f>
        <v/>
      </c>
      <c r="J222" s="15" t="n"/>
    </row>
    <row r="223">
      <c r="A223" s="15" t="n"/>
      <c r="B223" s="15" t="n"/>
      <c r="C223" s="15" t="n"/>
      <c r="D223" s="15" t="n"/>
      <c r="E223" s="15" t="n"/>
      <c r="F223" s="16">
        <f>IF(A223="","",IF(D223="Sim","Não – conflito",IF(B223="Comitê de Método","Sim","Não – fora do Comitê")))</f>
        <v/>
      </c>
      <c r="G223" s="18" t="n"/>
      <c r="H223" s="18" t="n"/>
      <c r="I223" s="16">
        <f>IF(A223="","",IF(H223="","Sim","Não"))</f>
        <v/>
      </c>
      <c r="J223" s="15" t="n"/>
    </row>
    <row r="224">
      <c r="A224" s="15" t="n"/>
      <c r="B224" s="15" t="n"/>
      <c r="C224" s="15" t="n"/>
      <c r="D224" s="15" t="n"/>
      <c r="E224" s="15" t="n"/>
      <c r="F224" s="16">
        <f>IF(A224="","",IF(D224="Sim","Não – conflito",IF(B224="Comitê de Método","Sim","Não – fora do Comitê")))</f>
        <v/>
      </c>
      <c r="G224" s="18" t="n"/>
      <c r="H224" s="18" t="n"/>
      <c r="I224" s="16">
        <f>IF(A224="","",IF(H224="","Sim","Não"))</f>
        <v/>
      </c>
      <c r="J224" s="15" t="n"/>
    </row>
    <row r="225">
      <c r="A225" s="15" t="n"/>
      <c r="B225" s="15" t="n"/>
      <c r="C225" s="15" t="n"/>
      <c r="D225" s="15" t="n"/>
      <c r="E225" s="15" t="n"/>
      <c r="F225" s="16">
        <f>IF(A225="","",IF(D225="Sim","Não – conflito",IF(B225="Comitê de Método","Sim","Não – fora do Comitê")))</f>
        <v/>
      </c>
      <c r="G225" s="18" t="n"/>
      <c r="H225" s="18" t="n"/>
      <c r="I225" s="16">
        <f>IF(A225="","",IF(H225="","Sim","Não"))</f>
        <v/>
      </c>
      <c r="J225" s="15" t="n"/>
    </row>
    <row r="226">
      <c r="A226" s="15" t="n"/>
      <c r="B226" s="15" t="n"/>
      <c r="C226" s="15" t="n"/>
      <c r="D226" s="15" t="n"/>
      <c r="E226" s="15" t="n"/>
      <c r="F226" s="16">
        <f>IF(A226="","",IF(D226="Sim","Não – conflito",IF(B226="Comitê de Método","Sim","Não – fora do Comitê")))</f>
        <v/>
      </c>
      <c r="G226" s="18" t="n"/>
      <c r="H226" s="18" t="n"/>
      <c r="I226" s="16">
        <f>IF(A226="","",IF(H226="","Sim","Não"))</f>
        <v/>
      </c>
      <c r="J226" s="15" t="n"/>
    </row>
    <row r="227">
      <c r="A227" s="15" t="n"/>
      <c r="B227" s="15" t="n"/>
      <c r="C227" s="15" t="n"/>
      <c r="D227" s="15" t="n"/>
      <c r="E227" s="15" t="n"/>
      <c r="F227" s="16">
        <f>IF(A227="","",IF(D227="Sim","Não – conflito",IF(B227="Comitê de Método","Sim","Não – fora do Comitê")))</f>
        <v/>
      </c>
      <c r="G227" s="18" t="n"/>
      <c r="H227" s="18" t="n"/>
      <c r="I227" s="16">
        <f>IF(A227="","",IF(H227="","Sim","Não"))</f>
        <v/>
      </c>
      <c r="J227" s="15" t="n"/>
    </row>
    <row r="228">
      <c r="A228" s="15" t="n"/>
      <c r="B228" s="15" t="n"/>
      <c r="C228" s="15" t="n"/>
      <c r="D228" s="15" t="n"/>
      <c r="E228" s="15" t="n"/>
      <c r="F228" s="16">
        <f>IF(A228="","",IF(D228="Sim","Não – conflito",IF(B228="Comitê de Método","Sim","Não – fora do Comitê")))</f>
        <v/>
      </c>
      <c r="G228" s="18" t="n"/>
      <c r="H228" s="18" t="n"/>
      <c r="I228" s="16">
        <f>IF(A228="","",IF(H228="","Sim","Não"))</f>
        <v/>
      </c>
      <c r="J228" s="15" t="n"/>
    </row>
    <row r="229">
      <c r="A229" s="15" t="n"/>
      <c r="B229" s="15" t="n"/>
      <c r="C229" s="15" t="n"/>
      <c r="D229" s="15" t="n"/>
      <c r="E229" s="15" t="n"/>
      <c r="F229" s="16">
        <f>IF(A229="","",IF(D229="Sim","Não – conflito",IF(B229="Comitê de Método","Sim","Não – fora do Comitê")))</f>
        <v/>
      </c>
      <c r="G229" s="18" t="n"/>
      <c r="H229" s="18" t="n"/>
      <c r="I229" s="16">
        <f>IF(A229="","",IF(H229="","Sim","Não"))</f>
        <v/>
      </c>
      <c r="J229" s="15" t="n"/>
    </row>
    <row r="230">
      <c r="A230" s="15" t="n"/>
      <c r="B230" s="15" t="n"/>
      <c r="C230" s="15" t="n"/>
      <c r="D230" s="15" t="n"/>
      <c r="E230" s="15" t="n"/>
      <c r="F230" s="16">
        <f>IF(A230="","",IF(D230="Sim","Não – conflito",IF(B230="Comitê de Método","Sim","Não – fora do Comitê")))</f>
        <v/>
      </c>
      <c r="G230" s="18" t="n"/>
      <c r="H230" s="18" t="n"/>
      <c r="I230" s="16">
        <f>IF(A230="","",IF(H230="","Sim","Não"))</f>
        <v/>
      </c>
      <c r="J230" s="15" t="n"/>
    </row>
    <row r="231">
      <c r="A231" s="15" t="n"/>
      <c r="B231" s="15" t="n"/>
      <c r="C231" s="15" t="n"/>
      <c r="D231" s="15" t="n"/>
      <c r="E231" s="15" t="n"/>
      <c r="F231" s="16">
        <f>IF(A231="","",IF(D231="Sim","Não – conflito",IF(B231="Comitê de Método","Sim","Não – fora do Comitê")))</f>
        <v/>
      </c>
      <c r="G231" s="18" t="n"/>
      <c r="H231" s="18" t="n"/>
      <c r="I231" s="16">
        <f>IF(A231="","",IF(H231="","Sim","Não"))</f>
        <v/>
      </c>
      <c r="J231" s="15" t="n"/>
    </row>
    <row r="232">
      <c r="A232" s="15" t="n"/>
      <c r="B232" s="15" t="n"/>
      <c r="C232" s="15" t="n"/>
      <c r="D232" s="15" t="n"/>
      <c r="E232" s="15" t="n"/>
      <c r="F232" s="16">
        <f>IF(A232="","",IF(D232="Sim","Não – conflito",IF(B232="Comitê de Método","Sim","Não – fora do Comitê")))</f>
        <v/>
      </c>
      <c r="G232" s="18" t="n"/>
      <c r="H232" s="18" t="n"/>
      <c r="I232" s="16">
        <f>IF(A232="","",IF(H232="","Sim","Não"))</f>
        <v/>
      </c>
      <c r="J232" s="15" t="n"/>
    </row>
    <row r="233">
      <c r="A233" s="15" t="n"/>
      <c r="B233" s="15" t="n"/>
      <c r="C233" s="15" t="n"/>
      <c r="D233" s="15" t="n"/>
      <c r="E233" s="15" t="n"/>
      <c r="F233" s="16">
        <f>IF(A233="","",IF(D233="Sim","Não – conflito",IF(B233="Comitê de Método","Sim","Não – fora do Comitê")))</f>
        <v/>
      </c>
      <c r="G233" s="18" t="n"/>
      <c r="H233" s="18" t="n"/>
      <c r="I233" s="16">
        <f>IF(A233="","",IF(H233="","Sim","Não"))</f>
        <v/>
      </c>
      <c r="J233" s="15" t="n"/>
    </row>
    <row r="234">
      <c r="A234" s="15" t="n"/>
      <c r="B234" s="15" t="n"/>
      <c r="C234" s="15" t="n"/>
      <c r="D234" s="15" t="n"/>
      <c r="E234" s="15" t="n"/>
      <c r="F234" s="16">
        <f>IF(A234="","",IF(D234="Sim","Não – conflito",IF(B234="Comitê de Método","Sim","Não – fora do Comitê")))</f>
        <v/>
      </c>
      <c r="G234" s="18" t="n"/>
      <c r="H234" s="18" t="n"/>
      <c r="I234" s="16">
        <f>IF(A234="","",IF(H234="","Sim","Não"))</f>
        <v/>
      </c>
      <c r="J234" s="15" t="n"/>
    </row>
    <row r="235">
      <c r="A235" s="15" t="n"/>
      <c r="B235" s="15" t="n"/>
      <c r="C235" s="15" t="n"/>
      <c r="D235" s="15" t="n"/>
      <c r="E235" s="15" t="n"/>
      <c r="F235" s="16">
        <f>IF(A235="","",IF(D235="Sim","Não – conflito",IF(B235="Comitê de Método","Sim","Não – fora do Comitê")))</f>
        <v/>
      </c>
      <c r="G235" s="18" t="n"/>
      <c r="H235" s="18" t="n"/>
      <c r="I235" s="16">
        <f>IF(A235="","",IF(H235="","Sim","Não"))</f>
        <v/>
      </c>
      <c r="J235" s="15" t="n"/>
    </row>
    <row r="236">
      <c r="A236" s="15" t="n"/>
      <c r="B236" s="15" t="n"/>
      <c r="C236" s="15" t="n"/>
      <c r="D236" s="15" t="n"/>
      <c r="E236" s="15" t="n"/>
      <c r="F236" s="16">
        <f>IF(A236="","",IF(D236="Sim","Não – conflito",IF(B236="Comitê de Método","Sim","Não – fora do Comitê")))</f>
        <v/>
      </c>
      <c r="G236" s="18" t="n"/>
      <c r="H236" s="18" t="n"/>
      <c r="I236" s="16">
        <f>IF(A236="","",IF(H236="","Sim","Não"))</f>
        <v/>
      </c>
      <c r="J236" s="15" t="n"/>
    </row>
    <row r="237">
      <c r="A237" s="15" t="n"/>
      <c r="B237" s="15" t="n"/>
      <c r="C237" s="15" t="n"/>
      <c r="D237" s="15" t="n"/>
      <c r="E237" s="15" t="n"/>
      <c r="F237" s="16">
        <f>IF(A237="","",IF(D237="Sim","Não – conflito",IF(B237="Comitê de Método","Sim","Não – fora do Comitê")))</f>
        <v/>
      </c>
      <c r="G237" s="18" t="n"/>
      <c r="H237" s="18" t="n"/>
      <c r="I237" s="16">
        <f>IF(A237="","",IF(H237="","Sim","Não"))</f>
        <v/>
      </c>
      <c r="J237" s="15" t="n"/>
    </row>
    <row r="238">
      <c r="A238" s="15" t="n"/>
      <c r="B238" s="15" t="n"/>
      <c r="C238" s="15" t="n"/>
      <c r="D238" s="15" t="n"/>
      <c r="E238" s="15" t="n"/>
      <c r="F238" s="16">
        <f>IF(A238="","",IF(D238="Sim","Não – conflito",IF(B238="Comitê de Método","Sim","Não – fora do Comitê")))</f>
        <v/>
      </c>
      <c r="G238" s="18" t="n"/>
      <c r="H238" s="18" t="n"/>
      <c r="I238" s="16">
        <f>IF(A238="","",IF(H238="","Sim","Não"))</f>
        <v/>
      </c>
      <c r="J238" s="15" t="n"/>
    </row>
    <row r="239">
      <c r="A239" s="15" t="n"/>
      <c r="B239" s="15" t="n"/>
      <c r="C239" s="15" t="n"/>
      <c r="D239" s="15" t="n"/>
      <c r="E239" s="15" t="n"/>
      <c r="F239" s="16">
        <f>IF(A239="","",IF(D239="Sim","Não – conflito",IF(B239="Comitê de Método","Sim","Não – fora do Comitê")))</f>
        <v/>
      </c>
      <c r="G239" s="18" t="n"/>
      <c r="H239" s="18" t="n"/>
      <c r="I239" s="16">
        <f>IF(A239="","",IF(H239="","Sim","Não"))</f>
        <v/>
      </c>
      <c r="J239" s="15" t="n"/>
    </row>
    <row r="240">
      <c r="A240" s="15" t="n"/>
      <c r="B240" s="15" t="n"/>
      <c r="C240" s="15" t="n"/>
      <c r="D240" s="15" t="n"/>
      <c r="E240" s="15" t="n"/>
      <c r="F240" s="16">
        <f>IF(A240="","",IF(D240="Sim","Não – conflito",IF(B240="Comitê de Método","Sim","Não – fora do Comitê")))</f>
        <v/>
      </c>
      <c r="G240" s="18" t="n"/>
      <c r="H240" s="18" t="n"/>
      <c r="I240" s="16">
        <f>IF(A240="","",IF(H240="","Sim","Não"))</f>
        <v/>
      </c>
      <c r="J240" s="15" t="n"/>
    </row>
    <row r="241">
      <c r="A241" s="15" t="n"/>
      <c r="B241" s="15" t="n"/>
      <c r="C241" s="15" t="n"/>
      <c r="D241" s="15" t="n"/>
      <c r="E241" s="15" t="n"/>
      <c r="F241" s="16">
        <f>IF(A241="","",IF(D241="Sim","Não – conflito",IF(B241="Comitê de Método","Sim","Não – fora do Comitê")))</f>
        <v/>
      </c>
      <c r="G241" s="18" t="n"/>
      <c r="H241" s="18" t="n"/>
      <c r="I241" s="16">
        <f>IF(A241="","",IF(H241="","Sim","Não"))</f>
        <v/>
      </c>
      <c r="J241" s="15" t="n"/>
    </row>
    <row r="242">
      <c r="A242" s="15" t="n"/>
      <c r="B242" s="15" t="n"/>
      <c r="C242" s="15" t="n"/>
      <c r="D242" s="15" t="n"/>
      <c r="E242" s="15" t="n"/>
      <c r="F242" s="16">
        <f>IF(A242="","",IF(D242="Sim","Não – conflito",IF(B242="Comitê de Método","Sim","Não – fora do Comitê")))</f>
        <v/>
      </c>
      <c r="G242" s="18" t="n"/>
      <c r="H242" s="18" t="n"/>
      <c r="I242" s="16">
        <f>IF(A242="","",IF(H242="","Sim","Não"))</f>
        <v/>
      </c>
      <c r="J242" s="15" t="n"/>
    </row>
    <row r="243">
      <c r="A243" s="15" t="n"/>
      <c r="B243" s="15" t="n"/>
      <c r="C243" s="15" t="n"/>
      <c r="D243" s="15" t="n"/>
      <c r="E243" s="15" t="n"/>
      <c r="F243" s="16">
        <f>IF(A243="","",IF(D243="Sim","Não – conflito",IF(B243="Comitê de Método","Sim","Não – fora do Comitê")))</f>
        <v/>
      </c>
      <c r="G243" s="18" t="n"/>
      <c r="H243" s="18" t="n"/>
      <c r="I243" s="16">
        <f>IF(A243="","",IF(H243="","Sim","Não"))</f>
        <v/>
      </c>
      <c r="J243" s="15" t="n"/>
    </row>
    <row r="244">
      <c r="A244" s="15" t="n"/>
      <c r="B244" s="15" t="n"/>
      <c r="C244" s="15" t="n"/>
      <c r="D244" s="15" t="n"/>
      <c r="E244" s="15" t="n"/>
      <c r="F244" s="16">
        <f>IF(A244="","",IF(D244="Sim","Não – conflito",IF(B244="Comitê de Método","Sim","Não – fora do Comitê")))</f>
        <v/>
      </c>
      <c r="G244" s="18" t="n"/>
      <c r="H244" s="18" t="n"/>
      <c r="I244" s="16">
        <f>IF(A244="","",IF(H244="","Sim","Não"))</f>
        <v/>
      </c>
      <c r="J244" s="15" t="n"/>
    </row>
    <row r="245">
      <c r="A245" s="15" t="n"/>
      <c r="B245" s="15" t="n"/>
      <c r="C245" s="15" t="n"/>
      <c r="D245" s="15" t="n"/>
      <c r="E245" s="15" t="n"/>
      <c r="F245" s="16">
        <f>IF(A245="","",IF(D245="Sim","Não – conflito",IF(B245="Comitê de Método","Sim","Não – fora do Comitê")))</f>
        <v/>
      </c>
      <c r="G245" s="18" t="n"/>
      <c r="H245" s="18" t="n"/>
      <c r="I245" s="16">
        <f>IF(A245="","",IF(H245="","Sim","Não"))</f>
        <v/>
      </c>
      <c r="J245" s="15" t="n"/>
    </row>
    <row r="246">
      <c r="A246" s="15" t="n"/>
      <c r="B246" s="15" t="n"/>
      <c r="C246" s="15" t="n"/>
      <c r="D246" s="15" t="n"/>
      <c r="E246" s="15" t="n"/>
      <c r="F246" s="16">
        <f>IF(A246="","",IF(D246="Sim","Não – conflito",IF(B246="Comitê de Método","Sim","Não – fora do Comitê")))</f>
        <v/>
      </c>
      <c r="G246" s="18" t="n"/>
      <c r="H246" s="18" t="n"/>
      <c r="I246" s="16">
        <f>IF(A246="","",IF(H246="","Sim","Não"))</f>
        <v/>
      </c>
      <c r="J246" s="15" t="n"/>
    </row>
    <row r="247">
      <c r="A247" s="15" t="n"/>
      <c r="B247" s="15" t="n"/>
      <c r="C247" s="15" t="n"/>
      <c r="D247" s="15" t="n"/>
      <c r="E247" s="15" t="n"/>
      <c r="F247" s="16">
        <f>IF(A247="","",IF(D247="Sim","Não – conflito",IF(B247="Comitê de Método","Sim","Não – fora do Comitê")))</f>
        <v/>
      </c>
      <c r="G247" s="18" t="n"/>
      <c r="H247" s="18" t="n"/>
      <c r="I247" s="16">
        <f>IF(A247="","",IF(H247="","Sim","Não"))</f>
        <v/>
      </c>
      <c r="J247" s="15" t="n"/>
    </row>
    <row r="248">
      <c r="A248" s="15" t="n"/>
      <c r="B248" s="15" t="n"/>
      <c r="C248" s="15" t="n"/>
      <c r="D248" s="15" t="n"/>
      <c r="E248" s="15" t="n"/>
      <c r="F248" s="16">
        <f>IF(A248="","",IF(D248="Sim","Não – conflito",IF(B248="Comitê de Método","Sim","Não – fora do Comitê")))</f>
        <v/>
      </c>
      <c r="G248" s="18" t="n"/>
      <c r="H248" s="18" t="n"/>
      <c r="I248" s="16">
        <f>IF(A248="","",IF(H248="","Sim","Não"))</f>
        <v/>
      </c>
      <c r="J248" s="15" t="n"/>
    </row>
    <row r="249">
      <c r="A249" s="15" t="n"/>
      <c r="B249" s="15" t="n"/>
      <c r="C249" s="15" t="n"/>
      <c r="D249" s="15" t="n"/>
      <c r="E249" s="15" t="n"/>
      <c r="F249" s="16">
        <f>IF(A249="","",IF(D249="Sim","Não – conflito",IF(B249="Comitê de Método","Sim","Não – fora do Comitê")))</f>
        <v/>
      </c>
      <c r="G249" s="18" t="n"/>
      <c r="H249" s="18" t="n"/>
      <c r="I249" s="16">
        <f>IF(A249="","",IF(H249="","Sim","Não"))</f>
        <v/>
      </c>
      <c r="J249" s="15" t="n"/>
    </row>
    <row r="250">
      <c r="A250" s="15" t="n"/>
      <c r="B250" s="15" t="n"/>
      <c r="C250" s="15" t="n"/>
      <c r="D250" s="15" t="n"/>
      <c r="E250" s="15" t="n"/>
      <c r="F250" s="16">
        <f>IF(A250="","",IF(D250="Sim","Não – conflito",IF(B250="Comitê de Método","Sim","Não – fora do Comitê")))</f>
        <v/>
      </c>
      <c r="G250" s="18" t="n"/>
      <c r="H250" s="18" t="n"/>
      <c r="I250" s="16">
        <f>IF(A250="","",IF(H250="","Sim","Não"))</f>
        <v/>
      </c>
      <c r="J250" s="15" t="n"/>
    </row>
    <row r="251">
      <c r="A251" s="15" t="n"/>
      <c r="B251" s="15" t="n"/>
      <c r="C251" s="15" t="n"/>
      <c r="D251" s="15" t="n"/>
      <c r="E251" s="15" t="n"/>
      <c r="F251" s="16">
        <f>IF(A251="","",IF(D251="Sim","Não – conflito",IF(B251="Comitê de Método","Sim","Não – fora do Comitê")))</f>
        <v/>
      </c>
      <c r="G251" s="18" t="n"/>
      <c r="H251" s="18" t="n"/>
      <c r="I251" s="16">
        <f>IF(A251="","",IF(H251="","Sim","Não"))</f>
        <v/>
      </c>
      <c r="J251" s="15" t="n"/>
    </row>
    <row r="252">
      <c r="A252" s="15" t="n"/>
      <c r="B252" s="15" t="n"/>
      <c r="C252" s="15" t="n"/>
      <c r="D252" s="15" t="n"/>
      <c r="E252" s="15" t="n"/>
      <c r="F252" s="16">
        <f>IF(A252="","",IF(D252="Sim","Não – conflito",IF(B252="Comitê de Método","Sim","Não – fora do Comitê")))</f>
        <v/>
      </c>
      <c r="G252" s="18" t="n"/>
      <c r="H252" s="18" t="n"/>
      <c r="I252" s="16">
        <f>IF(A252="","",IF(H252="","Sim","Não"))</f>
        <v/>
      </c>
      <c r="J252" s="15" t="n"/>
    </row>
    <row r="253">
      <c r="A253" s="15" t="n"/>
      <c r="B253" s="15" t="n"/>
      <c r="C253" s="15" t="n"/>
      <c r="D253" s="15" t="n"/>
      <c r="E253" s="15" t="n"/>
      <c r="F253" s="16">
        <f>IF(A253="","",IF(D253="Sim","Não – conflito",IF(B253="Comitê de Método","Sim","Não – fora do Comitê")))</f>
        <v/>
      </c>
      <c r="G253" s="18" t="n"/>
      <c r="H253" s="18" t="n"/>
      <c r="I253" s="16">
        <f>IF(A253="","",IF(H253="","Sim","Não"))</f>
        <v/>
      </c>
      <c r="J253" s="15" t="n"/>
    </row>
    <row r="254">
      <c r="A254" s="15" t="n"/>
      <c r="B254" s="15" t="n"/>
      <c r="C254" s="15" t="n"/>
      <c r="D254" s="15" t="n"/>
      <c r="E254" s="15" t="n"/>
      <c r="F254" s="16">
        <f>IF(A254="","",IF(D254="Sim","Não – conflito",IF(B254="Comitê de Método","Sim","Não – fora do Comitê")))</f>
        <v/>
      </c>
      <c r="G254" s="18" t="n"/>
      <c r="H254" s="18" t="n"/>
      <c r="I254" s="16">
        <f>IF(A254="","",IF(H254="","Sim","Não"))</f>
        <v/>
      </c>
      <c r="J254" s="15" t="n"/>
    </row>
    <row r="255">
      <c r="A255" s="15" t="n"/>
      <c r="B255" s="15" t="n"/>
      <c r="C255" s="15" t="n"/>
      <c r="D255" s="15" t="n"/>
      <c r="E255" s="15" t="n"/>
      <c r="F255" s="16">
        <f>IF(A255="","",IF(D255="Sim","Não – conflito",IF(B255="Comitê de Método","Sim","Não – fora do Comitê")))</f>
        <v/>
      </c>
      <c r="G255" s="18" t="n"/>
      <c r="H255" s="18" t="n"/>
      <c r="I255" s="16">
        <f>IF(A255="","",IF(H255="","Sim","Não"))</f>
        <v/>
      </c>
      <c r="J255" s="15" t="n"/>
    </row>
    <row r="256">
      <c r="A256" s="15" t="n"/>
      <c r="B256" s="15" t="n"/>
      <c r="C256" s="15" t="n"/>
      <c r="D256" s="15" t="n"/>
      <c r="E256" s="15" t="n"/>
      <c r="F256" s="16">
        <f>IF(A256="","",IF(D256="Sim","Não – conflito",IF(B256="Comitê de Método","Sim","Não – fora do Comitê")))</f>
        <v/>
      </c>
      <c r="G256" s="18" t="n"/>
      <c r="H256" s="18" t="n"/>
      <c r="I256" s="16">
        <f>IF(A256="","",IF(H256="","Sim","Não"))</f>
        <v/>
      </c>
      <c r="J256" s="15" t="n"/>
    </row>
    <row r="257">
      <c r="A257" s="15" t="n"/>
      <c r="B257" s="15" t="n"/>
      <c r="C257" s="15" t="n"/>
      <c r="D257" s="15" t="n"/>
      <c r="E257" s="15" t="n"/>
      <c r="F257" s="16">
        <f>IF(A257="","",IF(D257="Sim","Não – conflito",IF(B257="Comitê de Método","Sim","Não – fora do Comitê")))</f>
        <v/>
      </c>
      <c r="G257" s="18" t="n"/>
      <c r="H257" s="18" t="n"/>
      <c r="I257" s="16">
        <f>IF(A257="","",IF(H257="","Sim","Não"))</f>
        <v/>
      </c>
      <c r="J257" s="15" t="n"/>
    </row>
    <row r="258">
      <c r="A258" s="15" t="n"/>
      <c r="B258" s="15" t="n"/>
      <c r="C258" s="15" t="n"/>
      <c r="D258" s="15" t="n"/>
      <c r="E258" s="15" t="n"/>
      <c r="F258" s="16">
        <f>IF(A258="","",IF(D258="Sim","Não – conflito",IF(B258="Comitê de Método","Sim","Não – fora do Comitê")))</f>
        <v/>
      </c>
      <c r="G258" s="18" t="n"/>
      <c r="H258" s="18" t="n"/>
      <c r="I258" s="16">
        <f>IF(A258="","",IF(H258="","Sim","Não"))</f>
        <v/>
      </c>
      <c r="J258" s="15" t="n"/>
    </row>
    <row r="259">
      <c r="A259" s="15" t="n"/>
      <c r="B259" s="15" t="n"/>
      <c r="C259" s="15" t="n"/>
      <c r="D259" s="15" t="n"/>
      <c r="E259" s="15" t="n"/>
      <c r="F259" s="16">
        <f>IF(A259="","",IF(D259="Sim","Não – conflito",IF(B259="Comitê de Método","Sim","Não – fora do Comitê")))</f>
        <v/>
      </c>
      <c r="G259" s="18" t="n"/>
      <c r="H259" s="18" t="n"/>
      <c r="I259" s="16">
        <f>IF(A259="","",IF(H259="","Sim","Não"))</f>
        <v/>
      </c>
      <c r="J259" s="15" t="n"/>
    </row>
    <row r="260">
      <c r="A260" s="15" t="n"/>
      <c r="B260" s="15" t="n"/>
      <c r="C260" s="15" t="n"/>
      <c r="D260" s="15" t="n"/>
      <c r="E260" s="15" t="n"/>
      <c r="F260" s="16">
        <f>IF(A260="","",IF(D260="Sim","Não – conflito",IF(B260="Comitê de Método","Sim","Não – fora do Comitê")))</f>
        <v/>
      </c>
      <c r="G260" s="18" t="n"/>
      <c r="H260" s="18" t="n"/>
      <c r="I260" s="16">
        <f>IF(A260="","",IF(H260="","Sim","Não"))</f>
        <v/>
      </c>
      <c r="J260" s="15" t="n"/>
    </row>
    <row r="261">
      <c r="A261" s="15" t="n"/>
      <c r="B261" s="15" t="n"/>
      <c r="C261" s="15" t="n"/>
      <c r="D261" s="15" t="n"/>
      <c r="E261" s="15" t="n"/>
      <c r="F261" s="16">
        <f>IF(A261="","",IF(D261="Sim","Não – conflito",IF(B261="Comitê de Método","Sim","Não – fora do Comitê")))</f>
        <v/>
      </c>
      <c r="G261" s="18" t="n"/>
      <c r="H261" s="18" t="n"/>
      <c r="I261" s="16">
        <f>IF(A261="","",IF(H261="","Sim","Não"))</f>
        <v/>
      </c>
      <c r="J261" s="15" t="n"/>
    </row>
    <row r="262">
      <c r="A262" s="15" t="n"/>
      <c r="B262" s="15" t="n"/>
      <c r="C262" s="15" t="n"/>
      <c r="D262" s="15" t="n"/>
      <c r="E262" s="15" t="n"/>
      <c r="F262" s="16">
        <f>IF(A262="","",IF(D262="Sim","Não – conflito",IF(B262="Comitê de Método","Sim","Não – fora do Comitê")))</f>
        <v/>
      </c>
      <c r="G262" s="18" t="n"/>
      <c r="H262" s="18" t="n"/>
      <c r="I262" s="16">
        <f>IF(A262="","",IF(H262="","Sim","Não"))</f>
        <v/>
      </c>
      <c r="J262" s="15" t="n"/>
    </row>
    <row r="263">
      <c r="A263" s="15" t="n"/>
      <c r="B263" s="15" t="n"/>
      <c r="C263" s="15" t="n"/>
      <c r="D263" s="15" t="n"/>
      <c r="E263" s="15" t="n"/>
      <c r="F263" s="16">
        <f>IF(A263="","",IF(D263="Sim","Não – conflito",IF(B263="Comitê de Método","Sim","Não – fora do Comitê")))</f>
        <v/>
      </c>
      <c r="G263" s="18" t="n"/>
      <c r="H263" s="18" t="n"/>
      <c r="I263" s="16">
        <f>IF(A263="","",IF(H263="","Sim","Não"))</f>
        <v/>
      </c>
      <c r="J263" s="15" t="n"/>
    </row>
    <row r="264">
      <c r="A264" s="15" t="n"/>
      <c r="B264" s="15" t="n"/>
      <c r="C264" s="15" t="n"/>
      <c r="D264" s="15" t="n"/>
      <c r="E264" s="15" t="n"/>
      <c r="F264" s="16">
        <f>IF(A264="","",IF(D264="Sim","Não – conflito",IF(B264="Comitê de Método","Sim","Não – fora do Comitê")))</f>
        <v/>
      </c>
      <c r="G264" s="18" t="n"/>
      <c r="H264" s="18" t="n"/>
      <c r="I264" s="16">
        <f>IF(A264="","",IF(H264="","Sim","Não"))</f>
        <v/>
      </c>
      <c r="J264" s="15" t="n"/>
    </row>
    <row r="265">
      <c r="A265" s="15" t="n"/>
      <c r="B265" s="15" t="n"/>
      <c r="C265" s="15" t="n"/>
      <c r="D265" s="15" t="n"/>
      <c r="E265" s="15" t="n"/>
      <c r="F265" s="16">
        <f>IF(A265="","",IF(D265="Sim","Não – conflito",IF(B265="Comitê de Método","Sim","Não – fora do Comitê")))</f>
        <v/>
      </c>
      <c r="G265" s="18" t="n"/>
      <c r="H265" s="18" t="n"/>
      <c r="I265" s="16">
        <f>IF(A265="","",IF(H265="","Sim","Não"))</f>
        <v/>
      </c>
      <c r="J265" s="15" t="n"/>
    </row>
    <row r="266">
      <c r="A266" s="15" t="n"/>
      <c r="B266" s="15" t="n"/>
      <c r="C266" s="15" t="n"/>
      <c r="D266" s="15" t="n"/>
      <c r="E266" s="15" t="n"/>
      <c r="F266" s="16">
        <f>IF(A266="","",IF(D266="Sim","Não – conflito",IF(B266="Comitê de Método","Sim","Não – fora do Comitê")))</f>
        <v/>
      </c>
      <c r="G266" s="18" t="n"/>
      <c r="H266" s="18" t="n"/>
      <c r="I266" s="16">
        <f>IF(A266="","",IF(H266="","Sim","Não"))</f>
        <v/>
      </c>
      <c r="J266" s="15" t="n"/>
    </row>
    <row r="267">
      <c r="A267" s="15" t="n"/>
      <c r="B267" s="15" t="n"/>
      <c r="C267" s="15" t="n"/>
      <c r="D267" s="15" t="n"/>
      <c r="E267" s="15" t="n"/>
      <c r="F267" s="16">
        <f>IF(A267="","",IF(D267="Sim","Não – conflito",IF(B267="Comitê de Método","Sim","Não – fora do Comitê")))</f>
        <v/>
      </c>
      <c r="G267" s="18" t="n"/>
      <c r="H267" s="18" t="n"/>
      <c r="I267" s="16">
        <f>IF(A267="","",IF(H267="","Sim","Não"))</f>
        <v/>
      </c>
      <c r="J267" s="15" t="n"/>
    </row>
    <row r="268">
      <c r="A268" s="15" t="n"/>
      <c r="B268" s="15" t="n"/>
      <c r="C268" s="15" t="n"/>
      <c r="D268" s="15" t="n"/>
      <c r="E268" s="15" t="n"/>
      <c r="F268" s="16">
        <f>IF(A268="","",IF(D268="Sim","Não – conflito",IF(B268="Comitê de Método","Sim","Não – fora do Comitê")))</f>
        <v/>
      </c>
      <c r="G268" s="18" t="n"/>
      <c r="H268" s="18" t="n"/>
      <c r="I268" s="16">
        <f>IF(A268="","",IF(H268="","Sim","Não"))</f>
        <v/>
      </c>
      <c r="J268" s="15" t="n"/>
    </row>
    <row r="269">
      <c r="A269" s="15" t="n"/>
      <c r="B269" s="15" t="n"/>
      <c r="C269" s="15" t="n"/>
      <c r="D269" s="15" t="n"/>
      <c r="E269" s="15" t="n"/>
      <c r="F269" s="16">
        <f>IF(A269="","",IF(D269="Sim","Não – conflito",IF(B269="Comitê de Método","Sim","Não – fora do Comitê")))</f>
        <v/>
      </c>
      <c r="G269" s="18" t="n"/>
      <c r="H269" s="18" t="n"/>
      <c r="I269" s="16">
        <f>IF(A269="","",IF(H269="","Sim","Não"))</f>
        <v/>
      </c>
      <c r="J269" s="15" t="n"/>
    </row>
    <row r="270">
      <c r="A270" s="15" t="n"/>
      <c r="B270" s="15" t="n"/>
      <c r="C270" s="15" t="n"/>
      <c r="D270" s="15" t="n"/>
      <c r="E270" s="15" t="n"/>
      <c r="F270" s="16">
        <f>IF(A270="","",IF(D270="Sim","Não – conflito",IF(B270="Comitê de Método","Sim","Não – fora do Comitê")))</f>
        <v/>
      </c>
      <c r="G270" s="18" t="n"/>
      <c r="H270" s="18" t="n"/>
      <c r="I270" s="16">
        <f>IF(A270="","",IF(H270="","Sim","Não"))</f>
        <v/>
      </c>
      <c r="J270" s="15" t="n"/>
    </row>
    <row r="271">
      <c r="A271" s="15" t="n"/>
      <c r="B271" s="15" t="n"/>
      <c r="C271" s="15" t="n"/>
      <c r="D271" s="15" t="n"/>
      <c r="E271" s="15" t="n"/>
      <c r="F271" s="16">
        <f>IF(A271="","",IF(D271="Sim","Não – conflito",IF(B271="Comitê de Método","Sim","Não – fora do Comitê")))</f>
        <v/>
      </c>
      <c r="G271" s="18" t="n"/>
      <c r="H271" s="18" t="n"/>
      <c r="I271" s="16">
        <f>IF(A271="","",IF(H271="","Sim","Não"))</f>
        <v/>
      </c>
      <c r="J271" s="15" t="n"/>
    </row>
    <row r="272">
      <c r="A272" s="15" t="n"/>
      <c r="B272" s="15" t="n"/>
      <c r="C272" s="15" t="n"/>
      <c r="D272" s="15" t="n"/>
      <c r="E272" s="15" t="n"/>
      <c r="F272" s="16">
        <f>IF(A272="","",IF(D272="Sim","Não – conflito",IF(B272="Comitê de Método","Sim","Não – fora do Comitê")))</f>
        <v/>
      </c>
      <c r="G272" s="18" t="n"/>
      <c r="H272" s="18" t="n"/>
      <c r="I272" s="16">
        <f>IF(A272="","",IF(H272="","Sim","Não"))</f>
        <v/>
      </c>
      <c r="J272" s="15" t="n"/>
    </row>
    <row r="273">
      <c r="A273" s="15" t="n"/>
      <c r="B273" s="15" t="n"/>
      <c r="C273" s="15" t="n"/>
      <c r="D273" s="15" t="n"/>
      <c r="E273" s="15" t="n"/>
      <c r="F273" s="16">
        <f>IF(A273="","",IF(D273="Sim","Não – conflito",IF(B273="Comitê de Método","Sim","Não – fora do Comitê")))</f>
        <v/>
      </c>
      <c r="G273" s="18" t="n"/>
      <c r="H273" s="18" t="n"/>
      <c r="I273" s="16">
        <f>IF(A273="","",IF(H273="","Sim","Não"))</f>
        <v/>
      </c>
      <c r="J273" s="15" t="n"/>
    </row>
    <row r="274">
      <c r="A274" s="15" t="n"/>
      <c r="B274" s="15" t="n"/>
      <c r="C274" s="15" t="n"/>
      <c r="D274" s="15" t="n"/>
      <c r="E274" s="15" t="n"/>
      <c r="F274" s="16">
        <f>IF(A274="","",IF(D274="Sim","Não – conflito",IF(B274="Comitê de Método","Sim","Não – fora do Comitê")))</f>
        <v/>
      </c>
      <c r="G274" s="18" t="n"/>
      <c r="H274" s="18" t="n"/>
      <c r="I274" s="16">
        <f>IF(A274="","",IF(H274="","Sim","Não"))</f>
        <v/>
      </c>
      <c r="J274" s="15" t="n"/>
    </row>
    <row r="275">
      <c r="A275" s="15" t="n"/>
      <c r="B275" s="15" t="n"/>
      <c r="C275" s="15" t="n"/>
      <c r="D275" s="15" t="n"/>
      <c r="E275" s="15" t="n"/>
      <c r="F275" s="16">
        <f>IF(A275="","",IF(D275="Sim","Não – conflito",IF(B275="Comitê de Método","Sim","Não – fora do Comitê")))</f>
        <v/>
      </c>
      <c r="G275" s="18" t="n"/>
      <c r="H275" s="18" t="n"/>
      <c r="I275" s="16">
        <f>IF(A275="","",IF(H275="","Sim","Não"))</f>
        <v/>
      </c>
      <c r="J275" s="15" t="n"/>
    </row>
    <row r="276">
      <c r="A276" s="15" t="n"/>
      <c r="B276" s="15" t="n"/>
      <c r="C276" s="15" t="n"/>
      <c r="D276" s="15" t="n"/>
      <c r="E276" s="15" t="n"/>
      <c r="F276" s="16">
        <f>IF(A276="","",IF(D276="Sim","Não – conflito",IF(B276="Comitê de Método","Sim","Não – fora do Comitê")))</f>
        <v/>
      </c>
      <c r="G276" s="18" t="n"/>
      <c r="H276" s="18" t="n"/>
      <c r="I276" s="16">
        <f>IF(A276="","",IF(H276="","Sim","Não"))</f>
        <v/>
      </c>
      <c r="J276" s="15" t="n"/>
    </row>
    <row r="277">
      <c r="A277" s="15" t="n"/>
      <c r="B277" s="15" t="n"/>
      <c r="C277" s="15" t="n"/>
      <c r="D277" s="15" t="n"/>
      <c r="E277" s="15" t="n"/>
      <c r="F277" s="16">
        <f>IF(A277="","",IF(D277="Sim","Não – conflito",IF(B277="Comitê de Método","Sim","Não – fora do Comitê")))</f>
        <v/>
      </c>
      <c r="G277" s="18" t="n"/>
      <c r="H277" s="18" t="n"/>
      <c r="I277" s="16">
        <f>IF(A277="","",IF(H277="","Sim","Não"))</f>
        <v/>
      </c>
      <c r="J277" s="15" t="n"/>
    </row>
    <row r="278">
      <c r="A278" s="15" t="n"/>
      <c r="B278" s="15" t="n"/>
      <c r="C278" s="15" t="n"/>
      <c r="D278" s="15" t="n"/>
      <c r="E278" s="15" t="n"/>
      <c r="F278" s="16">
        <f>IF(A278="","",IF(D278="Sim","Não – conflito",IF(B278="Comitê de Método","Sim","Não – fora do Comitê")))</f>
        <v/>
      </c>
      <c r="G278" s="18" t="n"/>
      <c r="H278" s="18" t="n"/>
      <c r="I278" s="16">
        <f>IF(A278="","",IF(H278="","Sim","Não"))</f>
        <v/>
      </c>
      <c r="J278" s="15" t="n"/>
    </row>
    <row r="279">
      <c r="A279" s="15" t="n"/>
      <c r="B279" s="15" t="n"/>
      <c r="C279" s="15" t="n"/>
      <c r="D279" s="15" t="n"/>
      <c r="E279" s="15" t="n"/>
      <c r="F279" s="16">
        <f>IF(A279="","",IF(D279="Sim","Não – conflito",IF(B279="Comitê de Método","Sim","Não – fora do Comitê")))</f>
        <v/>
      </c>
      <c r="G279" s="18" t="n"/>
      <c r="H279" s="18" t="n"/>
      <c r="I279" s="16">
        <f>IF(A279="","",IF(H279="","Sim","Não"))</f>
        <v/>
      </c>
      <c r="J279" s="15" t="n"/>
    </row>
    <row r="280">
      <c r="A280" s="15" t="n"/>
      <c r="B280" s="15" t="n"/>
      <c r="C280" s="15" t="n"/>
      <c r="D280" s="15" t="n"/>
      <c r="E280" s="15" t="n"/>
      <c r="F280" s="16">
        <f>IF(A280="","",IF(D280="Sim","Não – conflito",IF(B280="Comitê de Método","Sim","Não – fora do Comitê")))</f>
        <v/>
      </c>
      <c r="G280" s="18" t="n"/>
      <c r="H280" s="18" t="n"/>
      <c r="I280" s="16">
        <f>IF(A280="","",IF(H280="","Sim","Não"))</f>
        <v/>
      </c>
      <c r="J280" s="15" t="n"/>
    </row>
    <row r="281">
      <c r="A281" s="15" t="n"/>
      <c r="B281" s="15" t="n"/>
      <c r="C281" s="15" t="n"/>
      <c r="D281" s="15" t="n"/>
      <c r="E281" s="15" t="n"/>
      <c r="F281" s="16">
        <f>IF(A281="","",IF(D281="Sim","Não – conflito",IF(B281="Comitê de Método","Sim","Não – fora do Comitê")))</f>
        <v/>
      </c>
      <c r="G281" s="18" t="n"/>
      <c r="H281" s="18" t="n"/>
      <c r="I281" s="16">
        <f>IF(A281="","",IF(H281="","Sim","Não"))</f>
        <v/>
      </c>
      <c r="J281" s="15" t="n"/>
    </row>
    <row r="282">
      <c r="A282" s="15" t="n"/>
      <c r="B282" s="15" t="n"/>
      <c r="C282" s="15" t="n"/>
      <c r="D282" s="15" t="n"/>
      <c r="E282" s="15" t="n"/>
      <c r="F282" s="16">
        <f>IF(A282="","",IF(D282="Sim","Não – conflito",IF(B282="Comitê de Método","Sim","Não – fora do Comitê")))</f>
        <v/>
      </c>
      <c r="G282" s="18" t="n"/>
      <c r="H282" s="18" t="n"/>
      <c r="I282" s="16">
        <f>IF(A282="","",IF(H282="","Sim","Não"))</f>
        <v/>
      </c>
      <c r="J282" s="15" t="n"/>
    </row>
    <row r="283">
      <c r="A283" s="15" t="n"/>
      <c r="B283" s="15" t="n"/>
      <c r="C283" s="15" t="n"/>
      <c r="D283" s="15" t="n"/>
      <c r="E283" s="15" t="n"/>
      <c r="F283" s="16">
        <f>IF(A283="","",IF(D283="Sim","Não – conflito",IF(B283="Comitê de Método","Sim","Não – fora do Comitê")))</f>
        <v/>
      </c>
      <c r="G283" s="18" t="n"/>
      <c r="H283" s="18" t="n"/>
      <c r="I283" s="16">
        <f>IF(A283="","",IF(H283="","Sim","Não"))</f>
        <v/>
      </c>
      <c r="J283" s="15" t="n"/>
    </row>
    <row r="284">
      <c r="A284" s="15" t="n"/>
      <c r="B284" s="15" t="n"/>
      <c r="C284" s="15" t="n"/>
      <c r="D284" s="15" t="n"/>
      <c r="E284" s="15" t="n"/>
      <c r="F284" s="16">
        <f>IF(A284="","",IF(D284="Sim","Não – conflito",IF(B284="Comitê de Método","Sim","Não – fora do Comitê")))</f>
        <v/>
      </c>
      <c r="G284" s="18" t="n"/>
      <c r="H284" s="18" t="n"/>
      <c r="I284" s="16">
        <f>IF(A284="","",IF(H284="","Sim","Não"))</f>
        <v/>
      </c>
      <c r="J284" s="15" t="n"/>
    </row>
    <row r="285">
      <c r="A285" s="15" t="n"/>
      <c r="B285" s="15" t="n"/>
      <c r="C285" s="15" t="n"/>
      <c r="D285" s="15" t="n"/>
      <c r="E285" s="15" t="n"/>
      <c r="F285" s="16">
        <f>IF(A285="","",IF(D285="Sim","Não – conflito",IF(B285="Comitê de Método","Sim","Não – fora do Comitê")))</f>
        <v/>
      </c>
      <c r="G285" s="18" t="n"/>
      <c r="H285" s="18" t="n"/>
      <c r="I285" s="16">
        <f>IF(A285="","",IF(H285="","Sim","Não"))</f>
        <v/>
      </c>
      <c r="J285" s="15" t="n"/>
    </row>
    <row r="286">
      <c r="A286" s="15" t="n"/>
      <c r="B286" s="15" t="n"/>
      <c r="C286" s="15" t="n"/>
      <c r="D286" s="15" t="n"/>
      <c r="E286" s="15" t="n"/>
      <c r="F286" s="16">
        <f>IF(A286="","",IF(D286="Sim","Não – conflito",IF(B286="Comitê de Método","Sim","Não – fora do Comitê")))</f>
        <v/>
      </c>
      <c r="G286" s="18" t="n"/>
      <c r="H286" s="18" t="n"/>
      <c r="I286" s="16">
        <f>IF(A286="","",IF(H286="","Sim","Não"))</f>
        <v/>
      </c>
      <c r="J286" s="15" t="n"/>
    </row>
    <row r="287">
      <c r="A287" s="15" t="n"/>
      <c r="B287" s="15" t="n"/>
      <c r="C287" s="15" t="n"/>
      <c r="D287" s="15" t="n"/>
      <c r="E287" s="15" t="n"/>
      <c r="F287" s="16">
        <f>IF(A287="","",IF(D287="Sim","Não – conflito",IF(B287="Comitê de Método","Sim","Não – fora do Comitê")))</f>
        <v/>
      </c>
      <c r="G287" s="18" t="n"/>
      <c r="H287" s="18" t="n"/>
      <c r="I287" s="16">
        <f>IF(A287="","",IF(H287="","Sim","Não"))</f>
        <v/>
      </c>
      <c r="J287" s="15" t="n"/>
    </row>
    <row r="288">
      <c r="A288" s="15" t="n"/>
      <c r="B288" s="15" t="n"/>
      <c r="C288" s="15" t="n"/>
      <c r="D288" s="15" t="n"/>
      <c r="E288" s="15" t="n"/>
      <c r="F288" s="16">
        <f>IF(A288="","",IF(D288="Sim","Não – conflito",IF(B288="Comitê de Método","Sim","Não – fora do Comitê")))</f>
        <v/>
      </c>
      <c r="G288" s="18" t="n"/>
      <c r="H288" s="18" t="n"/>
      <c r="I288" s="16">
        <f>IF(A288="","",IF(H288="","Sim","Não"))</f>
        <v/>
      </c>
      <c r="J288" s="15" t="n"/>
    </row>
    <row r="289">
      <c r="A289" s="15" t="n"/>
      <c r="B289" s="15" t="n"/>
      <c r="C289" s="15" t="n"/>
      <c r="D289" s="15" t="n"/>
      <c r="E289" s="15" t="n"/>
      <c r="F289" s="16">
        <f>IF(A289="","",IF(D289="Sim","Não – conflito",IF(B289="Comitê de Método","Sim","Não – fora do Comitê")))</f>
        <v/>
      </c>
      <c r="G289" s="18" t="n"/>
      <c r="H289" s="18" t="n"/>
      <c r="I289" s="16">
        <f>IF(A289="","",IF(H289="","Sim","Não"))</f>
        <v/>
      </c>
      <c r="J289" s="15" t="n"/>
    </row>
    <row r="290">
      <c r="A290" s="15" t="n"/>
      <c r="B290" s="15" t="n"/>
      <c r="C290" s="15" t="n"/>
      <c r="D290" s="15" t="n"/>
      <c r="E290" s="15" t="n"/>
      <c r="F290" s="16">
        <f>IF(A290="","",IF(D290="Sim","Não – conflito",IF(B290="Comitê de Método","Sim","Não – fora do Comitê")))</f>
        <v/>
      </c>
      <c r="G290" s="18" t="n"/>
      <c r="H290" s="18" t="n"/>
      <c r="I290" s="16">
        <f>IF(A290="","",IF(H290="","Sim","Não"))</f>
        <v/>
      </c>
      <c r="J290" s="15" t="n"/>
    </row>
    <row r="291">
      <c r="A291" s="15" t="n"/>
      <c r="B291" s="15" t="n"/>
      <c r="C291" s="15" t="n"/>
      <c r="D291" s="15" t="n"/>
      <c r="E291" s="15" t="n"/>
      <c r="F291" s="16">
        <f>IF(A291="","",IF(D291="Sim","Não – conflito",IF(B291="Comitê de Método","Sim","Não – fora do Comitê")))</f>
        <v/>
      </c>
      <c r="G291" s="18" t="n"/>
      <c r="H291" s="18" t="n"/>
      <c r="I291" s="16">
        <f>IF(A291="","",IF(H291="","Sim","Não"))</f>
        <v/>
      </c>
      <c r="J291" s="15" t="n"/>
    </row>
    <row r="292">
      <c r="A292" s="15" t="n"/>
      <c r="B292" s="15" t="n"/>
      <c r="C292" s="15" t="n"/>
      <c r="D292" s="15" t="n"/>
      <c r="E292" s="15" t="n"/>
      <c r="F292" s="16">
        <f>IF(A292="","",IF(D292="Sim","Não – conflito",IF(B292="Comitê de Método","Sim","Não – fora do Comitê")))</f>
        <v/>
      </c>
      <c r="G292" s="18" t="n"/>
      <c r="H292" s="18" t="n"/>
      <c r="I292" s="16">
        <f>IF(A292="","",IF(H292="","Sim","Não"))</f>
        <v/>
      </c>
      <c r="J292" s="15" t="n"/>
    </row>
    <row r="293">
      <c r="A293" s="15" t="n"/>
      <c r="B293" s="15" t="n"/>
      <c r="C293" s="15" t="n"/>
      <c r="D293" s="15" t="n"/>
      <c r="E293" s="15" t="n"/>
      <c r="F293" s="16">
        <f>IF(A293="","",IF(D293="Sim","Não – conflito",IF(B293="Comitê de Método","Sim","Não – fora do Comitê")))</f>
        <v/>
      </c>
      <c r="G293" s="18" t="n"/>
      <c r="H293" s="18" t="n"/>
      <c r="I293" s="16">
        <f>IF(A293="","",IF(H293="","Sim","Não"))</f>
        <v/>
      </c>
      <c r="J293" s="15" t="n"/>
    </row>
    <row r="294">
      <c r="A294" s="15" t="n"/>
      <c r="B294" s="15" t="n"/>
      <c r="C294" s="15" t="n"/>
      <c r="D294" s="15" t="n"/>
      <c r="E294" s="15" t="n"/>
      <c r="F294" s="16">
        <f>IF(A294="","",IF(D294="Sim","Não – conflito",IF(B294="Comitê de Método","Sim","Não – fora do Comitê")))</f>
        <v/>
      </c>
      <c r="G294" s="18" t="n"/>
      <c r="H294" s="18" t="n"/>
      <c r="I294" s="16">
        <f>IF(A294="","",IF(H294="","Sim","Não"))</f>
        <v/>
      </c>
      <c r="J294" s="15" t="n"/>
    </row>
    <row r="295">
      <c r="A295" s="15" t="n"/>
      <c r="B295" s="15" t="n"/>
      <c r="C295" s="15" t="n"/>
      <c r="D295" s="15" t="n"/>
      <c r="E295" s="15" t="n"/>
      <c r="F295" s="16">
        <f>IF(A295="","",IF(D295="Sim","Não – conflito",IF(B295="Comitê de Método","Sim","Não – fora do Comitê")))</f>
        <v/>
      </c>
      <c r="G295" s="18" t="n"/>
      <c r="H295" s="18" t="n"/>
      <c r="I295" s="16">
        <f>IF(A295="","",IF(H295="","Sim","Não"))</f>
        <v/>
      </c>
      <c r="J295" s="15" t="n"/>
    </row>
    <row r="296">
      <c r="A296" s="15" t="n"/>
      <c r="B296" s="15" t="n"/>
      <c r="C296" s="15" t="n"/>
      <c r="D296" s="15" t="n"/>
      <c r="E296" s="15" t="n"/>
      <c r="F296" s="16">
        <f>IF(A296="","",IF(D296="Sim","Não – conflito",IF(B296="Comitê de Método","Sim","Não – fora do Comitê")))</f>
        <v/>
      </c>
      <c r="G296" s="18" t="n"/>
      <c r="H296" s="18" t="n"/>
      <c r="I296" s="16">
        <f>IF(A296="","",IF(H296="","Sim","Não"))</f>
        <v/>
      </c>
      <c r="J296" s="15" t="n"/>
    </row>
    <row r="297">
      <c r="A297" s="15" t="n"/>
      <c r="B297" s="15" t="n"/>
      <c r="C297" s="15" t="n"/>
      <c r="D297" s="15" t="n"/>
      <c r="E297" s="15" t="n"/>
      <c r="F297" s="16">
        <f>IF(A297="","",IF(D297="Sim","Não – conflito",IF(B297="Comitê de Método","Sim","Não – fora do Comitê")))</f>
        <v/>
      </c>
      <c r="G297" s="18" t="n"/>
      <c r="H297" s="18" t="n"/>
      <c r="I297" s="16">
        <f>IF(A297="","",IF(H297="","Sim","Não"))</f>
        <v/>
      </c>
      <c r="J297" s="15" t="n"/>
    </row>
    <row r="298">
      <c r="A298" s="15" t="n"/>
      <c r="B298" s="15" t="n"/>
      <c r="C298" s="15" t="n"/>
      <c r="D298" s="15" t="n"/>
      <c r="E298" s="15" t="n"/>
      <c r="F298" s="16">
        <f>IF(A298="","",IF(D298="Sim","Não – conflito",IF(B298="Comitê de Método","Sim","Não – fora do Comitê")))</f>
        <v/>
      </c>
      <c r="G298" s="18" t="n"/>
      <c r="H298" s="18" t="n"/>
      <c r="I298" s="16">
        <f>IF(A298="","",IF(H298="","Sim","Não"))</f>
        <v/>
      </c>
      <c r="J298" s="15" t="n"/>
    </row>
    <row r="299">
      <c r="A299" s="15" t="n"/>
      <c r="B299" s="15" t="n"/>
      <c r="C299" s="15" t="n"/>
      <c r="D299" s="15" t="n"/>
      <c r="E299" s="15" t="n"/>
      <c r="F299" s="16">
        <f>IF(A299="","",IF(D299="Sim","Não – conflito",IF(B299="Comitê de Método","Sim","Não – fora do Comitê")))</f>
        <v/>
      </c>
      <c r="G299" s="18" t="n"/>
      <c r="H299" s="18" t="n"/>
      <c r="I299" s="16">
        <f>IF(A299="","",IF(H299="","Sim","Não"))</f>
        <v/>
      </c>
      <c r="J299" s="15" t="n"/>
    </row>
    <row r="300">
      <c r="A300" s="15" t="n"/>
      <c r="B300" s="15" t="n"/>
      <c r="C300" s="15" t="n"/>
      <c r="D300" s="15" t="n"/>
      <c r="E300" s="15" t="n"/>
      <c r="F300" s="16">
        <f>IF(A300="","",IF(D300="Sim","Não – conflito",IF(B300="Comitê de Método","Sim","Não – fora do Comitê")))</f>
        <v/>
      </c>
      <c r="G300" s="18" t="n"/>
      <c r="H300" s="18" t="n"/>
      <c r="I300" s="16">
        <f>IF(A300="","",IF(H300="","Sim","Não"))</f>
        <v/>
      </c>
      <c r="J300" s="15" t="n"/>
    </row>
    <row r="301">
      <c r="A301" s="15" t="n"/>
      <c r="B301" s="15" t="n"/>
      <c r="C301" s="15" t="n"/>
      <c r="D301" s="15" t="n"/>
      <c r="E301" s="15" t="n"/>
      <c r="F301" s="16">
        <f>IF(A301="","",IF(D301="Sim","Não – conflito",IF(B301="Comitê de Método","Sim","Não – fora do Comitê")))</f>
        <v/>
      </c>
      <c r="G301" s="18" t="n"/>
      <c r="H301" s="18" t="n"/>
      <c r="I301" s="16">
        <f>IF(A301="","",IF(H301="","Sim","Não"))</f>
        <v/>
      </c>
      <c r="J301" s="15" t="n"/>
    </row>
  </sheetData>
  <autoFilter ref="A1:J301"/>
  <dataValidations count="2">
    <dataValidation sqref="B2:B301" showDropDown="0" showInputMessage="0" showErrorMessage="0" allowBlank="1" errorTitle="Valor inválido" error="Escolha um valor da lista." type="list">
      <formula1>Listas!$A$2:$A$8</formula1>
    </dataValidation>
    <dataValidation sqref="D2:D301" showDropDown="0" showInputMessage="0" showErrorMessage="0" allowBlank="1" errorTitle="Valor inválido" error="Escolha um valor da lista." type="list">
      <formula1>Listas!$B$2:$B$3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10" customWidth="1" min="4" max="4"/>
    <col width="30" customWidth="1" min="5" max="5"/>
    <col width="18" customWidth="1" min="6" max="6"/>
    <col width="34" customWidth="1" min="7" max="7"/>
    <col width="34" customWidth="1" min="8" max="8"/>
    <col width="18" customWidth="1" min="9" max="9"/>
    <col width="18" customWidth="1" min="10" max="10"/>
    <col width="14" customWidth="1" min="11" max="11"/>
    <col width="40" customWidth="1" min="12" max="12"/>
    <col width="40" customWidth="1" min="13" max="13"/>
    <col width="24" customWidth="1" min="14" max="14"/>
    <col width="24" customWidth="1" min="15" max="15"/>
    <col width="22" customWidth="1" min="16" max="16"/>
    <col width="40" customWidth="1" min="17" max="17"/>
    <col width="12" customWidth="1" min="18" max="18"/>
    <col width="12" customWidth="1" min="19" max="19"/>
    <col width="30" customWidth="1" min="20" max="20"/>
    <col width="20" customWidth="1" min="21" max="21"/>
    <col width="30" customWidth="1" min="22" max="22"/>
  </cols>
  <sheetData>
    <row r="1" ht="36" customHeight="1">
      <c r="A1" s="10" t="inlineStr">
        <is>
          <t>ID item</t>
        </is>
      </c>
      <c r="B1" s="10" t="inlineStr">
        <is>
          <t>Versão</t>
        </is>
      </c>
      <c r="C1" s="10" t="inlineStr">
        <is>
          <t>Tipo de documento</t>
        </is>
      </c>
      <c r="D1" s="10" t="inlineStr">
        <is>
          <t>Ano-calendário</t>
        </is>
      </c>
      <c r="E1" s="10" t="inlineStr">
        <is>
          <t>Descrição</t>
        </is>
      </c>
      <c r="F1" s="10" t="inlineStr">
        <is>
          <t>Canal de divulgação</t>
        </is>
      </c>
      <c r="G1" s="10" t="inlineStr">
        <is>
          <t>URL de origem</t>
        </is>
      </c>
      <c r="H1" s="10" t="inlineStr">
        <is>
          <t>URL arquivada (archive.org / archive.today)</t>
        </is>
      </c>
      <c r="I1" s="10" t="inlineStr">
        <is>
          <t>Data/hora da publicação original</t>
        </is>
      </c>
      <c r="J1" s="10" t="inlineStr">
        <is>
          <t>Data/hora da captura</t>
        </is>
      </c>
      <c r="K1" s="10" t="inlineStr">
        <is>
          <t>Capturado por (codinome)</t>
        </is>
      </c>
      <c r="L1" s="10" t="inlineStr">
        <is>
          <t>SHA-256</t>
        </is>
      </c>
      <c r="M1" s="10" t="inlineStr">
        <is>
          <t>SHA-512</t>
        </is>
      </c>
      <c r="N1" s="10" t="inlineStr">
        <is>
          <t>Local do original (WORM)</t>
        </is>
      </c>
      <c r="O1" s="10" t="inlineStr">
        <is>
          <t>Local da 2ª cópia</t>
        </is>
      </c>
      <c r="P1" s="10" t="inlineStr">
        <is>
          <t>Carimbo de tempo (OTS/ICP)</t>
        </is>
      </c>
      <c r="Q1" s="10" t="inlineStr">
        <is>
          <t>SHA-256 da cópia de trabalho</t>
        </is>
      </c>
      <c r="R1" s="10" t="inlineStr">
        <is>
          <t>Hash confere?</t>
        </is>
      </c>
      <c r="S1" s="10" t="inlineStr">
        <is>
          <t>Gate F2 ok?</t>
        </is>
      </c>
      <c r="T1" s="10" t="inlineStr">
        <is>
          <t>Observações</t>
        </is>
      </c>
      <c r="U1" s="10" t="inlineStr">
        <is>
          <t>Classe de origem (A/B/C)</t>
        </is>
      </c>
      <c r="V1" s="10" t="inlineStr">
        <is>
          <t>Referência nos autos (processo, ID, fls.)</t>
        </is>
      </c>
    </row>
    <row r="2">
      <c r="A2" s="14" t="inlineStr">
        <is>
          <t>DOC-001</t>
        </is>
      </c>
      <c r="B2" s="14" t="n">
        <v>1</v>
      </c>
      <c r="C2" s="14" t="inlineStr">
        <is>
          <t>IRPF – PDF</t>
        </is>
      </c>
      <c r="D2" s="14" t="inlineStr">
        <is>
          <t>2025</t>
        </is>
      </c>
      <c r="E2" s="14" t="inlineStr">
        <is>
          <t>Declaração IRPF divulgada (EXEMPLO – substituir)</t>
        </is>
      </c>
      <c r="F2" s="14" t="inlineStr">
        <is>
          <t>Site oficial</t>
        </is>
      </c>
      <c r="G2" s="14" t="inlineStr">
        <is>
          <t>https://exemplo.invalid/declaracao.pdf</t>
        </is>
      </c>
      <c r="H2" s="14" t="inlineStr">
        <is>
          <t>https://web.archive.org/web/...</t>
        </is>
      </c>
      <c r="I2" s="19" t="n">
        <v>46315.60416666666</v>
      </c>
      <c r="J2" s="19" t="n">
        <v>46317.38541666666</v>
      </c>
      <c r="K2" s="14" t="inlineStr">
        <is>
          <t>M02</t>
        </is>
      </c>
      <c r="L2" s="14" t="inlineStr">
        <is>
          <t>e3b0c44298fc1c149afbf4c8996fb92427ae41e4649b934ca495991b7852b855</t>
        </is>
      </c>
      <c r="M2" s="14" t="inlineStr">
        <is>
          <t>(colar SHA-512)</t>
        </is>
      </c>
      <c r="N2" s="14" t="inlineStr">
        <is>
          <t>bucket-custodia/DOC-001-v1</t>
        </is>
      </c>
      <c r="O2" s="14" t="inlineStr">
        <is>
          <t>disco-cripto-02/DOC-001-v1</t>
        </is>
      </c>
      <c r="P2" s="14" t="inlineStr">
        <is>
          <t>DOC-001-v1.pdf.ots</t>
        </is>
      </c>
      <c r="Q2" s="14" t="inlineStr">
        <is>
          <t>e3b0c44298fc1c149afbf4c8996fb92427ae41e4649b934ca495991b7852b855</t>
        </is>
      </c>
      <c r="R2" s="16">
        <f>IF(OR(L2="",Q2=""),"",IF(EXACT(LOWER(TRIM(L2)),LOWER(TRIM(Q2))),"Sim","NÃO"))</f>
        <v/>
      </c>
      <c r="S2" s="16">
        <f>IF(A2="","",IF(AND(R2="Sim",U2&lt;&gt;"",IF(F2="Processo judicial",V2&lt;&gt;"",AND(G2&lt;&gt;"",H2&lt;&gt;"")),J2&lt;&gt;"",K2&lt;&gt;"",N2&lt;&gt;"",O2&lt;&gt;""),"Sim","Pendente"))</f>
        <v/>
      </c>
      <c r="T2" s="15" t="n"/>
      <c r="U2" s="14" t="inlineStr">
        <is>
          <t>B – Juntado pelo titular</t>
        </is>
      </c>
      <c r="V2" s="14" t="inlineStr">
        <is>
          <t>não se aplica (divulgação pública)</t>
        </is>
      </c>
    </row>
    <row r="3">
      <c r="A3" s="15" t="n"/>
      <c r="B3" s="15" t="n"/>
      <c r="C3" s="15" t="n"/>
      <c r="D3" s="15" t="n"/>
      <c r="E3" s="15" t="n"/>
      <c r="F3" s="15" t="n"/>
      <c r="G3" s="15" t="n"/>
      <c r="H3" s="15" t="n"/>
      <c r="I3" s="20" t="n"/>
      <c r="J3" s="20" t="n"/>
      <c r="K3" s="15" t="n"/>
      <c r="L3" s="15" t="n"/>
      <c r="M3" s="15" t="n"/>
      <c r="N3" s="15" t="n"/>
      <c r="O3" s="15" t="n"/>
      <c r="P3" s="15" t="n"/>
      <c r="Q3" s="15" t="n"/>
      <c r="R3" s="16">
        <f>IF(OR(L3="",Q3=""),"",IF(EXACT(LOWER(TRIM(L3)),LOWER(TRIM(Q3))),"Sim","NÃO"))</f>
        <v/>
      </c>
      <c r="S3" s="16">
        <f>IF(A3="","",IF(AND(R3="Sim",U3&lt;&gt;"",IF(F3="Processo judicial",V3&lt;&gt;"",AND(G3&lt;&gt;"",H3&lt;&gt;"")),J3&lt;&gt;"",K3&lt;&gt;"",N3&lt;&gt;"",O3&lt;&gt;""),"Sim","Pendente"))</f>
        <v/>
      </c>
      <c r="T3" s="15" t="n"/>
      <c r="U3" s="15" t="n"/>
      <c r="V3" s="15" t="n"/>
    </row>
    <row r="4">
      <c r="A4" s="15" t="n"/>
      <c r="B4" s="15" t="n"/>
      <c r="C4" s="15" t="n"/>
      <c r="D4" s="15" t="n"/>
      <c r="E4" s="15" t="n"/>
      <c r="F4" s="15" t="n"/>
      <c r="G4" s="15" t="n"/>
      <c r="H4" s="15" t="n"/>
      <c r="I4" s="20" t="n"/>
      <c r="J4" s="20" t="n"/>
      <c r="K4" s="15" t="n"/>
      <c r="L4" s="15" t="n"/>
      <c r="M4" s="15" t="n"/>
      <c r="N4" s="15" t="n"/>
      <c r="O4" s="15" t="n"/>
      <c r="P4" s="15" t="n"/>
      <c r="Q4" s="15" t="n"/>
      <c r="R4" s="16">
        <f>IF(OR(L4="",Q4=""),"",IF(EXACT(LOWER(TRIM(L4)),LOWER(TRIM(Q4))),"Sim","NÃO"))</f>
        <v/>
      </c>
      <c r="S4" s="16">
        <f>IF(A4="","",IF(AND(R4="Sim",U4&lt;&gt;"",IF(F4="Processo judicial",V4&lt;&gt;"",AND(G4&lt;&gt;"",H4&lt;&gt;"")),J4&lt;&gt;"",K4&lt;&gt;"",N4&lt;&gt;"",O4&lt;&gt;""),"Sim","Pendente"))</f>
        <v/>
      </c>
      <c r="T4" s="15" t="n"/>
      <c r="U4" s="15" t="n"/>
      <c r="V4" s="15" t="n"/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20" t="n"/>
      <c r="J5" s="20" t="n"/>
      <c r="K5" s="15" t="n"/>
      <c r="L5" s="15" t="n"/>
      <c r="M5" s="15" t="n"/>
      <c r="N5" s="15" t="n"/>
      <c r="O5" s="15" t="n"/>
      <c r="P5" s="15" t="n"/>
      <c r="Q5" s="15" t="n"/>
      <c r="R5" s="16">
        <f>IF(OR(L5="",Q5=""),"",IF(EXACT(LOWER(TRIM(L5)),LOWER(TRIM(Q5))),"Sim","NÃO"))</f>
        <v/>
      </c>
      <c r="S5" s="16">
        <f>IF(A5="","",IF(AND(R5="Sim",U5&lt;&gt;"",IF(F5="Processo judicial",V5&lt;&gt;"",AND(G5&lt;&gt;"",H5&lt;&gt;"")),J5&lt;&gt;"",K5&lt;&gt;"",N5&lt;&gt;"",O5&lt;&gt;""),"Sim","Pendente"))</f>
        <v/>
      </c>
      <c r="T5" s="15" t="n"/>
      <c r="U5" s="15" t="n"/>
      <c r="V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20" t="n"/>
      <c r="J6" s="20" t="n"/>
      <c r="K6" s="15" t="n"/>
      <c r="L6" s="15" t="n"/>
      <c r="M6" s="15" t="n"/>
      <c r="N6" s="15" t="n"/>
      <c r="O6" s="15" t="n"/>
      <c r="P6" s="15" t="n"/>
      <c r="Q6" s="15" t="n"/>
      <c r="R6" s="16">
        <f>IF(OR(L6="",Q6=""),"",IF(EXACT(LOWER(TRIM(L6)),LOWER(TRIM(Q6))),"Sim","NÃO"))</f>
        <v/>
      </c>
      <c r="S6" s="16">
        <f>IF(A6="","",IF(AND(R6="Sim",U6&lt;&gt;"",IF(F6="Processo judicial",V6&lt;&gt;"",AND(G6&lt;&gt;"",H6&lt;&gt;"")),J6&lt;&gt;"",K6&lt;&gt;"",N6&lt;&gt;"",O6&lt;&gt;""),"Sim","Pendente"))</f>
        <v/>
      </c>
      <c r="T6" s="15" t="n"/>
      <c r="U6" s="15" t="n"/>
      <c r="V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20" t="n"/>
      <c r="J7" s="20" t="n"/>
      <c r="K7" s="15" t="n"/>
      <c r="L7" s="15" t="n"/>
      <c r="M7" s="15" t="n"/>
      <c r="N7" s="15" t="n"/>
      <c r="O7" s="15" t="n"/>
      <c r="P7" s="15" t="n"/>
      <c r="Q7" s="15" t="n"/>
      <c r="R7" s="16">
        <f>IF(OR(L7="",Q7=""),"",IF(EXACT(LOWER(TRIM(L7)),LOWER(TRIM(Q7))),"Sim","NÃO"))</f>
        <v/>
      </c>
      <c r="S7" s="16">
        <f>IF(A7="","",IF(AND(R7="Sim",U7&lt;&gt;"",IF(F7="Processo judicial",V7&lt;&gt;"",AND(G7&lt;&gt;"",H7&lt;&gt;"")),J7&lt;&gt;"",K7&lt;&gt;"",N7&lt;&gt;"",O7&lt;&gt;""),"Sim","Pendente"))</f>
        <v/>
      </c>
      <c r="T7" s="15" t="n"/>
      <c r="U7" s="15" t="n"/>
      <c r="V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20" t="n"/>
      <c r="J8" s="20" t="n"/>
      <c r="K8" s="15" t="n"/>
      <c r="L8" s="15" t="n"/>
      <c r="M8" s="15" t="n"/>
      <c r="N8" s="15" t="n"/>
      <c r="O8" s="15" t="n"/>
      <c r="P8" s="15" t="n"/>
      <c r="Q8" s="15" t="n"/>
      <c r="R8" s="16">
        <f>IF(OR(L8="",Q8=""),"",IF(EXACT(LOWER(TRIM(L8)),LOWER(TRIM(Q8))),"Sim","NÃO"))</f>
        <v/>
      </c>
      <c r="S8" s="16">
        <f>IF(A8="","",IF(AND(R8="Sim",U8&lt;&gt;"",IF(F8="Processo judicial",V8&lt;&gt;"",AND(G8&lt;&gt;"",H8&lt;&gt;"")),J8&lt;&gt;"",K8&lt;&gt;"",N8&lt;&gt;"",O8&lt;&gt;""),"Sim","Pendente"))</f>
        <v/>
      </c>
      <c r="T8" s="15" t="n"/>
      <c r="U8" s="15" t="n"/>
      <c r="V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20" t="n"/>
      <c r="J9" s="20" t="n"/>
      <c r="K9" s="15" t="n"/>
      <c r="L9" s="15" t="n"/>
      <c r="M9" s="15" t="n"/>
      <c r="N9" s="15" t="n"/>
      <c r="O9" s="15" t="n"/>
      <c r="P9" s="15" t="n"/>
      <c r="Q9" s="15" t="n"/>
      <c r="R9" s="16">
        <f>IF(OR(L9="",Q9=""),"",IF(EXACT(LOWER(TRIM(L9)),LOWER(TRIM(Q9))),"Sim","NÃO"))</f>
        <v/>
      </c>
      <c r="S9" s="16">
        <f>IF(A9="","",IF(AND(R9="Sim",U9&lt;&gt;"",IF(F9="Processo judicial",V9&lt;&gt;"",AND(G9&lt;&gt;"",H9&lt;&gt;"")),J9&lt;&gt;"",K9&lt;&gt;"",N9&lt;&gt;"",O9&lt;&gt;""),"Sim","Pendente"))</f>
        <v/>
      </c>
      <c r="T9" s="15" t="n"/>
      <c r="U9" s="15" t="n"/>
      <c r="V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20" t="n"/>
      <c r="J10" s="20" t="n"/>
      <c r="K10" s="15" t="n"/>
      <c r="L10" s="15" t="n"/>
      <c r="M10" s="15" t="n"/>
      <c r="N10" s="15" t="n"/>
      <c r="O10" s="15" t="n"/>
      <c r="P10" s="15" t="n"/>
      <c r="Q10" s="15" t="n"/>
      <c r="R10" s="16">
        <f>IF(OR(L10="",Q10=""),"",IF(EXACT(LOWER(TRIM(L10)),LOWER(TRIM(Q10))),"Sim","NÃO"))</f>
        <v/>
      </c>
      <c r="S10" s="16">
        <f>IF(A10="","",IF(AND(R10="Sim",U10&lt;&gt;"",IF(F10="Processo judicial",V10&lt;&gt;"",AND(G10&lt;&gt;"",H10&lt;&gt;"")),J10&lt;&gt;"",K10&lt;&gt;"",N10&lt;&gt;"",O10&lt;&gt;""),"Sim","Pendente"))</f>
        <v/>
      </c>
      <c r="T10" s="15" t="n"/>
      <c r="U10" s="15" t="n"/>
      <c r="V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20" t="n"/>
      <c r="J11" s="20" t="n"/>
      <c r="K11" s="15" t="n"/>
      <c r="L11" s="15" t="n"/>
      <c r="M11" s="15" t="n"/>
      <c r="N11" s="15" t="n"/>
      <c r="O11" s="15" t="n"/>
      <c r="P11" s="15" t="n"/>
      <c r="Q11" s="15" t="n"/>
      <c r="R11" s="16">
        <f>IF(OR(L11="",Q11=""),"",IF(EXACT(LOWER(TRIM(L11)),LOWER(TRIM(Q11))),"Sim","NÃO"))</f>
        <v/>
      </c>
      <c r="S11" s="16">
        <f>IF(A11="","",IF(AND(R11="Sim",U11&lt;&gt;"",IF(F11="Processo judicial",V11&lt;&gt;"",AND(G11&lt;&gt;"",H11&lt;&gt;"")),J11&lt;&gt;"",K11&lt;&gt;"",N11&lt;&gt;"",O11&lt;&gt;""),"Sim","Pendente"))</f>
        <v/>
      </c>
      <c r="T11" s="15" t="n"/>
      <c r="U11" s="15" t="n"/>
      <c r="V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20" t="n"/>
      <c r="J12" s="20" t="n"/>
      <c r="K12" s="15" t="n"/>
      <c r="L12" s="15" t="n"/>
      <c r="M12" s="15" t="n"/>
      <c r="N12" s="15" t="n"/>
      <c r="O12" s="15" t="n"/>
      <c r="P12" s="15" t="n"/>
      <c r="Q12" s="15" t="n"/>
      <c r="R12" s="16">
        <f>IF(OR(L12="",Q12=""),"",IF(EXACT(LOWER(TRIM(L12)),LOWER(TRIM(Q12))),"Sim","NÃO"))</f>
        <v/>
      </c>
      <c r="S12" s="16">
        <f>IF(A12="","",IF(AND(R12="Sim",U12&lt;&gt;"",IF(F12="Processo judicial",V12&lt;&gt;"",AND(G12&lt;&gt;"",H12&lt;&gt;"")),J12&lt;&gt;"",K12&lt;&gt;"",N12&lt;&gt;"",O12&lt;&gt;""),"Sim","Pendente"))</f>
        <v/>
      </c>
      <c r="T12" s="15" t="n"/>
      <c r="U12" s="15" t="n"/>
      <c r="V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20" t="n"/>
      <c r="J13" s="20" t="n"/>
      <c r="K13" s="15" t="n"/>
      <c r="L13" s="15" t="n"/>
      <c r="M13" s="15" t="n"/>
      <c r="N13" s="15" t="n"/>
      <c r="O13" s="15" t="n"/>
      <c r="P13" s="15" t="n"/>
      <c r="Q13" s="15" t="n"/>
      <c r="R13" s="16">
        <f>IF(OR(L13="",Q13=""),"",IF(EXACT(LOWER(TRIM(L13)),LOWER(TRIM(Q13))),"Sim","NÃO"))</f>
        <v/>
      </c>
      <c r="S13" s="16">
        <f>IF(A13="","",IF(AND(R13="Sim",U13&lt;&gt;"",IF(F13="Processo judicial",V13&lt;&gt;"",AND(G13&lt;&gt;"",H13&lt;&gt;"")),J13&lt;&gt;"",K13&lt;&gt;"",N13&lt;&gt;"",O13&lt;&gt;""),"Sim","Pendente"))</f>
        <v/>
      </c>
      <c r="T13" s="15" t="n"/>
      <c r="U13" s="15" t="n"/>
      <c r="V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20" t="n"/>
      <c r="J14" s="20" t="n"/>
      <c r="K14" s="15" t="n"/>
      <c r="L14" s="15" t="n"/>
      <c r="M14" s="15" t="n"/>
      <c r="N14" s="15" t="n"/>
      <c r="O14" s="15" t="n"/>
      <c r="P14" s="15" t="n"/>
      <c r="Q14" s="15" t="n"/>
      <c r="R14" s="16">
        <f>IF(OR(L14="",Q14=""),"",IF(EXACT(LOWER(TRIM(L14)),LOWER(TRIM(Q14))),"Sim","NÃO"))</f>
        <v/>
      </c>
      <c r="S14" s="16">
        <f>IF(A14="","",IF(AND(R14="Sim",U14&lt;&gt;"",IF(F14="Processo judicial",V14&lt;&gt;"",AND(G14&lt;&gt;"",H14&lt;&gt;"")),J14&lt;&gt;"",K14&lt;&gt;"",N14&lt;&gt;"",O14&lt;&gt;""),"Sim","Pendente"))</f>
        <v/>
      </c>
      <c r="T14" s="15" t="n"/>
      <c r="U14" s="15" t="n"/>
      <c r="V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20" t="n"/>
      <c r="J15" s="20" t="n"/>
      <c r="K15" s="15" t="n"/>
      <c r="L15" s="15" t="n"/>
      <c r="M15" s="15" t="n"/>
      <c r="N15" s="15" t="n"/>
      <c r="O15" s="15" t="n"/>
      <c r="P15" s="15" t="n"/>
      <c r="Q15" s="15" t="n"/>
      <c r="R15" s="16">
        <f>IF(OR(L15="",Q15=""),"",IF(EXACT(LOWER(TRIM(L15)),LOWER(TRIM(Q15))),"Sim","NÃO"))</f>
        <v/>
      </c>
      <c r="S15" s="16">
        <f>IF(A15="","",IF(AND(R15="Sim",U15&lt;&gt;"",IF(F15="Processo judicial",V15&lt;&gt;"",AND(G15&lt;&gt;"",H15&lt;&gt;"")),J15&lt;&gt;"",K15&lt;&gt;"",N15&lt;&gt;"",O15&lt;&gt;""),"Sim","Pendente"))</f>
        <v/>
      </c>
      <c r="T15" s="15" t="n"/>
      <c r="U15" s="15" t="n"/>
      <c r="V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20" t="n"/>
      <c r="J16" s="20" t="n"/>
      <c r="K16" s="15" t="n"/>
      <c r="L16" s="15" t="n"/>
      <c r="M16" s="15" t="n"/>
      <c r="N16" s="15" t="n"/>
      <c r="O16" s="15" t="n"/>
      <c r="P16" s="15" t="n"/>
      <c r="Q16" s="15" t="n"/>
      <c r="R16" s="16">
        <f>IF(OR(L16="",Q16=""),"",IF(EXACT(LOWER(TRIM(L16)),LOWER(TRIM(Q16))),"Sim","NÃO"))</f>
        <v/>
      </c>
      <c r="S16" s="16">
        <f>IF(A16="","",IF(AND(R16="Sim",U16&lt;&gt;"",IF(F16="Processo judicial",V16&lt;&gt;"",AND(G16&lt;&gt;"",H16&lt;&gt;"")),J16&lt;&gt;"",K16&lt;&gt;"",N16&lt;&gt;"",O16&lt;&gt;""),"Sim","Pendente"))</f>
        <v/>
      </c>
      <c r="T16" s="15" t="n"/>
      <c r="U16" s="15" t="n"/>
      <c r="V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20" t="n"/>
      <c r="J17" s="20" t="n"/>
      <c r="K17" s="15" t="n"/>
      <c r="L17" s="15" t="n"/>
      <c r="M17" s="15" t="n"/>
      <c r="N17" s="15" t="n"/>
      <c r="O17" s="15" t="n"/>
      <c r="P17" s="15" t="n"/>
      <c r="Q17" s="15" t="n"/>
      <c r="R17" s="16">
        <f>IF(OR(L17="",Q17=""),"",IF(EXACT(LOWER(TRIM(L17)),LOWER(TRIM(Q17))),"Sim","NÃO"))</f>
        <v/>
      </c>
      <c r="S17" s="16">
        <f>IF(A17="","",IF(AND(R17="Sim",U17&lt;&gt;"",IF(F17="Processo judicial",V17&lt;&gt;"",AND(G17&lt;&gt;"",H17&lt;&gt;"")),J17&lt;&gt;"",K17&lt;&gt;"",N17&lt;&gt;"",O17&lt;&gt;""),"Sim","Pendente"))</f>
        <v/>
      </c>
      <c r="T17" s="15" t="n"/>
      <c r="U17" s="15" t="n"/>
      <c r="V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20" t="n"/>
      <c r="J18" s="20" t="n"/>
      <c r="K18" s="15" t="n"/>
      <c r="L18" s="15" t="n"/>
      <c r="M18" s="15" t="n"/>
      <c r="N18" s="15" t="n"/>
      <c r="O18" s="15" t="n"/>
      <c r="P18" s="15" t="n"/>
      <c r="Q18" s="15" t="n"/>
      <c r="R18" s="16">
        <f>IF(OR(L18="",Q18=""),"",IF(EXACT(LOWER(TRIM(L18)),LOWER(TRIM(Q18))),"Sim","NÃO"))</f>
        <v/>
      </c>
      <c r="S18" s="16">
        <f>IF(A18="","",IF(AND(R18="Sim",U18&lt;&gt;"",IF(F18="Processo judicial",V18&lt;&gt;"",AND(G18&lt;&gt;"",H18&lt;&gt;"")),J18&lt;&gt;"",K18&lt;&gt;"",N18&lt;&gt;"",O18&lt;&gt;""),"Sim","Pendente"))</f>
        <v/>
      </c>
      <c r="T18" s="15" t="n"/>
      <c r="U18" s="15" t="n"/>
      <c r="V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20" t="n"/>
      <c r="J19" s="20" t="n"/>
      <c r="K19" s="15" t="n"/>
      <c r="L19" s="15" t="n"/>
      <c r="M19" s="15" t="n"/>
      <c r="N19" s="15" t="n"/>
      <c r="O19" s="15" t="n"/>
      <c r="P19" s="15" t="n"/>
      <c r="Q19" s="15" t="n"/>
      <c r="R19" s="16">
        <f>IF(OR(L19="",Q19=""),"",IF(EXACT(LOWER(TRIM(L19)),LOWER(TRIM(Q19))),"Sim","NÃO"))</f>
        <v/>
      </c>
      <c r="S19" s="16">
        <f>IF(A19="","",IF(AND(R19="Sim",U19&lt;&gt;"",IF(F19="Processo judicial",V19&lt;&gt;"",AND(G19&lt;&gt;"",H19&lt;&gt;"")),J19&lt;&gt;"",K19&lt;&gt;"",N19&lt;&gt;"",O19&lt;&gt;""),"Sim","Pendente"))</f>
        <v/>
      </c>
      <c r="T19" s="15" t="n"/>
      <c r="U19" s="15" t="n"/>
      <c r="V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20" t="n"/>
      <c r="J20" s="20" t="n"/>
      <c r="K20" s="15" t="n"/>
      <c r="L20" s="15" t="n"/>
      <c r="M20" s="15" t="n"/>
      <c r="N20" s="15" t="n"/>
      <c r="O20" s="15" t="n"/>
      <c r="P20" s="15" t="n"/>
      <c r="Q20" s="15" t="n"/>
      <c r="R20" s="16">
        <f>IF(OR(L20="",Q20=""),"",IF(EXACT(LOWER(TRIM(L20)),LOWER(TRIM(Q20))),"Sim","NÃO"))</f>
        <v/>
      </c>
      <c r="S20" s="16">
        <f>IF(A20="","",IF(AND(R20="Sim",U20&lt;&gt;"",IF(F20="Processo judicial",V20&lt;&gt;"",AND(G20&lt;&gt;"",H20&lt;&gt;"")),J20&lt;&gt;"",K20&lt;&gt;"",N20&lt;&gt;"",O20&lt;&gt;""),"Sim","Pendente"))</f>
        <v/>
      </c>
      <c r="T20" s="15" t="n"/>
      <c r="U20" s="15" t="n"/>
      <c r="V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20" t="n"/>
      <c r="J21" s="20" t="n"/>
      <c r="K21" s="15" t="n"/>
      <c r="L21" s="15" t="n"/>
      <c r="M21" s="15" t="n"/>
      <c r="N21" s="15" t="n"/>
      <c r="O21" s="15" t="n"/>
      <c r="P21" s="15" t="n"/>
      <c r="Q21" s="15" t="n"/>
      <c r="R21" s="16">
        <f>IF(OR(L21="",Q21=""),"",IF(EXACT(LOWER(TRIM(L21)),LOWER(TRIM(Q21))),"Sim","NÃO"))</f>
        <v/>
      </c>
      <c r="S21" s="16">
        <f>IF(A21="","",IF(AND(R21="Sim",U21&lt;&gt;"",IF(F21="Processo judicial",V21&lt;&gt;"",AND(G21&lt;&gt;"",H21&lt;&gt;"")),J21&lt;&gt;"",K21&lt;&gt;"",N21&lt;&gt;"",O21&lt;&gt;""),"Sim","Pendente"))</f>
        <v/>
      </c>
      <c r="T21" s="15" t="n"/>
      <c r="U21" s="15" t="n"/>
      <c r="V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20" t="n"/>
      <c r="J22" s="20" t="n"/>
      <c r="K22" s="15" t="n"/>
      <c r="L22" s="15" t="n"/>
      <c r="M22" s="15" t="n"/>
      <c r="N22" s="15" t="n"/>
      <c r="O22" s="15" t="n"/>
      <c r="P22" s="15" t="n"/>
      <c r="Q22" s="15" t="n"/>
      <c r="R22" s="16">
        <f>IF(OR(L22="",Q22=""),"",IF(EXACT(LOWER(TRIM(L22)),LOWER(TRIM(Q22))),"Sim","NÃO"))</f>
        <v/>
      </c>
      <c r="S22" s="16">
        <f>IF(A22="","",IF(AND(R22="Sim",U22&lt;&gt;"",IF(F22="Processo judicial",V22&lt;&gt;"",AND(G22&lt;&gt;"",H22&lt;&gt;"")),J22&lt;&gt;"",K22&lt;&gt;"",N22&lt;&gt;"",O22&lt;&gt;""),"Sim","Pendente"))</f>
        <v/>
      </c>
      <c r="T22" s="15" t="n"/>
      <c r="U22" s="15" t="n"/>
      <c r="V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20" t="n"/>
      <c r="J23" s="20" t="n"/>
      <c r="K23" s="15" t="n"/>
      <c r="L23" s="15" t="n"/>
      <c r="M23" s="15" t="n"/>
      <c r="N23" s="15" t="n"/>
      <c r="O23" s="15" t="n"/>
      <c r="P23" s="15" t="n"/>
      <c r="Q23" s="15" t="n"/>
      <c r="R23" s="16">
        <f>IF(OR(L23="",Q23=""),"",IF(EXACT(LOWER(TRIM(L23)),LOWER(TRIM(Q23))),"Sim","NÃO"))</f>
        <v/>
      </c>
      <c r="S23" s="16">
        <f>IF(A23="","",IF(AND(R23="Sim",U23&lt;&gt;"",IF(F23="Processo judicial",V23&lt;&gt;"",AND(G23&lt;&gt;"",H23&lt;&gt;"")),J23&lt;&gt;"",K23&lt;&gt;"",N23&lt;&gt;"",O23&lt;&gt;""),"Sim","Pendente"))</f>
        <v/>
      </c>
      <c r="T23" s="15" t="n"/>
      <c r="U23" s="15" t="n"/>
      <c r="V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20" t="n"/>
      <c r="J24" s="20" t="n"/>
      <c r="K24" s="15" t="n"/>
      <c r="L24" s="15" t="n"/>
      <c r="M24" s="15" t="n"/>
      <c r="N24" s="15" t="n"/>
      <c r="O24" s="15" t="n"/>
      <c r="P24" s="15" t="n"/>
      <c r="Q24" s="15" t="n"/>
      <c r="R24" s="16">
        <f>IF(OR(L24="",Q24=""),"",IF(EXACT(LOWER(TRIM(L24)),LOWER(TRIM(Q24))),"Sim","NÃO"))</f>
        <v/>
      </c>
      <c r="S24" s="16">
        <f>IF(A24="","",IF(AND(R24="Sim",U24&lt;&gt;"",IF(F24="Processo judicial",V24&lt;&gt;"",AND(G24&lt;&gt;"",H24&lt;&gt;"")),J24&lt;&gt;"",K24&lt;&gt;"",N24&lt;&gt;"",O24&lt;&gt;""),"Sim","Pendente"))</f>
        <v/>
      </c>
      <c r="T24" s="15" t="n"/>
      <c r="U24" s="15" t="n"/>
      <c r="V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20" t="n"/>
      <c r="J25" s="20" t="n"/>
      <c r="K25" s="15" t="n"/>
      <c r="L25" s="15" t="n"/>
      <c r="M25" s="15" t="n"/>
      <c r="N25" s="15" t="n"/>
      <c r="O25" s="15" t="n"/>
      <c r="P25" s="15" t="n"/>
      <c r="Q25" s="15" t="n"/>
      <c r="R25" s="16">
        <f>IF(OR(L25="",Q25=""),"",IF(EXACT(LOWER(TRIM(L25)),LOWER(TRIM(Q25))),"Sim","NÃO"))</f>
        <v/>
      </c>
      <c r="S25" s="16">
        <f>IF(A25="","",IF(AND(R25="Sim",U25&lt;&gt;"",IF(F25="Processo judicial",V25&lt;&gt;"",AND(G25&lt;&gt;"",H25&lt;&gt;"")),J25&lt;&gt;"",K25&lt;&gt;"",N25&lt;&gt;"",O25&lt;&gt;""),"Sim","Pendente"))</f>
        <v/>
      </c>
      <c r="T25" s="15" t="n"/>
      <c r="U25" s="15" t="n"/>
      <c r="V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20" t="n"/>
      <c r="J26" s="20" t="n"/>
      <c r="K26" s="15" t="n"/>
      <c r="L26" s="15" t="n"/>
      <c r="M26" s="15" t="n"/>
      <c r="N26" s="15" t="n"/>
      <c r="O26" s="15" t="n"/>
      <c r="P26" s="15" t="n"/>
      <c r="Q26" s="15" t="n"/>
      <c r="R26" s="16">
        <f>IF(OR(L26="",Q26=""),"",IF(EXACT(LOWER(TRIM(L26)),LOWER(TRIM(Q26))),"Sim","NÃO"))</f>
        <v/>
      </c>
      <c r="S26" s="16">
        <f>IF(A26="","",IF(AND(R26="Sim",U26&lt;&gt;"",IF(F26="Processo judicial",V26&lt;&gt;"",AND(G26&lt;&gt;"",H26&lt;&gt;"")),J26&lt;&gt;"",K26&lt;&gt;"",N26&lt;&gt;"",O26&lt;&gt;""),"Sim","Pendente"))</f>
        <v/>
      </c>
      <c r="T26" s="15" t="n"/>
      <c r="U26" s="15" t="n"/>
      <c r="V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20" t="n"/>
      <c r="J27" s="20" t="n"/>
      <c r="K27" s="15" t="n"/>
      <c r="L27" s="15" t="n"/>
      <c r="M27" s="15" t="n"/>
      <c r="N27" s="15" t="n"/>
      <c r="O27" s="15" t="n"/>
      <c r="P27" s="15" t="n"/>
      <c r="Q27" s="15" t="n"/>
      <c r="R27" s="16">
        <f>IF(OR(L27="",Q27=""),"",IF(EXACT(LOWER(TRIM(L27)),LOWER(TRIM(Q27))),"Sim","NÃO"))</f>
        <v/>
      </c>
      <c r="S27" s="16">
        <f>IF(A27="","",IF(AND(R27="Sim",U27&lt;&gt;"",IF(F27="Processo judicial",V27&lt;&gt;"",AND(G27&lt;&gt;"",H27&lt;&gt;"")),J27&lt;&gt;"",K27&lt;&gt;"",N27&lt;&gt;"",O27&lt;&gt;""),"Sim","Pendente"))</f>
        <v/>
      </c>
      <c r="T27" s="15" t="n"/>
      <c r="U27" s="15" t="n"/>
      <c r="V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20" t="n"/>
      <c r="J28" s="20" t="n"/>
      <c r="K28" s="15" t="n"/>
      <c r="L28" s="15" t="n"/>
      <c r="M28" s="15" t="n"/>
      <c r="N28" s="15" t="n"/>
      <c r="O28" s="15" t="n"/>
      <c r="P28" s="15" t="n"/>
      <c r="Q28" s="15" t="n"/>
      <c r="R28" s="16">
        <f>IF(OR(L28="",Q28=""),"",IF(EXACT(LOWER(TRIM(L28)),LOWER(TRIM(Q28))),"Sim","NÃO"))</f>
        <v/>
      </c>
      <c r="S28" s="16">
        <f>IF(A28="","",IF(AND(R28="Sim",U28&lt;&gt;"",IF(F28="Processo judicial",V28&lt;&gt;"",AND(G28&lt;&gt;"",H28&lt;&gt;"")),J28&lt;&gt;"",K28&lt;&gt;"",N28&lt;&gt;"",O28&lt;&gt;""),"Sim","Pendente"))</f>
        <v/>
      </c>
      <c r="T28" s="15" t="n"/>
      <c r="U28" s="15" t="n"/>
      <c r="V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20" t="n"/>
      <c r="J29" s="20" t="n"/>
      <c r="K29" s="15" t="n"/>
      <c r="L29" s="15" t="n"/>
      <c r="M29" s="15" t="n"/>
      <c r="N29" s="15" t="n"/>
      <c r="O29" s="15" t="n"/>
      <c r="P29" s="15" t="n"/>
      <c r="Q29" s="15" t="n"/>
      <c r="R29" s="16">
        <f>IF(OR(L29="",Q29=""),"",IF(EXACT(LOWER(TRIM(L29)),LOWER(TRIM(Q29))),"Sim","NÃO"))</f>
        <v/>
      </c>
      <c r="S29" s="16">
        <f>IF(A29="","",IF(AND(R29="Sim",U29&lt;&gt;"",IF(F29="Processo judicial",V29&lt;&gt;"",AND(G29&lt;&gt;"",H29&lt;&gt;"")),J29&lt;&gt;"",K29&lt;&gt;"",N29&lt;&gt;"",O29&lt;&gt;""),"Sim","Pendente"))</f>
        <v/>
      </c>
      <c r="T29" s="15" t="n"/>
      <c r="U29" s="15" t="n"/>
      <c r="V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20" t="n"/>
      <c r="J30" s="20" t="n"/>
      <c r="K30" s="15" t="n"/>
      <c r="L30" s="15" t="n"/>
      <c r="M30" s="15" t="n"/>
      <c r="N30" s="15" t="n"/>
      <c r="O30" s="15" t="n"/>
      <c r="P30" s="15" t="n"/>
      <c r="Q30" s="15" t="n"/>
      <c r="R30" s="16">
        <f>IF(OR(L30="",Q30=""),"",IF(EXACT(LOWER(TRIM(L30)),LOWER(TRIM(Q30))),"Sim","NÃO"))</f>
        <v/>
      </c>
      <c r="S30" s="16">
        <f>IF(A30="","",IF(AND(R30="Sim",U30&lt;&gt;"",IF(F30="Processo judicial",V30&lt;&gt;"",AND(G30&lt;&gt;"",H30&lt;&gt;"")),J30&lt;&gt;"",K30&lt;&gt;"",N30&lt;&gt;"",O30&lt;&gt;""),"Sim","Pendente"))</f>
        <v/>
      </c>
      <c r="T30" s="15" t="n"/>
      <c r="U30" s="15" t="n"/>
      <c r="V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20" t="n"/>
      <c r="J31" s="20" t="n"/>
      <c r="K31" s="15" t="n"/>
      <c r="L31" s="15" t="n"/>
      <c r="M31" s="15" t="n"/>
      <c r="N31" s="15" t="n"/>
      <c r="O31" s="15" t="n"/>
      <c r="P31" s="15" t="n"/>
      <c r="Q31" s="15" t="n"/>
      <c r="R31" s="16">
        <f>IF(OR(L31="",Q31=""),"",IF(EXACT(LOWER(TRIM(L31)),LOWER(TRIM(Q31))),"Sim","NÃO"))</f>
        <v/>
      </c>
      <c r="S31" s="16">
        <f>IF(A31="","",IF(AND(R31="Sim",U31&lt;&gt;"",IF(F31="Processo judicial",V31&lt;&gt;"",AND(G31&lt;&gt;"",H31&lt;&gt;"")),J31&lt;&gt;"",K31&lt;&gt;"",N31&lt;&gt;"",O31&lt;&gt;""),"Sim","Pendente"))</f>
        <v/>
      </c>
      <c r="T31" s="15" t="n"/>
      <c r="U31" s="15" t="n"/>
      <c r="V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20" t="n"/>
      <c r="J32" s="20" t="n"/>
      <c r="K32" s="15" t="n"/>
      <c r="L32" s="15" t="n"/>
      <c r="M32" s="15" t="n"/>
      <c r="N32" s="15" t="n"/>
      <c r="O32" s="15" t="n"/>
      <c r="P32" s="15" t="n"/>
      <c r="Q32" s="15" t="n"/>
      <c r="R32" s="16">
        <f>IF(OR(L32="",Q32=""),"",IF(EXACT(LOWER(TRIM(L32)),LOWER(TRIM(Q32))),"Sim","NÃO"))</f>
        <v/>
      </c>
      <c r="S32" s="16">
        <f>IF(A32="","",IF(AND(R32="Sim",U32&lt;&gt;"",IF(F32="Processo judicial",V32&lt;&gt;"",AND(G32&lt;&gt;"",H32&lt;&gt;"")),J32&lt;&gt;"",K32&lt;&gt;"",N32&lt;&gt;"",O32&lt;&gt;""),"Sim","Pendente"))</f>
        <v/>
      </c>
      <c r="T32" s="15" t="n"/>
      <c r="U32" s="15" t="n"/>
      <c r="V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20" t="n"/>
      <c r="J33" s="20" t="n"/>
      <c r="K33" s="15" t="n"/>
      <c r="L33" s="15" t="n"/>
      <c r="M33" s="15" t="n"/>
      <c r="N33" s="15" t="n"/>
      <c r="O33" s="15" t="n"/>
      <c r="P33" s="15" t="n"/>
      <c r="Q33" s="15" t="n"/>
      <c r="R33" s="16">
        <f>IF(OR(L33="",Q33=""),"",IF(EXACT(LOWER(TRIM(L33)),LOWER(TRIM(Q33))),"Sim","NÃO"))</f>
        <v/>
      </c>
      <c r="S33" s="16">
        <f>IF(A33="","",IF(AND(R33="Sim",U33&lt;&gt;"",IF(F33="Processo judicial",V33&lt;&gt;"",AND(G33&lt;&gt;"",H33&lt;&gt;"")),J33&lt;&gt;"",K33&lt;&gt;"",N33&lt;&gt;"",O33&lt;&gt;""),"Sim","Pendente"))</f>
        <v/>
      </c>
      <c r="T33" s="15" t="n"/>
      <c r="U33" s="15" t="n"/>
      <c r="V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20" t="n"/>
      <c r="J34" s="20" t="n"/>
      <c r="K34" s="15" t="n"/>
      <c r="L34" s="15" t="n"/>
      <c r="M34" s="15" t="n"/>
      <c r="N34" s="15" t="n"/>
      <c r="O34" s="15" t="n"/>
      <c r="P34" s="15" t="n"/>
      <c r="Q34" s="15" t="n"/>
      <c r="R34" s="16">
        <f>IF(OR(L34="",Q34=""),"",IF(EXACT(LOWER(TRIM(L34)),LOWER(TRIM(Q34))),"Sim","NÃO"))</f>
        <v/>
      </c>
      <c r="S34" s="16">
        <f>IF(A34="","",IF(AND(R34="Sim",U34&lt;&gt;"",IF(F34="Processo judicial",V34&lt;&gt;"",AND(G34&lt;&gt;"",H34&lt;&gt;"")),J34&lt;&gt;"",K34&lt;&gt;"",N34&lt;&gt;"",O34&lt;&gt;""),"Sim","Pendente"))</f>
        <v/>
      </c>
      <c r="T34" s="15" t="n"/>
      <c r="U34" s="15" t="n"/>
      <c r="V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20" t="n"/>
      <c r="J35" s="20" t="n"/>
      <c r="K35" s="15" t="n"/>
      <c r="L35" s="15" t="n"/>
      <c r="M35" s="15" t="n"/>
      <c r="N35" s="15" t="n"/>
      <c r="O35" s="15" t="n"/>
      <c r="P35" s="15" t="n"/>
      <c r="Q35" s="15" t="n"/>
      <c r="R35" s="16">
        <f>IF(OR(L35="",Q35=""),"",IF(EXACT(LOWER(TRIM(L35)),LOWER(TRIM(Q35))),"Sim","NÃO"))</f>
        <v/>
      </c>
      <c r="S35" s="16">
        <f>IF(A35="","",IF(AND(R35="Sim",U35&lt;&gt;"",IF(F35="Processo judicial",V35&lt;&gt;"",AND(G35&lt;&gt;"",H35&lt;&gt;"")),J35&lt;&gt;"",K35&lt;&gt;"",N35&lt;&gt;"",O35&lt;&gt;""),"Sim","Pendente"))</f>
        <v/>
      </c>
      <c r="T35" s="15" t="n"/>
      <c r="U35" s="15" t="n"/>
      <c r="V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20" t="n"/>
      <c r="J36" s="20" t="n"/>
      <c r="K36" s="15" t="n"/>
      <c r="L36" s="15" t="n"/>
      <c r="M36" s="15" t="n"/>
      <c r="N36" s="15" t="n"/>
      <c r="O36" s="15" t="n"/>
      <c r="P36" s="15" t="n"/>
      <c r="Q36" s="15" t="n"/>
      <c r="R36" s="16">
        <f>IF(OR(L36="",Q36=""),"",IF(EXACT(LOWER(TRIM(L36)),LOWER(TRIM(Q36))),"Sim","NÃO"))</f>
        <v/>
      </c>
      <c r="S36" s="16">
        <f>IF(A36="","",IF(AND(R36="Sim",U36&lt;&gt;"",IF(F36="Processo judicial",V36&lt;&gt;"",AND(G36&lt;&gt;"",H36&lt;&gt;"")),J36&lt;&gt;"",K36&lt;&gt;"",N36&lt;&gt;"",O36&lt;&gt;""),"Sim","Pendente"))</f>
        <v/>
      </c>
      <c r="T36" s="15" t="n"/>
      <c r="U36" s="15" t="n"/>
      <c r="V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20" t="n"/>
      <c r="J37" s="20" t="n"/>
      <c r="K37" s="15" t="n"/>
      <c r="L37" s="15" t="n"/>
      <c r="M37" s="15" t="n"/>
      <c r="N37" s="15" t="n"/>
      <c r="O37" s="15" t="n"/>
      <c r="P37" s="15" t="n"/>
      <c r="Q37" s="15" t="n"/>
      <c r="R37" s="16">
        <f>IF(OR(L37="",Q37=""),"",IF(EXACT(LOWER(TRIM(L37)),LOWER(TRIM(Q37))),"Sim","NÃO"))</f>
        <v/>
      </c>
      <c r="S37" s="16">
        <f>IF(A37="","",IF(AND(R37="Sim",U37&lt;&gt;"",IF(F37="Processo judicial",V37&lt;&gt;"",AND(G37&lt;&gt;"",H37&lt;&gt;"")),J37&lt;&gt;"",K37&lt;&gt;"",N37&lt;&gt;"",O37&lt;&gt;""),"Sim","Pendente"))</f>
        <v/>
      </c>
      <c r="T37" s="15" t="n"/>
      <c r="U37" s="15" t="n"/>
      <c r="V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20" t="n"/>
      <c r="J38" s="20" t="n"/>
      <c r="K38" s="15" t="n"/>
      <c r="L38" s="15" t="n"/>
      <c r="M38" s="15" t="n"/>
      <c r="N38" s="15" t="n"/>
      <c r="O38" s="15" t="n"/>
      <c r="P38" s="15" t="n"/>
      <c r="Q38" s="15" t="n"/>
      <c r="R38" s="16">
        <f>IF(OR(L38="",Q38=""),"",IF(EXACT(LOWER(TRIM(L38)),LOWER(TRIM(Q38))),"Sim","NÃO"))</f>
        <v/>
      </c>
      <c r="S38" s="16">
        <f>IF(A38="","",IF(AND(R38="Sim",U38&lt;&gt;"",IF(F38="Processo judicial",V38&lt;&gt;"",AND(G38&lt;&gt;"",H38&lt;&gt;"")),J38&lt;&gt;"",K38&lt;&gt;"",N38&lt;&gt;"",O38&lt;&gt;""),"Sim","Pendente"))</f>
        <v/>
      </c>
      <c r="T38" s="15" t="n"/>
      <c r="U38" s="15" t="n"/>
      <c r="V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20" t="n"/>
      <c r="J39" s="20" t="n"/>
      <c r="K39" s="15" t="n"/>
      <c r="L39" s="15" t="n"/>
      <c r="M39" s="15" t="n"/>
      <c r="N39" s="15" t="n"/>
      <c r="O39" s="15" t="n"/>
      <c r="P39" s="15" t="n"/>
      <c r="Q39" s="15" t="n"/>
      <c r="R39" s="16">
        <f>IF(OR(L39="",Q39=""),"",IF(EXACT(LOWER(TRIM(L39)),LOWER(TRIM(Q39))),"Sim","NÃO"))</f>
        <v/>
      </c>
      <c r="S39" s="16">
        <f>IF(A39="","",IF(AND(R39="Sim",U39&lt;&gt;"",IF(F39="Processo judicial",V39&lt;&gt;"",AND(G39&lt;&gt;"",H39&lt;&gt;"")),J39&lt;&gt;"",K39&lt;&gt;"",N39&lt;&gt;"",O39&lt;&gt;""),"Sim","Pendente"))</f>
        <v/>
      </c>
      <c r="T39" s="15" t="n"/>
      <c r="U39" s="15" t="n"/>
      <c r="V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20" t="n"/>
      <c r="J40" s="20" t="n"/>
      <c r="K40" s="15" t="n"/>
      <c r="L40" s="15" t="n"/>
      <c r="M40" s="15" t="n"/>
      <c r="N40" s="15" t="n"/>
      <c r="O40" s="15" t="n"/>
      <c r="P40" s="15" t="n"/>
      <c r="Q40" s="15" t="n"/>
      <c r="R40" s="16">
        <f>IF(OR(L40="",Q40=""),"",IF(EXACT(LOWER(TRIM(L40)),LOWER(TRIM(Q40))),"Sim","NÃO"))</f>
        <v/>
      </c>
      <c r="S40" s="16">
        <f>IF(A40="","",IF(AND(R40="Sim",U40&lt;&gt;"",IF(F40="Processo judicial",V40&lt;&gt;"",AND(G40&lt;&gt;"",H40&lt;&gt;"")),J40&lt;&gt;"",K40&lt;&gt;"",N40&lt;&gt;"",O40&lt;&gt;""),"Sim","Pendente"))</f>
        <v/>
      </c>
      <c r="T40" s="15" t="n"/>
      <c r="U40" s="15" t="n"/>
      <c r="V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20" t="n"/>
      <c r="J41" s="20" t="n"/>
      <c r="K41" s="15" t="n"/>
      <c r="L41" s="15" t="n"/>
      <c r="M41" s="15" t="n"/>
      <c r="N41" s="15" t="n"/>
      <c r="O41" s="15" t="n"/>
      <c r="P41" s="15" t="n"/>
      <c r="Q41" s="15" t="n"/>
      <c r="R41" s="16">
        <f>IF(OR(L41="",Q41=""),"",IF(EXACT(LOWER(TRIM(L41)),LOWER(TRIM(Q41))),"Sim","NÃO"))</f>
        <v/>
      </c>
      <c r="S41" s="16">
        <f>IF(A41="","",IF(AND(R41="Sim",U41&lt;&gt;"",IF(F41="Processo judicial",V41&lt;&gt;"",AND(G41&lt;&gt;"",H41&lt;&gt;"")),J41&lt;&gt;"",K41&lt;&gt;"",N41&lt;&gt;"",O41&lt;&gt;""),"Sim","Pendente"))</f>
        <v/>
      </c>
      <c r="T41" s="15" t="n"/>
      <c r="U41" s="15" t="n"/>
      <c r="V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20" t="n"/>
      <c r="J42" s="20" t="n"/>
      <c r="K42" s="15" t="n"/>
      <c r="L42" s="15" t="n"/>
      <c r="M42" s="15" t="n"/>
      <c r="N42" s="15" t="n"/>
      <c r="O42" s="15" t="n"/>
      <c r="P42" s="15" t="n"/>
      <c r="Q42" s="15" t="n"/>
      <c r="R42" s="16">
        <f>IF(OR(L42="",Q42=""),"",IF(EXACT(LOWER(TRIM(L42)),LOWER(TRIM(Q42))),"Sim","NÃO"))</f>
        <v/>
      </c>
      <c r="S42" s="16">
        <f>IF(A42="","",IF(AND(R42="Sim",U42&lt;&gt;"",IF(F42="Processo judicial",V42&lt;&gt;"",AND(G42&lt;&gt;"",H42&lt;&gt;"")),J42&lt;&gt;"",K42&lt;&gt;"",N42&lt;&gt;"",O42&lt;&gt;""),"Sim","Pendente"))</f>
        <v/>
      </c>
      <c r="T42" s="15" t="n"/>
      <c r="U42" s="15" t="n"/>
      <c r="V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20" t="n"/>
      <c r="J43" s="20" t="n"/>
      <c r="K43" s="15" t="n"/>
      <c r="L43" s="15" t="n"/>
      <c r="M43" s="15" t="n"/>
      <c r="N43" s="15" t="n"/>
      <c r="O43" s="15" t="n"/>
      <c r="P43" s="15" t="n"/>
      <c r="Q43" s="15" t="n"/>
      <c r="R43" s="16">
        <f>IF(OR(L43="",Q43=""),"",IF(EXACT(LOWER(TRIM(L43)),LOWER(TRIM(Q43))),"Sim","NÃO"))</f>
        <v/>
      </c>
      <c r="S43" s="16">
        <f>IF(A43="","",IF(AND(R43="Sim",U43&lt;&gt;"",IF(F43="Processo judicial",V43&lt;&gt;"",AND(G43&lt;&gt;"",H43&lt;&gt;"")),J43&lt;&gt;"",K43&lt;&gt;"",N43&lt;&gt;"",O43&lt;&gt;""),"Sim","Pendente"))</f>
        <v/>
      </c>
      <c r="T43" s="15" t="n"/>
      <c r="U43" s="15" t="n"/>
      <c r="V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20" t="n"/>
      <c r="J44" s="20" t="n"/>
      <c r="K44" s="15" t="n"/>
      <c r="L44" s="15" t="n"/>
      <c r="M44" s="15" t="n"/>
      <c r="N44" s="15" t="n"/>
      <c r="O44" s="15" t="n"/>
      <c r="P44" s="15" t="n"/>
      <c r="Q44" s="15" t="n"/>
      <c r="R44" s="16">
        <f>IF(OR(L44="",Q44=""),"",IF(EXACT(LOWER(TRIM(L44)),LOWER(TRIM(Q44))),"Sim","NÃO"))</f>
        <v/>
      </c>
      <c r="S44" s="16">
        <f>IF(A44="","",IF(AND(R44="Sim",U44&lt;&gt;"",IF(F44="Processo judicial",V44&lt;&gt;"",AND(G44&lt;&gt;"",H44&lt;&gt;"")),J44&lt;&gt;"",K44&lt;&gt;"",N44&lt;&gt;"",O44&lt;&gt;""),"Sim","Pendente"))</f>
        <v/>
      </c>
      <c r="T44" s="15" t="n"/>
      <c r="U44" s="15" t="n"/>
      <c r="V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20" t="n"/>
      <c r="J45" s="20" t="n"/>
      <c r="K45" s="15" t="n"/>
      <c r="L45" s="15" t="n"/>
      <c r="M45" s="15" t="n"/>
      <c r="N45" s="15" t="n"/>
      <c r="O45" s="15" t="n"/>
      <c r="P45" s="15" t="n"/>
      <c r="Q45" s="15" t="n"/>
      <c r="R45" s="16">
        <f>IF(OR(L45="",Q45=""),"",IF(EXACT(LOWER(TRIM(L45)),LOWER(TRIM(Q45))),"Sim","NÃO"))</f>
        <v/>
      </c>
      <c r="S45" s="16">
        <f>IF(A45="","",IF(AND(R45="Sim",U45&lt;&gt;"",IF(F45="Processo judicial",V45&lt;&gt;"",AND(G45&lt;&gt;"",H45&lt;&gt;"")),J45&lt;&gt;"",K45&lt;&gt;"",N45&lt;&gt;"",O45&lt;&gt;""),"Sim","Pendente"))</f>
        <v/>
      </c>
      <c r="T45" s="15" t="n"/>
      <c r="U45" s="15" t="n"/>
      <c r="V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20" t="n"/>
      <c r="J46" s="20" t="n"/>
      <c r="K46" s="15" t="n"/>
      <c r="L46" s="15" t="n"/>
      <c r="M46" s="15" t="n"/>
      <c r="N46" s="15" t="n"/>
      <c r="O46" s="15" t="n"/>
      <c r="P46" s="15" t="n"/>
      <c r="Q46" s="15" t="n"/>
      <c r="R46" s="16">
        <f>IF(OR(L46="",Q46=""),"",IF(EXACT(LOWER(TRIM(L46)),LOWER(TRIM(Q46))),"Sim","NÃO"))</f>
        <v/>
      </c>
      <c r="S46" s="16">
        <f>IF(A46="","",IF(AND(R46="Sim",U46&lt;&gt;"",IF(F46="Processo judicial",V46&lt;&gt;"",AND(G46&lt;&gt;"",H46&lt;&gt;"")),J46&lt;&gt;"",K46&lt;&gt;"",N46&lt;&gt;"",O46&lt;&gt;""),"Sim","Pendente"))</f>
        <v/>
      </c>
      <c r="T46" s="15" t="n"/>
      <c r="U46" s="15" t="n"/>
      <c r="V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20" t="n"/>
      <c r="J47" s="20" t="n"/>
      <c r="K47" s="15" t="n"/>
      <c r="L47" s="15" t="n"/>
      <c r="M47" s="15" t="n"/>
      <c r="N47" s="15" t="n"/>
      <c r="O47" s="15" t="n"/>
      <c r="P47" s="15" t="n"/>
      <c r="Q47" s="15" t="n"/>
      <c r="R47" s="16">
        <f>IF(OR(L47="",Q47=""),"",IF(EXACT(LOWER(TRIM(L47)),LOWER(TRIM(Q47))),"Sim","NÃO"))</f>
        <v/>
      </c>
      <c r="S47" s="16">
        <f>IF(A47="","",IF(AND(R47="Sim",U47&lt;&gt;"",IF(F47="Processo judicial",V47&lt;&gt;"",AND(G47&lt;&gt;"",H47&lt;&gt;"")),J47&lt;&gt;"",K47&lt;&gt;"",N47&lt;&gt;"",O47&lt;&gt;""),"Sim","Pendente"))</f>
        <v/>
      </c>
      <c r="T47" s="15" t="n"/>
      <c r="U47" s="15" t="n"/>
      <c r="V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20" t="n"/>
      <c r="J48" s="20" t="n"/>
      <c r="K48" s="15" t="n"/>
      <c r="L48" s="15" t="n"/>
      <c r="M48" s="15" t="n"/>
      <c r="N48" s="15" t="n"/>
      <c r="O48" s="15" t="n"/>
      <c r="P48" s="15" t="n"/>
      <c r="Q48" s="15" t="n"/>
      <c r="R48" s="16">
        <f>IF(OR(L48="",Q48=""),"",IF(EXACT(LOWER(TRIM(L48)),LOWER(TRIM(Q48))),"Sim","NÃO"))</f>
        <v/>
      </c>
      <c r="S48" s="16">
        <f>IF(A48="","",IF(AND(R48="Sim",U48&lt;&gt;"",IF(F48="Processo judicial",V48&lt;&gt;"",AND(G48&lt;&gt;"",H48&lt;&gt;"")),J48&lt;&gt;"",K48&lt;&gt;"",N48&lt;&gt;"",O48&lt;&gt;""),"Sim","Pendente"))</f>
        <v/>
      </c>
      <c r="T48" s="15" t="n"/>
      <c r="U48" s="15" t="n"/>
      <c r="V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20" t="n"/>
      <c r="J49" s="20" t="n"/>
      <c r="K49" s="15" t="n"/>
      <c r="L49" s="15" t="n"/>
      <c r="M49" s="15" t="n"/>
      <c r="N49" s="15" t="n"/>
      <c r="O49" s="15" t="n"/>
      <c r="P49" s="15" t="n"/>
      <c r="Q49" s="15" t="n"/>
      <c r="R49" s="16">
        <f>IF(OR(L49="",Q49=""),"",IF(EXACT(LOWER(TRIM(L49)),LOWER(TRIM(Q49))),"Sim","NÃO"))</f>
        <v/>
      </c>
      <c r="S49" s="16">
        <f>IF(A49="","",IF(AND(R49="Sim",U49&lt;&gt;"",IF(F49="Processo judicial",V49&lt;&gt;"",AND(G49&lt;&gt;"",H49&lt;&gt;"")),J49&lt;&gt;"",K49&lt;&gt;"",N49&lt;&gt;"",O49&lt;&gt;""),"Sim","Pendente"))</f>
        <v/>
      </c>
      <c r="T49" s="15" t="n"/>
      <c r="U49" s="15" t="n"/>
      <c r="V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20" t="n"/>
      <c r="J50" s="20" t="n"/>
      <c r="K50" s="15" t="n"/>
      <c r="L50" s="15" t="n"/>
      <c r="M50" s="15" t="n"/>
      <c r="N50" s="15" t="n"/>
      <c r="O50" s="15" t="n"/>
      <c r="P50" s="15" t="n"/>
      <c r="Q50" s="15" t="n"/>
      <c r="R50" s="16">
        <f>IF(OR(L50="",Q50=""),"",IF(EXACT(LOWER(TRIM(L50)),LOWER(TRIM(Q50))),"Sim","NÃO"))</f>
        <v/>
      </c>
      <c r="S50" s="16">
        <f>IF(A50="","",IF(AND(R50="Sim",U50&lt;&gt;"",IF(F50="Processo judicial",V50&lt;&gt;"",AND(G50&lt;&gt;"",H50&lt;&gt;"")),J50&lt;&gt;"",K50&lt;&gt;"",N50&lt;&gt;"",O50&lt;&gt;""),"Sim","Pendente"))</f>
        <v/>
      </c>
      <c r="T50" s="15" t="n"/>
      <c r="U50" s="15" t="n"/>
      <c r="V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20" t="n"/>
      <c r="J51" s="20" t="n"/>
      <c r="K51" s="15" t="n"/>
      <c r="L51" s="15" t="n"/>
      <c r="M51" s="15" t="n"/>
      <c r="N51" s="15" t="n"/>
      <c r="O51" s="15" t="n"/>
      <c r="P51" s="15" t="n"/>
      <c r="Q51" s="15" t="n"/>
      <c r="R51" s="16">
        <f>IF(OR(L51="",Q51=""),"",IF(EXACT(LOWER(TRIM(L51)),LOWER(TRIM(Q51))),"Sim","NÃO"))</f>
        <v/>
      </c>
      <c r="S51" s="16">
        <f>IF(A51="","",IF(AND(R51="Sim",U51&lt;&gt;"",IF(F51="Processo judicial",V51&lt;&gt;"",AND(G51&lt;&gt;"",H51&lt;&gt;"")),J51&lt;&gt;"",K51&lt;&gt;"",N51&lt;&gt;"",O51&lt;&gt;""),"Sim","Pendente"))</f>
        <v/>
      </c>
      <c r="T51" s="15" t="n"/>
      <c r="U51" s="15" t="n"/>
      <c r="V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20" t="n"/>
      <c r="J52" s="20" t="n"/>
      <c r="K52" s="15" t="n"/>
      <c r="L52" s="15" t="n"/>
      <c r="M52" s="15" t="n"/>
      <c r="N52" s="15" t="n"/>
      <c r="O52" s="15" t="n"/>
      <c r="P52" s="15" t="n"/>
      <c r="Q52" s="15" t="n"/>
      <c r="R52" s="16">
        <f>IF(OR(L52="",Q52=""),"",IF(EXACT(LOWER(TRIM(L52)),LOWER(TRIM(Q52))),"Sim","NÃO"))</f>
        <v/>
      </c>
      <c r="S52" s="16">
        <f>IF(A52="","",IF(AND(R52="Sim",U52&lt;&gt;"",IF(F52="Processo judicial",V52&lt;&gt;"",AND(G52&lt;&gt;"",H52&lt;&gt;"")),J52&lt;&gt;"",K52&lt;&gt;"",N52&lt;&gt;"",O52&lt;&gt;""),"Sim","Pendente"))</f>
        <v/>
      </c>
      <c r="T52" s="15" t="n"/>
      <c r="U52" s="15" t="n"/>
      <c r="V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20" t="n"/>
      <c r="J53" s="20" t="n"/>
      <c r="K53" s="15" t="n"/>
      <c r="L53" s="15" t="n"/>
      <c r="M53" s="15" t="n"/>
      <c r="N53" s="15" t="n"/>
      <c r="O53" s="15" t="n"/>
      <c r="P53" s="15" t="n"/>
      <c r="Q53" s="15" t="n"/>
      <c r="R53" s="16">
        <f>IF(OR(L53="",Q53=""),"",IF(EXACT(LOWER(TRIM(L53)),LOWER(TRIM(Q53))),"Sim","NÃO"))</f>
        <v/>
      </c>
      <c r="S53" s="16">
        <f>IF(A53="","",IF(AND(R53="Sim",U53&lt;&gt;"",IF(F53="Processo judicial",V53&lt;&gt;"",AND(G53&lt;&gt;"",H53&lt;&gt;"")),J53&lt;&gt;"",K53&lt;&gt;"",N53&lt;&gt;"",O53&lt;&gt;""),"Sim","Pendente"))</f>
        <v/>
      </c>
      <c r="T53" s="15" t="n"/>
      <c r="U53" s="15" t="n"/>
      <c r="V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20" t="n"/>
      <c r="J54" s="20" t="n"/>
      <c r="K54" s="15" t="n"/>
      <c r="L54" s="15" t="n"/>
      <c r="M54" s="15" t="n"/>
      <c r="N54" s="15" t="n"/>
      <c r="O54" s="15" t="n"/>
      <c r="P54" s="15" t="n"/>
      <c r="Q54" s="15" t="n"/>
      <c r="R54" s="16">
        <f>IF(OR(L54="",Q54=""),"",IF(EXACT(LOWER(TRIM(L54)),LOWER(TRIM(Q54))),"Sim","NÃO"))</f>
        <v/>
      </c>
      <c r="S54" s="16">
        <f>IF(A54="","",IF(AND(R54="Sim",U54&lt;&gt;"",IF(F54="Processo judicial",V54&lt;&gt;"",AND(G54&lt;&gt;"",H54&lt;&gt;"")),J54&lt;&gt;"",K54&lt;&gt;"",N54&lt;&gt;"",O54&lt;&gt;""),"Sim","Pendente"))</f>
        <v/>
      </c>
      <c r="T54" s="15" t="n"/>
      <c r="U54" s="15" t="n"/>
      <c r="V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20" t="n"/>
      <c r="J55" s="20" t="n"/>
      <c r="K55" s="15" t="n"/>
      <c r="L55" s="15" t="n"/>
      <c r="M55" s="15" t="n"/>
      <c r="N55" s="15" t="n"/>
      <c r="O55" s="15" t="n"/>
      <c r="P55" s="15" t="n"/>
      <c r="Q55" s="15" t="n"/>
      <c r="R55" s="16">
        <f>IF(OR(L55="",Q55=""),"",IF(EXACT(LOWER(TRIM(L55)),LOWER(TRIM(Q55))),"Sim","NÃO"))</f>
        <v/>
      </c>
      <c r="S55" s="16">
        <f>IF(A55="","",IF(AND(R55="Sim",U55&lt;&gt;"",IF(F55="Processo judicial",V55&lt;&gt;"",AND(G55&lt;&gt;"",H55&lt;&gt;"")),J55&lt;&gt;"",K55&lt;&gt;"",N55&lt;&gt;"",O55&lt;&gt;""),"Sim","Pendente"))</f>
        <v/>
      </c>
      <c r="T55" s="15" t="n"/>
      <c r="U55" s="15" t="n"/>
      <c r="V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20" t="n"/>
      <c r="J56" s="20" t="n"/>
      <c r="K56" s="15" t="n"/>
      <c r="L56" s="15" t="n"/>
      <c r="M56" s="15" t="n"/>
      <c r="N56" s="15" t="n"/>
      <c r="O56" s="15" t="n"/>
      <c r="P56" s="15" t="n"/>
      <c r="Q56" s="15" t="n"/>
      <c r="R56" s="16">
        <f>IF(OR(L56="",Q56=""),"",IF(EXACT(LOWER(TRIM(L56)),LOWER(TRIM(Q56))),"Sim","NÃO"))</f>
        <v/>
      </c>
      <c r="S56" s="16">
        <f>IF(A56="","",IF(AND(R56="Sim",U56&lt;&gt;"",IF(F56="Processo judicial",V56&lt;&gt;"",AND(G56&lt;&gt;"",H56&lt;&gt;"")),J56&lt;&gt;"",K56&lt;&gt;"",N56&lt;&gt;"",O56&lt;&gt;""),"Sim","Pendente"))</f>
        <v/>
      </c>
      <c r="T56" s="15" t="n"/>
      <c r="U56" s="15" t="n"/>
      <c r="V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20" t="n"/>
      <c r="J57" s="20" t="n"/>
      <c r="K57" s="15" t="n"/>
      <c r="L57" s="15" t="n"/>
      <c r="M57" s="15" t="n"/>
      <c r="N57" s="15" t="n"/>
      <c r="O57" s="15" t="n"/>
      <c r="P57" s="15" t="n"/>
      <c r="Q57" s="15" t="n"/>
      <c r="R57" s="16">
        <f>IF(OR(L57="",Q57=""),"",IF(EXACT(LOWER(TRIM(L57)),LOWER(TRIM(Q57))),"Sim","NÃO"))</f>
        <v/>
      </c>
      <c r="S57" s="16">
        <f>IF(A57="","",IF(AND(R57="Sim",U57&lt;&gt;"",IF(F57="Processo judicial",V57&lt;&gt;"",AND(G57&lt;&gt;"",H57&lt;&gt;"")),J57&lt;&gt;"",K57&lt;&gt;"",N57&lt;&gt;"",O57&lt;&gt;""),"Sim","Pendente"))</f>
        <v/>
      </c>
      <c r="T57" s="15" t="n"/>
      <c r="U57" s="15" t="n"/>
      <c r="V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20" t="n"/>
      <c r="J58" s="20" t="n"/>
      <c r="K58" s="15" t="n"/>
      <c r="L58" s="15" t="n"/>
      <c r="M58" s="15" t="n"/>
      <c r="N58" s="15" t="n"/>
      <c r="O58" s="15" t="n"/>
      <c r="P58" s="15" t="n"/>
      <c r="Q58" s="15" t="n"/>
      <c r="R58" s="16">
        <f>IF(OR(L58="",Q58=""),"",IF(EXACT(LOWER(TRIM(L58)),LOWER(TRIM(Q58))),"Sim","NÃO"))</f>
        <v/>
      </c>
      <c r="S58" s="16">
        <f>IF(A58="","",IF(AND(R58="Sim",U58&lt;&gt;"",IF(F58="Processo judicial",V58&lt;&gt;"",AND(G58&lt;&gt;"",H58&lt;&gt;"")),J58&lt;&gt;"",K58&lt;&gt;"",N58&lt;&gt;"",O58&lt;&gt;""),"Sim","Pendente"))</f>
        <v/>
      </c>
      <c r="T58" s="15" t="n"/>
      <c r="U58" s="15" t="n"/>
      <c r="V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20" t="n"/>
      <c r="J59" s="20" t="n"/>
      <c r="K59" s="15" t="n"/>
      <c r="L59" s="15" t="n"/>
      <c r="M59" s="15" t="n"/>
      <c r="N59" s="15" t="n"/>
      <c r="O59" s="15" t="n"/>
      <c r="P59" s="15" t="n"/>
      <c r="Q59" s="15" t="n"/>
      <c r="R59" s="16">
        <f>IF(OR(L59="",Q59=""),"",IF(EXACT(LOWER(TRIM(L59)),LOWER(TRIM(Q59))),"Sim","NÃO"))</f>
        <v/>
      </c>
      <c r="S59" s="16">
        <f>IF(A59="","",IF(AND(R59="Sim",U59&lt;&gt;"",IF(F59="Processo judicial",V59&lt;&gt;"",AND(G59&lt;&gt;"",H59&lt;&gt;"")),J59&lt;&gt;"",K59&lt;&gt;"",N59&lt;&gt;"",O59&lt;&gt;""),"Sim","Pendente"))</f>
        <v/>
      </c>
      <c r="T59" s="15" t="n"/>
      <c r="U59" s="15" t="n"/>
      <c r="V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20" t="n"/>
      <c r="J60" s="20" t="n"/>
      <c r="K60" s="15" t="n"/>
      <c r="L60" s="15" t="n"/>
      <c r="M60" s="15" t="n"/>
      <c r="N60" s="15" t="n"/>
      <c r="O60" s="15" t="n"/>
      <c r="P60" s="15" t="n"/>
      <c r="Q60" s="15" t="n"/>
      <c r="R60" s="16">
        <f>IF(OR(L60="",Q60=""),"",IF(EXACT(LOWER(TRIM(L60)),LOWER(TRIM(Q60))),"Sim","NÃO"))</f>
        <v/>
      </c>
      <c r="S60" s="16">
        <f>IF(A60="","",IF(AND(R60="Sim",U60&lt;&gt;"",IF(F60="Processo judicial",V60&lt;&gt;"",AND(G60&lt;&gt;"",H60&lt;&gt;"")),J60&lt;&gt;"",K60&lt;&gt;"",N60&lt;&gt;"",O60&lt;&gt;""),"Sim","Pendente"))</f>
        <v/>
      </c>
      <c r="T60" s="15" t="n"/>
      <c r="U60" s="15" t="n"/>
      <c r="V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20" t="n"/>
      <c r="J61" s="20" t="n"/>
      <c r="K61" s="15" t="n"/>
      <c r="L61" s="15" t="n"/>
      <c r="M61" s="15" t="n"/>
      <c r="N61" s="15" t="n"/>
      <c r="O61" s="15" t="n"/>
      <c r="P61" s="15" t="n"/>
      <c r="Q61" s="15" t="n"/>
      <c r="R61" s="16">
        <f>IF(OR(L61="",Q61=""),"",IF(EXACT(LOWER(TRIM(L61)),LOWER(TRIM(Q61))),"Sim","NÃO"))</f>
        <v/>
      </c>
      <c r="S61" s="16">
        <f>IF(A61="","",IF(AND(R61="Sim",U61&lt;&gt;"",IF(F61="Processo judicial",V61&lt;&gt;"",AND(G61&lt;&gt;"",H61&lt;&gt;"")),J61&lt;&gt;"",K61&lt;&gt;"",N61&lt;&gt;"",O61&lt;&gt;""),"Sim","Pendente"))</f>
        <v/>
      </c>
      <c r="T61" s="15" t="n"/>
      <c r="U61" s="15" t="n"/>
      <c r="V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20" t="n"/>
      <c r="J62" s="20" t="n"/>
      <c r="K62" s="15" t="n"/>
      <c r="L62" s="15" t="n"/>
      <c r="M62" s="15" t="n"/>
      <c r="N62" s="15" t="n"/>
      <c r="O62" s="15" t="n"/>
      <c r="P62" s="15" t="n"/>
      <c r="Q62" s="15" t="n"/>
      <c r="R62" s="16">
        <f>IF(OR(L62="",Q62=""),"",IF(EXACT(LOWER(TRIM(L62)),LOWER(TRIM(Q62))),"Sim","NÃO"))</f>
        <v/>
      </c>
      <c r="S62" s="16">
        <f>IF(A62="","",IF(AND(R62="Sim",U62&lt;&gt;"",IF(F62="Processo judicial",V62&lt;&gt;"",AND(G62&lt;&gt;"",H62&lt;&gt;"")),J62&lt;&gt;"",K62&lt;&gt;"",N62&lt;&gt;"",O62&lt;&gt;""),"Sim","Pendente"))</f>
        <v/>
      </c>
      <c r="T62" s="15" t="n"/>
      <c r="U62" s="15" t="n"/>
      <c r="V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20" t="n"/>
      <c r="J63" s="20" t="n"/>
      <c r="K63" s="15" t="n"/>
      <c r="L63" s="15" t="n"/>
      <c r="M63" s="15" t="n"/>
      <c r="N63" s="15" t="n"/>
      <c r="O63" s="15" t="n"/>
      <c r="P63" s="15" t="n"/>
      <c r="Q63" s="15" t="n"/>
      <c r="R63" s="16">
        <f>IF(OR(L63="",Q63=""),"",IF(EXACT(LOWER(TRIM(L63)),LOWER(TRIM(Q63))),"Sim","NÃO"))</f>
        <v/>
      </c>
      <c r="S63" s="16">
        <f>IF(A63="","",IF(AND(R63="Sim",U63&lt;&gt;"",IF(F63="Processo judicial",V63&lt;&gt;"",AND(G63&lt;&gt;"",H63&lt;&gt;"")),J63&lt;&gt;"",K63&lt;&gt;"",N63&lt;&gt;"",O63&lt;&gt;""),"Sim","Pendente"))</f>
        <v/>
      </c>
      <c r="T63" s="15" t="n"/>
      <c r="U63" s="15" t="n"/>
      <c r="V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20" t="n"/>
      <c r="J64" s="20" t="n"/>
      <c r="K64" s="15" t="n"/>
      <c r="L64" s="15" t="n"/>
      <c r="M64" s="15" t="n"/>
      <c r="N64" s="15" t="n"/>
      <c r="O64" s="15" t="n"/>
      <c r="P64" s="15" t="n"/>
      <c r="Q64" s="15" t="n"/>
      <c r="R64" s="16">
        <f>IF(OR(L64="",Q64=""),"",IF(EXACT(LOWER(TRIM(L64)),LOWER(TRIM(Q64))),"Sim","NÃO"))</f>
        <v/>
      </c>
      <c r="S64" s="16">
        <f>IF(A64="","",IF(AND(R64="Sim",U64&lt;&gt;"",IF(F64="Processo judicial",V64&lt;&gt;"",AND(G64&lt;&gt;"",H64&lt;&gt;"")),J64&lt;&gt;"",K64&lt;&gt;"",N64&lt;&gt;"",O64&lt;&gt;""),"Sim","Pendente"))</f>
        <v/>
      </c>
      <c r="T64" s="15" t="n"/>
      <c r="U64" s="15" t="n"/>
      <c r="V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20" t="n"/>
      <c r="J65" s="20" t="n"/>
      <c r="K65" s="15" t="n"/>
      <c r="L65" s="15" t="n"/>
      <c r="M65" s="15" t="n"/>
      <c r="N65" s="15" t="n"/>
      <c r="O65" s="15" t="n"/>
      <c r="P65" s="15" t="n"/>
      <c r="Q65" s="15" t="n"/>
      <c r="R65" s="16">
        <f>IF(OR(L65="",Q65=""),"",IF(EXACT(LOWER(TRIM(L65)),LOWER(TRIM(Q65))),"Sim","NÃO"))</f>
        <v/>
      </c>
      <c r="S65" s="16">
        <f>IF(A65="","",IF(AND(R65="Sim",U65&lt;&gt;"",IF(F65="Processo judicial",V65&lt;&gt;"",AND(G65&lt;&gt;"",H65&lt;&gt;"")),J65&lt;&gt;"",K65&lt;&gt;"",N65&lt;&gt;"",O65&lt;&gt;""),"Sim","Pendente"))</f>
        <v/>
      </c>
      <c r="T65" s="15" t="n"/>
      <c r="U65" s="15" t="n"/>
      <c r="V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20" t="n"/>
      <c r="J66" s="20" t="n"/>
      <c r="K66" s="15" t="n"/>
      <c r="L66" s="15" t="n"/>
      <c r="M66" s="15" t="n"/>
      <c r="N66" s="15" t="n"/>
      <c r="O66" s="15" t="n"/>
      <c r="P66" s="15" t="n"/>
      <c r="Q66" s="15" t="n"/>
      <c r="R66" s="16">
        <f>IF(OR(L66="",Q66=""),"",IF(EXACT(LOWER(TRIM(L66)),LOWER(TRIM(Q66))),"Sim","NÃO"))</f>
        <v/>
      </c>
      <c r="S66" s="16">
        <f>IF(A66="","",IF(AND(R66="Sim",U66&lt;&gt;"",IF(F66="Processo judicial",V66&lt;&gt;"",AND(G66&lt;&gt;"",H66&lt;&gt;"")),J66&lt;&gt;"",K66&lt;&gt;"",N66&lt;&gt;"",O66&lt;&gt;""),"Sim","Pendente"))</f>
        <v/>
      </c>
      <c r="T66" s="15" t="n"/>
      <c r="U66" s="15" t="n"/>
      <c r="V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20" t="n"/>
      <c r="J67" s="20" t="n"/>
      <c r="K67" s="15" t="n"/>
      <c r="L67" s="15" t="n"/>
      <c r="M67" s="15" t="n"/>
      <c r="N67" s="15" t="n"/>
      <c r="O67" s="15" t="n"/>
      <c r="P67" s="15" t="n"/>
      <c r="Q67" s="15" t="n"/>
      <c r="R67" s="16">
        <f>IF(OR(L67="",Q67=""),"",IF(EXACT(LOWER(TRIM(L67)),LOWER(TRIM(Q67))),"Sim","NÃO"))</f>
        <v/>
      </c>
      <c r="S67" s="16">
        <f>IF(A67="","",IF(AND(R67="Sim",U67&lt;&gt;"",IF(F67="Processo judicial",V67&lt;&gt;"",AND(G67&lt;&gt;"",H67&lt;&gt;"")),J67&lt;&gt;"",K67&lt;&gt;"",N67&lt;&gt;"",O67&lt;&gt;""),"Sim","Pendente"))</f>
        <v/>
      </c>
      <c r="T67" s="15" t="n"/>
      <c r="U67" s="15" t="n"/>
      <c r="V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20" t="n"/>
      <c r="J68" s="20" t="n"/>
      <c r="K68" s="15" t="n"/>
      <c r="L68" s="15" t="n"/>
      <c r="M68" s="15" t="n"/>
      <c r="N68" s="15" t="n"/>
      <c r="O68" s="15" t="n"/>
      <c r="P68" s="15" t="n"/>
      <c r="Q68" s="15" t="n"/>
      <c r="R68" s="16">
        <f>IF(OR(L68="",Q68=""),"",IF(EXACT(LOWER(TRIM(L68)),LOWER(TRIM(Q68))),"Sim","NÃO"))</f>
        <v/>
      </c>
      <c r="S68" s="16">
        <f>IF(A68="","",IF(AND(R68="Sim",U68&lt;&gt;"",IF(F68="Processo judicial",V68&lt;&gt;"",AND(G68&lt;&gt;"",H68&lt;&gt;"")),J68&lt;&gt;"",K68&lt;&gt;"",N68&lt;&gt;"",O68&lt;&gt;""),"Sim","Pendente"))</f>
        <v/>
      </c>
      <c r="T68" s="15" t="n"/>
      <c r="U68" s="15" t="n"/>
      <c r="V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20" t="n"/>
      <c r="J69" s="20" t="n"/>
      <c r="K69" s="15" t="n"/>
      <c r="L69" s="15" t="n"/>
      <c r="M69" s="15" t="n"/>
      <c r="N69" s="15" t="n"/>
      <c r="O69" s="15" t="n"/>
      <c r="P69" s="15" t="n"/>
      <c r="Q69" s="15" t="n"/>
      <c r="R69" s="16">
        <f>IF(OR(L69="",Q69=""),"",IF(EXACT(LOWER(TRIM(L69)),LOWER(TRIM(Q69))),"Sim","NÃO"))</f>
        <v/>
      </c>
      <c r="S69" s="16">
        <f>IF(A69="","",IF(AND(R69="Sim",U69&lt;&gt;"",IF(F69="Processo judicial",V69&lt;&gt;"",AND(G69&lt;&gt;"",H69&lt;&gt;"")),J69&lt;&gt;"",K69&lt;&gt;"",N69&lt;&gt;"",O69&lt;&gt;""),"Sim","Pendente"))</f>
        <v/>
      </c>
      <c r="T69" s="15" t="n"/>
      <c r="U69" s="15" t="n"/>
      <c r="V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20" t="n"/>
      <c r="J70" s="20" t="n"/>
      <c r="K70" s="15" t="n"/>
      <c r="L70" s="15" t="n"/>
      <c r="M70" s="15" t="n"/>
      <c r="N70" s="15" t="n"/>
      <c r="O70" s="15" t="n"/>
      <c r="P70" s="15" t="n"/>
      <c r="Q70" s="15" t="n"/>
      <c r="R70" s="16">
        <f>IF(OR(L70="",Q70=""),"",IF(EXACT(LOWER(TRIM(L70)),LOWER(TRIM(Q70))),"Sim","NÃO"))</f>
        <v/>
      </c>
      <c r="S70" s="16">
        <f>IF(A70="","",IF(AND(R70="Sim",U70&lt;&gt;"",IF(F70="Processo judicial",V70&lt;&gt;"",AND(G70&lt;&gt;"",H70&lt;&gt;"")),J70&lt;&gt;"",K70&lt;&gt;"",N70&lt;&gt;"",O70&lt;&gt;""),"Sim","Pendente"))</f>
        <v/>
      </c>
      <c r="T70" s="15" t="n"/>
      <c r="U70" s="15" t="n"/>
      <c r="V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20" t="n"/>
      <c r="J71" s="20" t="n"/>
      <c r="K71" s="15" t="n"/>
      <c r="L71" s="15" t="n"/>
      <c r="M71" s="15" t="n"/>
      <c r="N71" s="15" t="n"/>
      <c r="O71" s="15" t="n"/>
      <c r="P71" s="15" t="n"/>
      <c r="Q71" s="15" t="n"/>
      <c r="R71" s="16">
        <f>IF(OR(L71="",Q71=""),"",IF(EXACT(LOWER(TRIM(L71)),LOWER(TRIM(Q71))),"Sim","NÃO"))</f>
        <v/>
      </c>
      <c r="S71" s="16">
        <f>IF(A71="","",IF(AND(R71="Sim",U71&lt;&gt;"",IF(F71="Processo judicial",V71&lt;&gt;"",AND(G71&lt;&gt;"",H71&lt;&gt;"")),J71&lt;&gt;"",K71&lt;&gt;"",N71&lt;&gt;"",O71&lt;&gt;""),"Sim","Pendente"))</f>
        <v/>
      </c>
      <c r="T71" s="15" t="n"/>
      <c r="U71" s="15" t="n"/>
      <c r="V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20" t="n"/>
      <c r="J72" s="20" t="n"/>
      <c r="K72" s="15" t="n"/>
      <c r="L72" s="15" t="n"/>
      <c r="M72" s="15" t="n"/>
      <c r="N72" s="15" t="n"/>
      <c r="O72" s="15" t="n"/>
      <c r="P72" s="15" t="n"/>
      <c r="Q72" s="15" t="n"/>
      <c r="R72" s="16">
        <f>IF(OR(L72="",Q72=""),"",IF(EXACT(LOWER(TRIM(L72)),LOWER(TRIM(Q72))),"Sim","NÃO"))</f>
        <v/>
      </c>
      <c r="S72" s="16">
        <f>IF(A72="","",IF(AND(R72="Sim",U72&lt;&gt;"",IF(F72="Processo judicial",V72&lt;&gt;"",AND(G72&lt;&gt;"",H72&lt;&gt;"")),J72&lt;&gt;"",K72&lt;&gt;"",N72&lt;&gt;"",O72&lt;&gt;""),"Sim","Pendente"))</f>
        <v/>
      </c>
      <c r="T72" s="15" t="n"/>
      <c r="U72" s="15" t="n"/>
      <c r="V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20" t="n"/>
      <c r="J73" s="20" t="n"/>
      <c r="K73" s="15" t="n"/>
      <c r="L73" s="15" t="n"/>
      <c r="M73" s="15" t="n"/>
      <c r="N73" s="15" t="n"/>
      <c r="O73" s="15" t="n"/>
      <c r="P73" s="15" t="n"/>
      <c r="Q73" s="15" t="n"/>
      <c r="R73" s="16">
        <f>IF(OR(L73="",Q73=""),"",IF(EXACT(LOWER(TRIM(L73)),LOWER(TRIM(Q73))),"Sim","NÃO"))</f>
        <v/>
      </c>
      <c r="S73" s="16">
        <f>IF(A73="","",IF(AND(R73="Sim",U73&lt;&gt;"",IF(F73="Processo judicial",V73&lt;&gt;"",AND(G73&lt;&gt;"",H73&lt;&gt;"")),J73&lt;&gt;"",K73&lt;&gt;"",N73&lt;&gt;"",O73&lt;&gt;""),"Sim","Pendente"))</f>
        <v/>
      </c>
      <c r="T73" s="15" t="n"/>
      <c r="U73" s="15" t="n"/>
      <c r="V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20" t="n"/>
      <c r="J74" s="20" t="n"/>
      <c r="K74" s="15" t="n"/>
      <c r="L74" s="15" t="n"/>
      <c r="M74" s="15" t="n"/>
      <c r="N74" s="15" t="n"/>
      <c r="O74" s="15" t="n"/>
      <c r="P74" s="15" t="n"/>
      <c r="Q74" s="15" t="n"/>
      <c r="R74" s="16">
        <f>IF(OR(L74="",Q74=""),"",IF(EXACT(LOWER(TRIM(L74)),LOWER(TRIM(Q74))),"Sim","NÃO"))</f>
        <v/>
      </c>
      <c r="S74" s="16">
        <f>IF(A74="","",IF(AND(R74="Sim",U74&lt;&gt;"",IF(F74="Processo judicial",V74&lt;&gt;"",AND(G74&lt;&gt;"",H74&lt;&gt;"")),J74&lt;&gt;"",K74&lt;&gt;"",N74&lt;&gt;"",O74&lt;&gt;""),"Sim","Pendente"))</f>
        <v/>
      </c>
      <c r="T74" s="15" t="n"/>
      <c r="U74" s="15" t="n"/>
      <c r="V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20" t="n"/>
      <c r="J75" s="20" t="n"/>
      <c r="K75" s="15" t="n"/>
      <c r="L75" s="15" t="n"/>
      <c r="M75" s="15" t="n"/>
      <c r="N75" s="15" t="n"/>
      <c r="O75" s="15" t="n"/>
      <c r="P75" s="15" t="n"/>
      <c r="Q75" s="15" t="n"/>
      <c r="R75" s="16">
        <f>IF(OR(L75="",Q75=""),"",IF(EXACT(LOWER(TRIM(L75)),LOWER(TRIM(Q75))),"Sim","NÃO"))</f>
        <v/>
      </c>
      <c r="S75" s="16">
        <f>IF(A75="","",IF(AND(R75="Sim",U75&lt;&gt;"",IF(F75="Processo judicial",V75&lt;&gt;"",AND(G75&lt;&gt;"",H75&lt;&gt;"")),J75&lt;&gt;"",K75&lt;&gt;"",N75&lt;&gt;"",O75&lt;&gt;""),"Sim","Pendente"))</f>
        <v/>
      </c>
      <c r="T75" s="15" t="n"/>
      <c r="U75" s="15" t="n"/>
      <c r="V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20" t="n"/>
      <c r="J76" s="20" t="n"/>
      <c r="K76" s="15" t="n"/>
      <c r="L76" s="15" t="n"/>
      <c r="M76" s="15" t="n"/>
      <c r="N76" s="15" t="n"/>
      <c r="O76" s="15" t="n"/>
      <c r="P76" s="15" t="n"/>
      <c r="Q76" s="15" t="n"/>
      <c r="R76" s="16">
        <f>IF(OR(L76="",Q76=""),"",IF(EXACT(LOWER(TRIM(L76)),LOWER(TRIM(Q76))),"Sim","NÃO"))</f>
        <v/>
      </c>
      <c r="S76" s="16">
        <f>IF(A76="","",IF(AND(R76="Sim",U76&lt;&gt;"",IF(F76="Processo judicial",V76&lt;&gt;"",AND(G76&lt;&gt;"",H76&lt;&gt;"")),J76&lt;&gt;"",K76&lt;&gt;"",N76&lt;&gt;"",O76&lt;&gt;""),"Sim","Pendente"))</f>
        <v/>
      </c>
      <c r="T76" s="15" t="n"/>
      <c r="U76" s="15" t="n"/>
      <c r="V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20" t="n"/>
      <c r="J77" s="20" t="n"/>
      <c r="K77" s="15" t="n"/>
      <c r="L77" s="15" t="n"/>
      <c r="M77" s="15" t="n"/>
      <c r="N77" s="15" t="n"/>
      <c r="O77" s="15" t="n"/>
      <c r="P77" s="15" t="n"/>
      <c r="Q77" s="15" t="n"/>
      <c r="R77" s="16">
        <f>IF(OR(L77="",Q77=""),"",IF(EXACT(LOWER(TRIM(L77)),LOWER(TRIM(Q77))),"Sim","NÃO"))</f>
        <v/>
      </c>
      <c r="S77" s="16">
        <f>IF(A77="","",IF(AND(R77="Sim",U77&lt;&gt;"",IF(F77="Processo judicial",V77&lt;&gt;"",AND(G77&lt;&gt;"",H77&lt;&gt;"")),J77&lt;&gt;"",K77&lt;&gt;"",N77&lt;&gt;"",O77&lt;&gt;""),"Sim","Pendente"))</f>
        <v/>
      </c>
      <c r="T77" s="15" t="n"/>
      <c r="U77" s="15" t="n"/>
      <c r="V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20" t="n"/>
      <c r="J78" s="20" t="n"/>
      <c r="K78" s="15" t="n"/>
      <c r="L78" s="15" t="n"/>
      <c r="M78" s="15" t="n"/>
      <c r="N78" s="15" t="n"/>
      <c r="O78" s="15" t="n"/>
      <c r="P78" s="15" t="n"/>
      <c r="Q78" s="15" t="n"/>
      <c r="R78" s="16">
        <f>IF(OR(L78="",Q78=""),"",IF(EXACT(LOWER(TRIM(L78)),LOWER(TRIM(Q78))),"Sim","NÃO"))</f>
        <v/>
      </c>
      <c r="S78" s="16">
        <f>IF(A78="","",IF(AND(R78="Sim",U78&lt;&gt;"",IF(F78="Processo judicial",V78&lt;&gt;"",AND(G78&lt;&gt;"",H78&lt;&gt;"")),J78&lt;&gt;"",K78&lt;&gt;"",N78&lt;&gt;"",O78&lt;&gt;""),"Sim","Pendente"))</f>
        <v/>
      </c>
      <c r="T78" s="15" t="n"/>
      <c r="U78" s="15" t="n"/>
      <c r="V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20" t="n"/>
      <c r="J79" s="20" t="n"/>
      <c r="K79" s="15" t="n"/>
      <c r="L79" s="15" t="n"/>
      <c r="M79" s="15" t="n"/>
      <c r="N79" s="15" t="n"/>
      <c r="O79" s="15" t="n"/>
      <c r="P79" s="15" t="n"/>
      <c r="Q79" s="15" t="n"/>
      <c r="R79" s="16">
        <f>IF(OR(L79="",Q79=""),"",IF(EXACT(LOWER(TRIM(L79)),LOWER(TRIM(Q79))),"Sim","NÃO"))</f>
        <v/>
      </c>
      <c r="S79" s="16">
        <f>IF(A79="","",IF(AND(R79="Sim",U79&lt;&gt;"",IF(F79="Processo judicial",V79&lt;&gt;"",AND(G79&lt;&gt;"",H79&lt;&gt;"")),J79&lt;&gt;"",K79&lt;&gt;"",N79&lt;&gt;"",O79&lt;&gt;""),"Sim","Pendente"))</f>
        <v/>
      </c>
      <c r="T79" s="15" t="n"/>
      <c r="U79" s="15" t="n"/>
      <c r="V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20" t="n"/>
      <c r="J80" s="20" t="n"/>
      <c r="K80" s="15" t="n"/>
      <c r="L80" s="15" t="n"/>
      <c r="M80" s="15" t="n"/>
      <c r="N80" s="15" t="n"/>
      <c r="O80" s="15" t="n"/>
      <c r="P80" s="15" t="n"/>
      <c r="Q80" s="15" t="n"/>
      <c r="R80" s="16">
        <f>IF(OR(L80="",Q80=""),"",IF(EXACT(LOWER(TRIM(L80)),LOWER(TRIM(Q80))),"Sim","NÃO"))</f>
        <v/>
      </c>
      <c r="S80" s="16">
        <f>IF(A80="","",IF(AND(R80="Sim",U80&lt;&gt;"",IF(F80="Processo judicial",V80&lt;&gt;"",AND(G80&lt;&gt;"",H80&lt;&gt;"")),J80&lt;&gt;"",K80&lt;&gt;"",N80&lt;&gt;"",O80&lt;&gt;""),"Sim","Pendente"))</f>
        <v/>
      </c>
      <c r="T80" s="15" t="n"/>
      <c r="U80" s="15" t="n"/>
      <c r="V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20" t="n"/>
      <c r="J81" s="20" t="n"/>
      <c r="K81" s="15" t="n"/>
      <c r="L81" s="15" t="n"/>
      <c r="M81" s="15" t="n"/>
      <c r="N81" s="15" t="n"/>
      <c r="O81" s="15" t="n"/>
      <c r="P81" s="15" t="n"/>
      <c r="Q81" s="15" t="n"/>
      <c r="R81" s="16">
        <f>IF(OR(L81="",Q81=""),"",IF(EXACT(LOWER(TRIM(L81)),LOWER(TRIM(Q81))),"Sim","NÃO"))</f>
        <v/>
      </c>
      <c r="S81" s="16">
        <f>IF(A81="","",IF(AND(R81="Sim",U81&lt;&gt;"",IF(F81="Processo judicial",V81&lt;&gt;"",AND(G81&lt;&gt;"",H81&lt;&gt;"")),J81&lt;&gt;"",K81&lt;&gt;"",N81&lt;&gt;"",O81&lt;&gt;""),"Sim","Pendente"))</f>
        <v/>
      </c>
      <c r="T81" s="15" t="n"/>
      <c r="U81" s="15" t="n"/>
      <c r="V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20" t="n"/>
      <c r="J82" s="20" t="n"/>
      <c r="K82" s="15" t="n"/>
      <c r="L82" s="15" t="n"/>
      <c r="M82" s="15" t="n"/>
      <c r="N82" s="15" t="n"/>
      <c r="O82" s="15" t="n"/>
      <c r="P82" s="15" t="n"/>
      <c r="Q82" s="15" t="n"/>
      <c r="R82" s="16">
        <f>IF(OR(L82="",Q82=""),"",IF(EXACT(LOWER(TRIM(L82)),LOWER(TRIM(Q82))),"Sim","NÃO"))</f>
        <v/>
      </c>
      <c r="S82" s="16">
        <f>IF(A82="","",IF(AND(R82="Sim",U82&lt;&gt;"",IF(F82="Processo judicial",V82&lt;&gt;"",AND(G82&lt;&gt;"",H82&lt;&gt;"")),J82&lt;&gt;"",K82&lt;&gt;"",N82&lt;&gt;"",O82&lt;&gt;""),"Sim","Pendente"))</f>
        <v/>
      </c>
      <c r="T82" s="15" t="n"/>
      <c r="U82" s="15" t="n"/>
      <c r="V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20" t="n"/>
      <c r="J83" s="20" t="n"/>
      <c r="K83" s="15" t="n"/>
      <c r="L83" s="15" t="n"/>
      <c r="M83" s="15" t="n"/>
      <c r="N83" s="15" t="n"/>
      <c r="O83" s="15" t="n"/>
      <c r="P83" s="15" t="n"/>
      <c r="Q83" s="15" t="n"/>
      <c r="R83" s="16">
        <f>IF(OR(L83="",Q83=""),"",IF(EXACT(LOWER(TRIM(L83)),LOWER(TRIM(Q83))),"Sim","NÃO"))</f>
        <v/>
      </c>
      <c r="S83" s="16">
        <f>IF(A83="","",IF(AND(R83="Sim",U83&lt;&gt;"",IF(F83="Processo judicial",V83&lt;&gt;"",AND(G83&lt;&gt;"",H83&lt;&gt;"")),J83&lt;&gt;"",K83&lt;&gt;"",N83&lt;&gt;"",O83&lt;&gt;""),"Sim","Pendente"))</f>
        <v/>
      </c>
      <c r="T83" s="15" t="n"/>
      <c r="U83" s="15" t="n"/>
      <c r="V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20" t="n"/>
      <c r="J84" s="20" t="n"/>
      <c r="K84" s="15" t="n"/>
      <c r="L84" s="15" t="n"/>
      <c r="M84" s="15" t="n"/>
      <c r="N84" s="15" t="n"/>
      <c r="O84" s="15" t="n"/>
      <c r="P84" s="15" t="n"/>
      <c r="Q84" s="15" t="n"/>
      <c r="R84" s="16">
        <f>IF(OR(L84="",Q84=""),"",IF(EXACT(LOWER(TRIM(L84)),LOWER(TRIM(Q84))),"Sim","NÃO"))</f>
        <v/>
      </c>
      <c r="S84" s="16">
        <f>IF(A84="","",IF(AND(R84="Sim",U84&lt;&gt;"",IF(F84="Processo judicial",V84&lt;&gt;"",AND(G84&lt;&gt;"",H84&lt;&gt;"")),J84&lt;&gt;"",K84&lt;&gt;"",N84&lt;&gt;"",O84&lt;&gt;""),"Sim","Pendente"))</f>
        <v/>
      </c>
      <c r="T84" s="15" t="n"/>
      <c r="U84" s="15" t="n"/>
      <c r="V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20" t="n"/>
      <c r="J85" s="20" t="n"/>
      <c r="K85" s="15" t="n"/>
      <c r="L85" s="15" t="n"/>
      <c r="M85" s="15" t="n"/>
      <c r="N85" s="15" t="n"/>
      <c r="O85" s="15" t="n"/>
      <c r="P85" s="15" t="n"/>
      <c r="Q85" s="15" t="n"/>
      <c r="R85" s="16">
        <f>IF(OR(L85="",Q85=""),"",IF(EXACT(LOWER(TRIM(L85)),LOWER(TRIM(Q85))),"Sim","NÃO"))</f>
        <v/>
      </c>
      <c r="S85" s="16">
        <f>IF(A85="","",IF(AND(R85="Sim",U85&lt;&gt;"",IF(F85="Processo judicial",V85&lt;&gt;"",AND(G85&lt;&gt;"",H85&lt;&gt;"")),J85&lt;&gt;"",K85&lt;&gt;"",N85&lt;&gt;"",O85&lt;&gt;""),"Sim","Pendente"))</f>
        <v/>
      </c>
      <c r="T85" s="15" t="n"/>
      <c r="U85" s="15" t="n"/>
      <c r="V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20" t="n"/>
      <c r="J86" s="20" t="n"/>
      <c r="K86" s="15" t="n"/>
      <c r="L86" s="15" t="n"/>
      <c r="M86" s="15" t="n"/>
      <c r="N86" s="15" t="n"/>
      <c r="O86" s="15" t="n"/>
      <c r="P86" s="15" t="n"/>
      <c r="Q86" s="15" t="n"/>
      <c r="R86" s="16">
        <f>IF(OR(L86="",Q86=""),"",IF(EXACT(LOWER(TRIM(L86)),LOWER(TRIM(Q86))),"Sim","NÃO"))</f>
        <v/>
      </c>
      <c r="S86" s="16">
        <f>IF(A86="","",IF(AND(R86="Sim",U86&lt;&gt;"",IF(F86="Processo judicial",V86&lt;&gt;"",AND(G86&lt;&gt;"",H86&lt;&gt;"")),J86&lt;&gt;"",K86&lt;&gt;"",N86&lt;&gt;"",O86&lt;&gt;""),"Sim","Pendente"))</f>
        <v/>
      </c>
      <c r="T86" s="15" t="n"/>
      <c r="U86" s="15" t="n"/>
      <c r="V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20" t="n"/>
      <c r="J87" s="20" t="n"/>
      <c r="K87" s="15" t="n"/>
      <c r="L87" s="15" t="n"/>
      <c r="M87" s="15" t="n"/>
      <c r="N87" s="15" t="n"/>
      <c r="O87" s="15" t="n"/>
      <c r="P87" s="15" t="n"/>
      <c r="Q87" s="15" t="n"/>
      <c r="R87" s="16">
        <f>IF(OR(L87="",Q87=""),"",IF(EXACT(LOWER(TRIM(L87)),LOWER(TRIM(Q87))),"Sim","NÃO"))</f>
        <v/>
      </c>
      <c r="S87" s="16">
        <f>IF(A87="","",IF(AND(R87="Sim",U87&lt;&gt;"",IF(F87="Processo judicial",V87&lt;&gt;"",AND(G87&lt;&gt;"",H87&lt;&gt;"")),J87&lt;&gt;"",K87&lt;&gt;"",N87&lt;&gt;"",O87&lt;&gt;""),"Sim","Pendente"))</f>
        <v/>
      </c>
      <c r="T87" s="15" t="n"/>
      <c r="U87" s="15" t="n"/>
      <c r="V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20" t="n"/>
      <c r="J88" s="20" t="n"/>
      <c r="K88" s="15" t="n"/>
      <c r="L88" s="15" t="n"/>
      <c r="M88" s="15" t="n"/>
      <c r="N88" s="15" t="n"/>
      <c r="O88" s="15" t="n"/>
      <c r="P88" s="15" t="n"/>
      <c r="Q88" s="15" t="n"/>
      <c r="R88" s="16">
        <f>IF(OR(L88="",Q88=""),"",IF(EXACT(LOWER(TRIM(L88)),LOWER(TRIM(Q88))),"Sim","NÃO"))</f>
        <v/>
      </c>
      <c r="S88" s="16">
        <f>IF(A88="","",IF(AND(R88="Sim",U88&lt;&gt;"",IF(F88="Processo judicial",V88&lt;&gt;"",AND(G88&lt;&gt;"",H88&lt;&gt;"")),J88&lt;&gt;"",K88&lt;&gt;"",N88&lt;&gt;"",O88&lt;&gt;""),"Sim","Pendente"))</f>
        <v/>
      </c>
      <c r="T88" s="15" t="n"/>
      <c r="U88" s="15" t="n"/>
      <c r="V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20" t="n"/>
      <c r="J89" s="20" t="n"/>
      <c r="K89" s="15" t="n"/>
      <c r="L89" s="15" t="n"/>
      <c r="M89" s="15" t="n"/>
      <c r="N89" s="15" t="n"/>
      <c r="O89" s="15" t="n"/>
      <c r="P89" s="15" t="n"/>
      <c r="Q89" s="15" t="n"/>
      <c r="R89" s="16">
        <f>IF(OR(L89="",Q89=""),"",IF(EXACT(LOWER(TRIM(L89)),LOWER(TRIM(Q89))),"Sim","NÃO"))</f>
        <v/>
      </c>
      <c r="S89" s="16">
        <f>IF(A89="","",IF(AND(R89="Sim",U89&lt;&gt;"",IF(F89="Processo judicial",V89&lt;&gt;"",AND(G89&lt;&gt;"",H89&lt;&gt;"")),J89&lt;&gt;"",K89&lt;&gt;"",N89&lt;&gt;"",O89&lt;&gt;""),"Sim","Pendente"))</f>
        <v/>
      </c>
      <c r="T89" s="15" t="n"/>
      <c r="U89" s="15" t="n"/>
      <c r="V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20" t="n"/>
      <c r="J90" s="20" t="n"/>
      <c r="K90" s="15" t="n"/>
      <c r="L90" s="15" t="n"/>
      <c r="M90" s="15" t="n"/>
      <c r="N90" s="15" t="n"/>
      <c r="O90" s="15" t="n"/>
      <c r="P90" s="15" t="n"/>
      <c r="Q90" s="15" t="n"/>
      <c r="R90" s="16">
        <f>IF(OR(L90="",Q90=""),"",IF(EXACT(LOWER(TRIM(L90)),LOWER(TRIM(Q90))),"Sim","NÃO"))</f>
        <v/>
      </c>
      <c r="S90" s="16">
        <f>IF(A90="","",IF(AND(R90="Sim",U90&lt;&gt;"",IF(F90="Processo judicial",V90&lt;&gt;"",AND(G90&lt;&gt;"",H90&lt;&gt;"")),J90&lt;&gt;"",K90&lt;&gt;"",N90&lt;&gt;"",O90&lt;&gt;""),"Sim","Pendente"))</f>
        <v/>
      </c>
      <c r="T90" s="15" t="n"/>
      <c r="U90" s="15" t="n"/>
      <c r="V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20" t="n"/>
      <c r="J91" s="20" t="n"/>
      <c r="K91" s="15" t="n"/>
      <c r="L91" s="15" t="n"/>
      <c r="M91" s="15" t="n"/>
      <c r="N91" s="15" t="n"/>
      <c r="O91" s="15" t="n"/>
      <c r="P91" s="15" t="n"/>
      <c r="Q91" s="15" t="n"/>
      <c r="R91" s="16">
        <f>IF(OR(L91="",Q91=""),"",IF(EXACT(LOWER(TRIM(L91)),LOWER(TRIM(Q91))),"Sim","NÃO"))</f>
        <v/>
      </c>
      <c r="S91" s="16">
        <f>IF(A91="","",IF(AND(R91="Sim",U91&lt;&gt;"",IF(F91="Processo judicial",V91&lt;&gt;"",AND(G91&lt;&gt;"",H91&lt;&gt;"")),J91&lt;&gt;"",K91&lt;&gt;"",N91&lt;&gt;"",O91&lt;&gt;""),"Sim","Pendente"))</f>
        <v/>
      </c>
      <c r="T91" s="15" t="n"/>
      <c r="U91" s="15" t="n"/>
      <c r="V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20" t="n"/>
      <c r="J92" s="20" t="n"/>
      <c r="K92" s="15" t="n"/>
      <c r="L92" s="15" t="n"/>
      <c r="M92" s="15" t="n"/>
      <c r="N92" s="15" t="n"/>
      <c r="O92" s="15" t="n"/>
      <c r="P92" s="15" t="n"/>
      <c r="Q92" s="15" t="n"/>
      <c r="R92" s="16">
        <f>IF(OR(L92="",Q92=""),"",IF(EXACT(LOWER(TRIM(L92)),LOWER(TRIM(Q92))),"Sim","NÃO"))</f>
        <v/>
      </c>
      <c r="S92" s="16">
        <f>IF(A92="","",IF(AND(R92="Sim",U92&lt;&gt;"",IF(F92="Processo judicial",V92&lt;&gt;"",AND(G92&lt;&gt;"",H92&lt;&gt;"")),J92&lt;&gt;"",K92&lt;&gt;"",N92&lt;&gt;"",O92&lt;&gt;""),"Sim","Pendente"))</f>
        <v/>
      </c>
      <c r="T92" s="15" t="n"/>
      <c r="U92" s="15" t="n"/>
      <c r="V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20" t="n"/>
      <c r="J93" s="20" t="n"/>
      <c r="K93" s="15" t="n"/>
      <c r="L93" s="15" t="n"/>
      <c r="M93" s="15" t="n"/>
      <c r="N93" s="15" t="n"/>
      <c r="O93" s="15" t="n"/>
      <c r="P93" s="15" t="n"/>
      <c r="Q93" s="15" t="n"/>
      <c r="R93" s="16">
        <f>IF(OR(L93="",Q93=""),"",IF(EXACT(LOWER(TRIM(L93)),LOWER(TRIM(Q93))),"Sim","NÃO"))</f>
        <v/>
      </c>
      <c r="S93" s="16">
        <f>IF(A93="","",IF(AND(R93="Sim",U93&lt;&gt;"",IF(F93="Processo judicial",V93&lt;&gt;"",AND(G93&lt;&gt;"",H93&lt;&gt;"")),J93&lt;&gt;"",K93&lt;&gt;"",N93&lt;&gt;"",O93&lt;&gt;""),"Sim","Pendente"))</f>
        <v/>
      </c>
      <c r="T93" s="15" t="n"/>
      <c r="U93" s="15" t="n"/>
      <c r="V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20" t="n"/>
      <c r="J94" s="20" t="n"/>
      <c r="K94" s="15" t="n"/>
      <c r="L94" s="15" t="n"/>
      <c r="M94" s="15" t="n"/>
      <c r="N94" s="15" t="n"/>
      <c r="O94" s="15" t="n"/>
      <c r="P94" s="15" t="n"/>
      <c r="Q94" s="15" t="n"/>
      <c r="R94" s="16">
        <f>IF(OR(L94="",Q94=""),"",IF(EXACT(LOWER(TRIM(L94)),LOWER(TRIM(Q94))),"Sim","NÃO"))</f>
        <v/>
      </c>
      <c r="S94" s="16">
        <f>IF(A94="","",IF(AND(R94="Sim",U94&lt;&gt;"",IF(F94="Processo judicial",V94&lt;&gt;"",AND(G94&lt;&gt;"",H94&lt;&gt;"")),J94&lt;&gt;"",K94&lt;&gt;"",N94&lt;&gt;"",O94&lt;&gt;""),"Sim","Pendente"))</f>
        <v/>
      </c>
      <c r="T94" s="15" t="n"/>
      <c r="U94" s="15" t="n"/>
      <c r="V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20" t="n"/>
      <c r="J95" s="20" t="n"/>
      <c r="K95" s="15" t="n"/>
      <c r="L95" s="15" t="n"/>
      <c r="M95" s="15" t="n"/>
      <c r="N95" s="15" t="n"/>
      <c r="O95" s="15" t="n"/>
      <c r="P95" s="15" t="n"/>
      <c r="Q95" s="15" t="n"/>
      <c r="R95" s="16">
        <f>IF(OR(L95="",Q95=""),"",IF(EXACT(LOWER(TRIM(L95)),LOWER(TRIM(Q95))),"Sim","NÃO"))</f>
        <v/>
      </c>
      <c r="S95" s="16">
        <f>IF(A95="","",IF(AND(R95="Sim",U95&lt;&gt;"",IF(F95="Processo judicial",V95&lt;&gt;"",AND(G95&lt;&gt;"",H95&lt;&gt;"")),J95&lt;&gt;"",K95&lt;&gt;"",N95&lt;&gt;"",O95&lt;&gt;""),"Sim","Pendente"))</f>
        <v/>
      </c>
      <c r="T95" s="15" t="n"/>
      <c r="U95" s="15" t="n"/>
      <c r="V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20" t="n"/>
      <c r="J96" s="20" t="n"/>
      <c r="K96" s="15" t="n"/>
      <c r="L96" s="15" t="n"/>
      <c r="M96" s="15" t="n"/>
      <c r="N96" s="15" t="n"/>
      <c r="O96" s="15" t="n"/>
      <c r="P96" s="15" t="n"/>
      <c r="Q96" s="15" t="n"/>
      <c r="R96" s="16">
        <f>IF(OR(L96="",Q96=""),"",IF(EXACT(LOWER(TRIM(L96)),LOWER(TRIM(Q96))),"Sim","NÃO"))</f>
        <v/>
      </c>
      <c r="S96" s="16">
        <f>IF(A96="","",IF(AND(R96="Sim",U96&lt;&gt;"",IF(F96="Processo judicial",V96&lt;&gt;"",AND(G96&lt;&gt;"",H96&lt;&gt;"")),J96&lt;&gt;"",K96&lt;&gt;"",N96&lt;&gt;"",O96&lt;&gt;""),"Sim","Pendente"))</f>
        <v/>
      </c>
      <c r="T96" s="15" t="n"/>
      <c r="U96" s="15" t="n"/>
      <c r="V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20" t="n"/>
      <c r="J97" s="20" t="n"/>
      <c r="K97" s="15" t="n"/>
      <c r="L97" s="15" t="n"/>
      <c r="M97" s="15" t="n"/>
      <c r="N97" s="15" t="n"/>
      <c r="O97" s="15" t="n"/>
      <c r="P97" s="15" t="n"/>
      <c r="Q97" s="15" t="n"/>
      <c r="R97" s="16">
        <f>IF(OR(L97="",Q97=""),"",IF(EXACT(LOWER(TRIM(L97)),LOWER(TRIM(Q97))),"Sim","NÃO"))</f>
        <v/>
      </c>
      <c r="S97" s="16">
        <f>IF(A97="","",IF(AND(R97="Sim",U97&lt;&gt;"",IF(F97="Processo judicial",V97&lt;&gt;"",AND(G97&lt;&gt;"",H97&lt;&gt;"")),J97&lt;&gt;"",K97&lt;&gt;"",N97&lt;&gt;"",O97&lt;&gt;""),"Sim","Pendente"))</f>
        <v/>
      </c>
      <c r="T97" s="15" t="n"/>
      <c r="U97" s="15" t="n"/>
      <c r="V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20" t="n"/>
      <c r="J98" s="20" t="n"/>
      <c r="K98" s="15" t="n"/>
      <c r="L98" s="15" t="n"/>
      <c r="M98" s="15" t="n"/>
      <c r="N98" s="15" t="n"/>
      <c r="O98" s="15" t="n"/>
      <c r="P98" s="15" t="n"/>
      <c r="Q98" s="15" t="n"/>
      <c r="R98" s="16">
        <f>IF(OR(L98="",Q98=""),"",IF(EXACT(LOWER(TRIM(L98)),LOWER(TRIM(Q98))),"Sim","NÃO"))</f>
        <v/>
      </c>
      <c r="S98" s="16">
        <f>IF(A98="","",IF(AND(R98="Sim",U98&lt;&gt;"",IF(F98="Processo judicial",V98&lt;&gt;"",AND(G98&lt;&gt;"",H98&lt;&gt;"")),J98&lt;&gt;"",K98&lt;&gt;"",N98&lt;&gt;"",O98&lt;&gt;""),"Sim","Pendente"))</f>
        <v/>
      </c>
      <c r="T98" s="15" t="n"/>
      <c r="U98" s="15" t="n"/>
      <c r="V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20" t="n"/>
      <c r="J99" s="20" t="n"/>
      <c r="K99" s="15" t="n"/>
      <c r="L99" s="15" t="n"/>
      <c r="M99" s="15" t="n"/>
      <c r="N99" s="15" t="n"/>
      <c r="O99" s="15" t="n"/>
      <c r="P99" s="15" t="n"/>
      <c r="Q99" s="15" t="n"/>
      <c r="R99" s="16">
        <f>IF(OR(L99="",Q99=""),"",IF(EXACT(LOWER(TRIM(L99)),LOWER(TRIM(Q99))),"Sim","NÃO"))</f>
        <v/>
      </c>
      <c r="S99" s="16">
        <f>IF(A99="","",IF(AND(R99="Sim",U99&lt;&gt;"",IF(F99="Processo judicial",V99&lt;&gt;"",AND(G99&lt;&gt;"",H99&lt;&gt;"")),J99&lt;&gt;"",K99&lt;&gt;"",N99&lt;&gt;"",O99&lt;&gt;""),"Sim","Pendente"))</f>
        <v/>
      </c>
      <c r="T99" s="15" t="n"/>
      <c r="U99" s="15" t="n"/>
      <c r="V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20" t="n"/>
      <c r="J100" s="20" t="n"/>
      <c r="K100" s="15" t="n"/>
      <c r="L100" s="15" t="n"/>
      <c r="M100" s="15" t="n"/>
      <c r="N100" s="15" t="n"/>
      <c r="O100" s="15" t="n"/>
      <c r="P100" s="15" t="n"/>
      <c r="Q100" s="15" t="n"/>
      <c r="R100" s="16">
        <f>IF(OR(L100="",Q100=""),"",IF(EXACT(LOWER(TRIM(L100)),LOWER(TRIM(Q100))),"Sim","NÃO"))</f>
        <v/>
      </c>
      <c r="S100" s="16">
        <f>IF(A100="","",IF(AND(R100="Sim",U100&lt;&gt;"",IF(F100="Processo judicial",V100&lt;&gt;"",AND(G100&lt;&gt;"",H100&lt;&gt;"")),J100&lt;&gt;"",K100&lt;&gt;"",N100&lt;&gt;"",O100&lt;&gt;""),"Sim","Pendente"))</f>
        <v/>
      </c>
      <c r="T100" s="15" t="n"/>
      <c r="U100" s="15" t="n"/>
      <c r="V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20" t="n"/>
      <c r="J101" s="20" t="n"/>
      <c r="K101" s="15" t="n"/>
      <c r="L101" s="15" t="n"/>
      <c r="M101" s="15" t="n"/>
      <c r="N101" s="15" t="n"/>
      <c r="O101" s="15" t="n"/>
      <c r="P101" s="15" t="n"/>
      <c r="Q101" s="15" t="n"/>
      <c r="R101" s="16">
        <f>IF(OR(L101="",Q101=""),"",IF(EXACT(LOWER(TRIM(L101)),LOWER(TRIM(Q101))),"Sim","NÃO"))</f>
        <v/>
      </c>
      <c r="S101" s="16">
        <f>IF(A101="","",IF(AND(R101="Sim",U101&lt;&gt;"",IF(F101="Processo judicial",V101&lt;&gt;"",AND(G101&lt;&gt;"",H101&lt;&gt;"")),J101&lt;&gt;"",K101&lt;&gt;"",N101&lt;&gt;"",O101&lt;&gt;""),"Sim","Pendente"))</f>
        <v/>
      </c>
      <c r="T101" s="15" t="n"/>
      <c r="U101" s="15" t="n"/>
      <c r="V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20" t="n"/>
      <c r="J102" s="20" t="n"/>
      <c r="K102" s="15" t="n"/>
      <c r="L102" s="15" t="n"/>
      <c r="M102" s="15" t="n"/>
      <c r="N102" s="15" t="n"/>
      <c r="O102" s="15" t="n"/>
      <c r="P102" s="15" t="n"/>
      <c r="Q102" s="15" t="n"/>
      <c r="R102" s="16">
        <f>IF(OR(L102="",Q102=""),"",IF(EXACT(LOWER(TRIM(L102)),LOWER(TRIM(Q102))),"Sim","NÃO"))</f>
        <v/>
      </c>
      <c r="S102" s="16">
        <f>IF(A102="","",IF(AND(R102="Sim",U102&lt;&gt;"",IF(F102="Processo judicial",V102&lt;&gt;"",AND(G102&lt;&gt;"",H102&lt;&gt;"")),J102&lt;&gt;"",K102&lt;&gt;"",N102&lt;&gt;"",O102&lt;&gt;""),"Sim","Pendente"))</f>
        <v/>
      </c>
      <c r="T102" s="15" t="n"/>
      <c r="U102" s="15" t="n"/>
      <c r="V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20" t="n"/>
      <c r="J103" s="20" t="n"/>
      <c r="K103" s="15" t="n"/>
      <c r="L103" s="15" t="n"/>
      <c r="M103" s="15" t="n"/>
      <c r="N103" s="15" t="n"/>
      <c r="O103" s="15" t="n"/>
      <c r="P103" s="15" t="n"/>
      <c r="Q103" s="15" t="n"/>
      <c r="R103" s="16">
        <f>IF(OR(L103="",Q103=""),"",IF(EXACT(LOWER(TRIM(L103)),LOWER(TRIM(Q103))),"Sim","NÃO"))</f>
        <v/>
      </c>
      <c r="S103" s="16">
        <f>IF(A103="","",IF(AND(R103="Sim",U103&lt;&gt;"",IF(F103="Processo judicial",V103&lt;&gt;"",AND(G103&lt;&gt;"",H103&lt;&gt;"")),J103&lt;&gt;"",K103&lt;&gt;"",N103&lt;&gt;"",O103&lt;&gt;""),"Sim","Pendente"))</f>
        <v/>
      </c>
      <c r="T103" s="15" t="n"/>
      <c r="U103" s="15" t="n"/>
      <c r="V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20" t="n"/>
      <c r="J104" s="20" t="n"/>
      <c r="K104" s="15" t="n"/>
      <c r="L104" s="15" t="n"/>
      <c r="M104" s="15" t="n"/>
      <c r="N104" s="15" t="n"/>
      <c r="O104" s="15" t="n"/>
      <c r="P104" s="15" t="n"/>
      <c r="Q104" s="15" t="n"/>
      <c r="R104" s="16">
        <f>IF(OR(L104="",Q104=""),"",IF(EXACT(LOWER(TRIM(L104)),LOWER(TRIM(Q104))),"Sim","NÃO"))</f>
        <v/>
      </c>
      <c r="S104" s="16">
        <f>IF(A104="","",IF(AND(R104="Sim",U104&lt;&gt;"",IF(F104="Processo judicial",V104&lt;&gt;"",AND(G104&lt;&gt;"",H104&lt;&gt;"")),J104&lt;&gt;"",K104&lt;&gt;"",N104&lt;&gt;"",O104&lt;&gt;""),"Sim","Pendente"))</f>
        <v/>
      </c>
      <c r="T104" s="15" t="n"/>
      <c r="U104" s="15" t="n"/>
      <c r="V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20" t="n"/>
      <c r="J105" s="20" t="n"/>
      <c r="K105" s="15" t="n"/>
      <c r="L105" s="15" t="n"/>
      <c r="M105" s="15" t="n"/>
      <c r="N105" s="15" t="n"/>
      <c r="O105" s="15" t="n"/>
      <c r="P105" s="15" t="n"/>
      <c r="Q105" s="15" t="n"/>
      <c r="R105" s="16">
        <f>IF(OR(L105="",Q105=""),"",IF(EXACT(LOWER(TRIM(L105)),LOWER(TRIM(Q105))),"Sim","NÃO"))</f>
        <v/>
      </c>
      <c r="S105" s="16">
        <f>IF(A105="","",IF(AND(R105="Sim",U105&lt;&gt;"",IF(F105="Processo judicial",V105&lt;&gt;"",AND(G105&lt;&gt;"",H105&lt;&gt;"")),J105&lt;&gt;"",K105&lt;&gt;"",N105&lt;&gt;"",O105&lt;&gt;""),"Sim","Pendente"))</f>
        <v/>
      </c>
      <c r="T105" s="15" t="n"/>
      <c r="U105" s="15" t="n"/>
      <c r="V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20" t="n"/>
      <c r="J106" s="20" t="n"/>
      <c r="K106" s="15" t="n"/>
      <c r="L106" s="15" t="n"/>
      <c r="M106" s="15" t="n"/>
      <c r="N106" s="15" t="n"/>
      <c r="O106" s="15" t="n"/>
      <c r="P106" s="15" t="n"/>
      <c r="Q106" s="15" t="n"/>
      <c r="R106" s="16">
        <f>IF(OR(L106="",Q106=""),"",IF(EXACT(LOWER(TRIM(L106)),LOWER(TRIM(Q106))),"Sim","NÃO"))</f>
        <v/>
      </c>
      <c r="S106" s="16">
        <f>IF(A106="","",IF(AND(R106="Sim",U106&lt;&gt;"",IF(F106="Processo judicial",V106&lt;&gt;"",AND(G106&lt;&gt;"",H106&lt;&gt;"")),J106&lt;&gt;"",K106&lt;&gt;"",N106&lt;&gt;"",O106&lt;&gt;""),"Sim","Pendente"))</f>
        <v/>
      </c>
      <c r="T106" s="15" t="n"/>
      <c r="U106" s="15" t="n"/>
      <c r="V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20" t="n"/>
      <c r="J107" s="20" t="n"/>
      <c r="K107" s="15" t="n"/>
      <c r="L107" s="15" t="n"/>
      <c r="M107" s="15" t="n"/>
      <c r="N107" s="15" t="n"/>
      <c r="O107" s="15" t="n"/>
      <c r="P107" s="15" t="n"/>
      <c r="Q107" s="15" t="n"/>
      <c r="R107" s="16">
        <f>IF(OR(L107="",Q107=""),"",IF(EXACT(LOWER(TRIM(L107)),LOWER(TRIM(Q107))),"Sim","NÃO"))</f>
        <v/>
      </c>
      <c r="S107" s="16">
        <f>IF(A107="","",IF(AND(R107="Sim",U107&lt;&gt;"",IF(F107="Processo judicial",V107&lt;&gt;"",AND(G107&lt;&gt;"",H107&lt;&gt;"")),J107&lt;&gt;"",K107&lt;&gt;"",N107&lt;&gt;"",O107&lt;&gt;""),"Sim","Pendente"))</f>
        <v/>
      </c>
      <c r="T107" s="15" t="n"/>
      <c r="U107" s="15" t="n"/>
      <c r="V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20" t="n"/>
      <c r="J108" s="20" t="n"/>
      <c r="K108" s="15" t="n"/>
      <c r="L108" s="15" t="n"/>
      <c r="M108" s="15" t="n"/>
      <c r="N108" s="15" t="n"/>
      <c r="O108" s="15" t="n"/>
      <c r="P108" s="15" t="n"/>
      <c r="Q108" s="15" t="n"/>
      <c r="R108" s="16">
        <f>IF(OR(L108="",Q108=""),"",IF(EXACT(LOWER(TRIM(L108)),LOWER(TRIM(Q108))),"Sim","NÃO"))</f>
        <v/>
      </c>
      <c r="S108" s="16">
        <f>IF(A108="","",IF(AND(R108="Sim",U108&lt;&gt;"",IF(F108="Processo judicial",V108&lt;&gt;"",AND(G108&lt;&gt;"",H108&lt;&gt;"")),J108&lt;&gt;"",K108&lt;&gt;"",N108&lt;&gt;"",O108&lt;&gt;""),"Sim","Pendente"))</f>
        <v/>
      </c>
      <c r="T108" s="15" t="n"/>
      <c r="U108" s="15" t="n"/>
      <c r="V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20" t="n"/>
      <c r="J109" s="20" t="n"/>
      <c r="K109" s="15" t="n"/>
      <c r="L109" s="15" t="n"/>
      <c r="M109" s="15" t="n"/>
      <c r="N109" s="15" t="n"/>
      <c r="O109" s="15" t="n"/>
      <c r="P109" s="15" t="n"/>
      <c r="Q109" s="15" t="n"/>
      <c r="R109" s="16">
        <f>IF(OR(L109="",Q109=""),"",IF(EXACT(LOWER(TRIM(L109)),LOWER(TRIM(Q109))),"Sim","NÃO"))</f>
        <v/>
      </c>
      <c r="S109" s="16">
        <f>IF(A109="","",IF(AND(R109="Sim",U109&lt;&gt;"",IF(F109="Processo judicial",V109&lt;&gt;"",AND(G109&lt;&gt;"",H109&lt;&gt;"")),J109&lt;&gt;"",K109&lt;&gt;"",N109&lt;&gt;"",O109&lt;&gt;""),"Sim","Pendente"))</f>
        <v/>
      </c>
      <c r="T109" s="15" t="n"/>
      <c r="U109" s="15" t="n"/>
      <c r="V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20" t="n"/>
      <c r="J110" s="20" t="n"/>
      <c r="K110" s="15" t="n"/>
      <c r="L110" s="15" t="n"/>
      <c r="M110" s="15" t="n"/>
      <c r="N110" s="15" t="n"/>
      <c r="O110" s="15" t="n"/>
      <c r="P110" s="15" t="n"/>
      <c r="Q110" s="15" t="n"/>
      <c r="R110" s="16">
        <f>IF(OR(L110="",Q110=""),"",IF(EXACT(LOWER(TRIM(L110)),LOWER(TRIM(Q110))),"Sim","NÃO"))</f>
        <v/>
      </c>
      <c r="S110" s="16">
        <f>IF(A110="","",IF(AND(R110="Sim",U110&lt;&gt;"",IF(F110="Processo judicial",V110&lt;&gt;"",AND(G110&lt;&gt;"",H110&lt;&gt;"")),J110&lt;&gt;"",K110&lt;&gt;"",N110&lt;&gt;"",O110&lt;&gt;""),"Sim","Pendente"))</f>
        <v/>
      </c>
      <c r="T110" s="15" t="n"/>
      <c r="U110" s="15" t="n"/>
      <c r="V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20" t="n"/>
      <c r="J111" s="20" t="n"/>
      <c r="K111" s="15" t="n"/>
      <c r="L111" s="15" t="n"/>
      <c r="M111" s="15" t="n"/>
      <c r="N111" s="15" t="n"/>
      <c r="O111" s="15" t="n"/>
      <c r="P111" s="15" t="n"/>
      <c r="Q111" s="15" t="n"/>
      <c r="R111" s="16">
        <f>IF(OR(L111="",Q111=""),"",IF(EXACT(LOWER(TRIM(L111)),LOWER(TRIM(Q111))),"Sim","NÃO"))</f>
        <v/>
      </c>
      <c r="S111" s="16">
        <f>IF(A111="","",IF(AND(R111="Sim",U111&lt;&gt;"",IF(F111="Processo judicial",V111&lt;&gt;"",AND(G111&lt;&gt;"",H111&lt;&gt;"")),J111&lt;&gt;"",K111&lt;&gt;"",N111&lt;&gt;"",O111&lt;&gt;""),"Sim","Pendente"))</f>
        <v/>
      </c>
      <c r="T111" s="15" t="n"/>
      <c r="U111" s="15" t="n"/>
      <c r="V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20" t="n"/>
      <c r="J112" s="20" t="n"/>
      <c r="K112" s="15" t="n"/>
      <c r="L112" s="15" t="n"/>
      <c r="M112" s="15" t="n"/>
      <c r="N112" s="15" t="n"/>
      <c r="O112" s="15" t="n"/>
      <c r="P112" s="15" t="n"/>
      <c r="Q112" s="15" t="n"/>
      <c r="R112" s="16">
        <f>IF(OR(L112="",Q112=""),"",IF(EXACT(LOWER(TRIM(L112)),LOWER(TRIM(Q112))),"Sim","NÃO"))</f>
        <v/>
      </c>
      <c r="S112" s="16">
        <f>IF(A112="","",IF(AND(R112="Sim",U112&lt;&gt;"",IF(F112="Processo judicial",V112&lt;&gt;"",AND(G112&lt;&gt;"",H112&lt;&gt;"")),J112&lt;&gt;"",K112&lt;&gt;"",N112&lt;&gt;"",O112&lt;&gt;""),"Sim","Pendente"))</f>
        <v/>
      </c>
      <c r="T112" s="15" t="n"/>
      <c r="U112" s="15" t="n"/>
      <c r="V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20" t="n"/>
      <c r="J113" s="20" t="n"/>
      <c r="K113" s="15" t="n"/>
      <c r="L113" s="15" t="n"/>
      <c r="M113" s="15" t="n"/>
      <c r="N113" s="15" t="n"/>
      <c r="O113" s="15" t="n"/>
      <c r="P113" s="15" t="n"/>
      <c r="Q113" s="15" t="n"/>
      <c r="R113" s="16">
        <f>IF(OR(L113="",Q113=""),"",IF(EXACT(LOWER(TRIM(L113)),LOWER(TRIM(Q113))),"Sim","NÃO"))</f>
        <v/>
      </c>
      <c r="S113" s="16">
        <f>IF(A113="","",IF(AND(R113="Sim",U113&lt;&gt;"",IF(F113="Processo judicial",V113&lt;&gt;"",AND(G113&lt;&gt;"",H113&lt;&gt;"")),J113&lt;&gt;"",K113&lt;&gt;"",N113&lt;&gt;"",O113&lt;&gt;""),"Sim","Pendente"))</f>
        <v/>
      </c>
      <c r="T113" s="15" t="n"/>
      <c r="U113" s="15" t="n"/>
      <c r="V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20" t="n"/>
      <c r="J114" s="20" t="n"/>
      <c r="K114" s="15" t="n"/>
      <c r="L114" s="15" t="n"/>
      <c r="M114" s="15" t="n"/>
      <c r="N114" s="15" t="n"/>
      <c r="O114" s="15" t="n"/>
      <c r="P114" s="15" t="n"/>
      <c r="Q114" s="15" t="n"/>
      <c r="R114" s="16">
        <f>IF(OR(L114="",Q114=""),"",IF(EXACT(LOWER(TRIM(L114)),LOWER(TRIM(Q114))),"Sim","NÃO"))</f>
        <v/>
      </c>
      <c r="S114" s="16">
        <f>IF(A114="","",IF(AND(R114="Sim",U114&lt;&gt;"",IF(F114="Processo judicial",V114&lt;&gt;"",AND(G114&lt;&gt;"",H114&lt;&gt;"")),J114&lt;&gt;"",K114&lt;&gt;"",N114&lt;&gt;"",O114&lt;&gt;""),"Sim","Pendente"))</f>
        <v/>
      </c>
      <c r="T114" s="15" t="n"/>
      <c r="U114" s="15" t="n"/>
      <c r="V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20" t="n"/>
      <c r="J115" s="20" t="n"/>
      <c r="K115" s="15" t="n"/>
      <c r="L115" s="15" t="n"/>
      <c r="M115" s="15" t="n"/>
      <c r="N115" s="15" t="n"/>
      <c r="O115" s="15" t="n"/>
      <c r="P115" s="15" t="n"/>
      <c r="Q115" s="15" t="n"/>
      <c r="R115" s="16">
        <f>IF(OR(L115="",Q115=""),"",IF(EXACT(LOWER(TRIM(L115)),LOWER(TRIM(Q115))),"Sim","NÃO"))</f>
        <v/>
      </c>
      <c r="S115" s="16">
        <f>IF(A115="","",IF(AND(R115="Sim",U115&lt;&gt;"",IF(F115="Processo judicial",V115&lt;&gt;"",AND(G115&lt;&gt;"",H115&lt;&gt;"")),J115&lt;&gt;"",K115&lt;&gt;"",N115&lt;&gt;"",O115&lt;&gt;""),"Sim","Pendente"))</f>
        <v/>
      </c>
      <c r="T115" s="15" t="n"/>
      <c r="U115" s="15" t="n"/>
      <c r="V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20" t="n"/>
      <c r="J116" s="20" t="n"/>
      <c r="K116" s="15" t="n"/>
      <c r="L116" s="15" t="n"/>
      <c r="M116" s="15" t="n"/>
      <c r="N116" s="15" t="n"/>
      <c r="O116" s="15" t="n"/>
      <c r="P116" s="15" t="n"/>
      <c r="Q116" s="15" t="n"/>
      <c r="R116" s="16">
        <f>IF(OR(L116="",Q116=""),"",IF(EXACT(LOWER(TRIM(L116)),LOWER(TRIM(Q116))),"Sim","NÃO"))</f>
        <v/>
      </c>
      <c r="S116" s="16">
        <f>IF(A116="","",IF(AND(R116="Sim",U116&lt;&gt;"",IF(F116="Processo judicial",V116&lt;&gt;"",AND(G116&lt;&gt;"",H116&lt;&gt;"")),J116&lt;&gt;"",K116&lt;&gt;"",N116&lt;&gt;"",O116&lt;&gt;""),"Sim","Pendente"))</f>
        <v/>
      </c>
      <c r="T116" s="15" t="n"/>
      <c r="U116" s="15" t="n"/>
      <c r="V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20" t="n"/>
      <c r="J117" s="20" t="n"/>
      <c r="K117" s="15" t="n"/>
      <c r="L117" s="15" t="n"/>
      <c r="M117" s="15" t="n"/>
      <c r="N117" s="15" t="n"/>
      <c r="O117" s="15" t="n"/>
      <c r="P117" s="15" t="n"/>
      <c r="Q117" s="15" t="n"/>
      <c r="R117" s="16">
        <f>IF(OR(L117="",Q117=""),"",IF(EXACT(LOWER(TRIM(L117)),LOWER(TRIM(Q117))),"Sim","NÃO"))</f>
        <v/>
      </c>
      <c r="S117" s="16">
        <f>IF(A117="","",IF(AND(R117="Sim",U117&lt;&gt;"",IF(F117="Processo judicial",V117&lt;&gt;"",AND(G117&lt;&gt;"",H117&lt;&gt;"")),J117&lt;&gt;"",K117&lt;&gt;"",N117&lt;&gt;"",O117&lt;&gt;""),"Sim","Pendente"))</f>
        <v/>
      </c>
      <c r="T117" s="15" t="n"/>
      <c r="U117" s="15" t="n"/>
      <c r="V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20" t="n"/>
      <c r="J118" s="20" t="n"/>
      <c r="K118" s="15" t="n"/>
      <c r="L118" s="15" t="n"/>
      <c r="M118" s="15" t="n"/>
      <c r="N118" s="15" t="n"/>
      <c r="O118" s="15" t="n"/>
      <c r="P118" s="15" t="n"/>
      <c r="Q118" s="15" t="n"/>
      <c r="R118" s="16">
        <f>IF(OR(L118="",Q118=""),"",IF(EXACT(LOWER(TRIM(L118)),LOWER(TRIM(Q118))),"Sim","NÃO"))</f>
        <v/>
      </c>
      <c r="S118" s="16">
        <f>IF(A118="","",IF(AND(R118="Sim",U118&lt;&gt;"",IF(F118="Processo judicial",V118&lt;&gt;"",AND(G118&lt;&gt;"",H118&lt;&gt;"")),J118&lt;&gt;"",K118&lt;&gt;"",N118&lt;&gt;"",O118&lt;&gt;""),"Sim","Pendente"))</f>
        <v/>
      </c>
      <c r="T118" s="15" t="n"/>
      <c r="U118" s="15" t="n"/>
      <c r="V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20" t="n"/>
      <c r="J119" s="20" t="n"/>
      <c r="K119" s="15" t="n"/>
      <c r="L119" s="15" t="n"/>
      <c r="M119" s="15" t="n"/>
      <c r="N119" s="15" t="n"/>
      <c r="O119" s="15" t="n"/>
      <c r="P119" s="15" t="n"/>
      <c r="Q119" s="15" t="n"/>
      <c r="R119" s="16">
        <f>IF(OR(L119="",Q119=""),"",IF(EXACT(LOWER(TRIM(L119)),LOWER(TRIM(Q119))),"Sim","NÃO"))</f>
        <v/>
      </c>
      <c r="S119" s="16">
        <f>IF(A119="","",IF(AND(R119="Sim",U119&lt;&gt;"",IF(F119="Processo judicial",V119&lt;&gt;"",AND(G119&lt;&gt;"",H119&lt;&gt;"")),J119&lt;&gt;"",K119&lt;&gt;"",N119&lt;&gt;"",O119&lt;&gt;""),"Sim","Pendente"))</f>
        <v/>
      </c>
      <c r="T119" s="15" t="n"/>
      <c r="U119" s="15" t="n"/>
      <c r="V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20" t="n"/>
      <c r="J120" s="20" t="n"/>
      <c r="K120" s="15" t="n"/>
      <c r="L120" s="15" t="n"/>
      <c r="M120" s="15" t="n"/>
      <c r="N120" s="15" t="n"/>
      <c r="O120" s="15" t="n"/>
      <c r="P120" s="15" t="n"/>
      <c r="Q120" s="15" t="n"/>
      <c r="R120" s="16">
        <f>IF(OR(L120="",Q120=""),"",IF(EXACT(LOWER(TRIM(L120)),LOWER(TRIM(Q120))),"Sim","NÃO"))</f>
        <v/>
      </c>
      <c r="S120" s="16">
        <f>IF(A120="","",IF(AND(R120="Sim",U120&lt;&gt;"",IF(F120="Processo judicial",V120&lt;&gt;"",AND(G120&lt;&gt;"",H120&lt;&gt;"")),J120&lt;&gt;"",K120&lt;&gt;"",N120&lt;&gt;"",O120&lt;&gt;""),"Sim","Pendente"))</f>
        <v/>
      </c>
      <c r="T120" s="15" t="n"/>
      <c r="U120" s="15" t="n"/>
      <c r="V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20" t="n"/>
      <c r="J121" s="20" t="n"/>
      <c r="K121" s="15" t="n"/>
      <c r="L121" s="15" t="n"/>
      <c r="M121" s="15" t="n"/>
      <c r="N121" s="15" t="n"/>
      <c r="O121" s="15" t="n"/>
      <c r="P121" s="15" t="n"/>
      <c r="Q121" s="15" t="n"/>
      <c r="R121" s="16">
        <f>IF(OR(L121="",Q121=""),"",IF(EXACT(LOWER(TRIM(L121)),LOWER(TRIM(Q121))),"Sim","NÃO"))</f>
        <v/>
      </c>
      <c r="S121" s="16">
        <f>IF(A121="","",IF(AND(R121="Sim",U121&lt;&gt;"",IF(F121="Processo judicial",V121&lt;&gt;"",AND(G121&lt;&gt;"",H121&lt;&gt;"")),J121&lt;&gt;"",K121&lt;&gt;"",N121&lt;&gt;"",O121&lt;&gt;""),"Sim","Pendente"))</f>
        <v/>
      </c>
      <c r="T121" s="15" t="n"/>
      <c r="U121" s="15" t="n"/>
      <c r="V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20" t="n"/>
      <c r="J122" s="20" t="n"/>
      <c r="K122" s="15" t="n"/>
      <c r="L122" s="15" t="n"/>
      <c r="M122" s="15" t="n"/>
      <c r="N122" s="15" t="n"/>
      <c r="O122" s="15" t="n"/>
      <c r="P122" s="15" t="n"/>
      <c r="Q122" s="15" t="n"/>
      <c r="R122" s="16">
        <f>IF(OR(L122="",Q122=""),"",IF(EXACT(LOWER(TRIM(L122)),LOWER(TRIM(Q122))),"Sim","NÃO"))</f>
        <v/>
      </c>
      <c r="S122" s="16">
        <f>IF(A122="","",IF(AND(R122="Sim",U122&lt;&gt;"",IF(F122="Processo judicial",V122&lt;&gt;"",AND(G122&lt;&gt;"",H122&lt;&gt;"")),J122&lt;&gt;"",K122&lt;&gt;"",N122&lt;&gt;"",O122&lt;&gt;""),"Sim","Pendente"))</f>
        <v/>
      </c>
      <c r="T122" s="15" t="n"/>
      <c r="U122" s="15" t="n"/>
      <c r="V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20" t="n"/>
      <c r="J123" s="20" t="n"/>
      <c r="K123" s="15" t="n"/>
      <c r="L123" s="15" t="n"/>
      <c r="M123" s="15" t="n"/>
      <c r="N123" s="15" t="n"/>
      <c r="O123" s="15" t="n"/>
      <c r="P123" s="15" t="n"/>
      <c r="Q123" s="15" t="n"/>
      <c r="R123" s="16">
        <f>IF(OR(L123="",Q123=""),"",IF(EXACT(LOWER(TRIM(L123)),LOWER(TRIM(Q123))),"Sim","NÃO"))</f>
        <v/>
      </c>
      <c r="S123" s="16">
        <f>IF(A123="","",IF(AND(R123="Sim",U123&lt;&gt;"",IF(F123="Processo judicial",V123&lt;&gt;"",AND(G123&lt;&gt;"",H123&lt;&gt;"")),J123&lt;&gt;"",K123&lt;&gt;"",N123&lt;&gt;"",O123&lt;&gt;""),"Sim","Pendente"))</f>
        <v/>
      </c>
      <c r="T123" s="15" t="n"/>
      <c r="U123" s="15" t="n"/>
      <c r="V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20" t="n"/>
      <c r="J124" s="20" t="n"/>
      <c r="K124" s="15" t="n"/>
      <c r="L124" s="15" t="n"/>
      <c r="M124" s="15" t="n"/>
      <c r="N124" s="15" t="n"/>
      <c r="O124" s="15" t="n"/>
      <c r="P124" s="15" t="n"/>
      <c r="Q124" s="15" t="n"/>
      <c r="R124" s="16">
        <f>IF(OR(L124="",Q124=""),"",IF(EXACT(LOWER(TRIM(L124)),LOWER(TRIM(Q124))),"Sim","NÃO"))</f>
        <v/>
      </c>
      <c r="S124" s="16">
        <f>IF(A124="","",IF(AND(R124="Sim",U124&lt;&gt;"",IF(F124="Processo judicial",V124&lt;&gt;"",AND(G124&lt;&gt;"",H124&lt;&gt;"")),J124&lt;&gt;"",K124&lt;&gt;"",N124&lt;&gt;"",O124&lt;&gt;""),"Sim","Pendente"))</f>
        <v/>
      </c>
      <c r="T124" s="15" t="n"/>
      <c r="U124" s="15" t="n"/>
      <c r="V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20" t="n"/>
      <c r="J125" s="20" t="n"/>
      <c r="K125" s="15" t="n"/>
      <c r="L125" s="15" t="n"/>
      <c r="M125" s="15" t="n"/>
      <c r="N125" s="15" t="n"/>
      <c r="O125" s="15" t="n"/>
      <c r="P125" s="15" t="n"/>
      <c r="Q125" s="15" t="n"/>
      <c r="R125" s="16">
        <f>IF(OR(L125="",Q125=""),"",IF(EXACT(LOWER(TRIM(L125)),LOWER(TRIM(Q125))),"Sim","NÃO"))</f>
        <v/>
      </c>
      <c r="S125" s="16">
        <f>IF(A125="","",IF(AND(R125="Sim",U125&lt;&gt;"",IF(F125="Processo judicial",V125&lt;&gt;"",AND(G125&lt;&gt;"",H125&lt;&gt;"")),J125&lt;&gt;"",K125&lt;&gt;"",N125&lt;&gt;"",O125&lt;&gt;""),"Sim","Pendente"))</f>
        <v/>
      </c>
      <c r="T125" s="15" t="n"/>
      <c r="U125" s="15" t="n"/>
      <c r="V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20" t="n"/>
      <c r="J126" s="20" t="n"/>
      <c r="K126" s="15" t="n"/>
      <c r="L126" s="15" t="n"/>
      <c r="M126" s="15" t="n"/>
      <c r="N126" s="15" t="n"/>
      <c r="O126" s="15" t="n"/>
      <c r="P126" s="15" t="n"/>
      <c r="Q126" s="15" t="n"/>
      <c r="R126" s="16">
        <f>IF(OR(L126="",Q126=""),"",IF(EXACT(LOWER(TRIM(L126)),LOWER(TRIM(Q126))),"Sim","NÃO"))</f>
        <v/>
      </c>
      <c r="S126" s="16">
        <f>IF(A126="","",IF(AND(R126="Sim",U126&lt;&gt;"",IF(F126="Processo judicial",V126&lt;&gt;"",AND(G126&lt;&gt;"",H126&lt;&gt;"")),J126&lt;&gt;"",K126&lt;&gt;"",N126&lt;&gt;"",O126&lt;&gt;""),"Sim","Pendente"))</f>
        <v/>
      </c>
      <c r="T126" s="15" t="n"/>
      <c r="U126" s="15" t="n"/>
      <c r="V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20" t="n"/>
      <c r="J127" s="20" t="n"/>
      <c r="K127" s="15" t="n"/>
      <c r="L127" s="15" t="n"/>
      <c r="M127" s="15" t="n"/>
      <c r="N127" s="15" t="n"/>
      <c r="O127" s="15" t="n"/>
      <c r="P127" s="15" t="n"/>
      <c r="Q127" s="15" t="n"/>
      <c r="R127" s="16">
        <f>IF(OR(L127="",Q127=""),"",IF(EXACT(LOWER(TRIM(L127)),LOWER(TRIM(Q127))),"Sim","NÃO"))</f>
        <v/>
      </c>
      <c r="S127" s="16">
        <f>IF(A127="","",IF(AND(R127="Sim",U127&lt;&gt;"",IF(F127="Processo judicial",V127&lt;&gt;"",AND(G127&lt;&gt;"",H127&lt;&gt;"")),J127&lt;&gt;"",K127&lt;&gt;"",N127&lt;&gt;"",O127&lt;&gt;""),"Sim","Pendente"))</f>
        <v/>
      </c>
      <c r="T127" s="15" t="n"/>
      <c r="U127" s="15" t="n"/>
      <c r="V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20" t="n"/>
      <c r="J128" s="20" t="n"/>
      <c r="K128" s="15" t="n"/>
      <c r="L128" s="15" t="n"/>
      <c r="M128" s="15" t="n"/>
      <c r="N128" s="15" t="n"/>
      <c r="O128" s="15" t="n"/>
      <c r="P128" s="15" t="n"/>
      <c r="Q128" s="15" t="n"/>
      <c r="R128" s="16">
        <f>IF(OR(L128="",Q128=""),"",IF(EXACT(LOWER(TRIM(L128)),LOWER(TRIM(Q128))),"Sim","NÃO"))</f>
        <v/>
      </c>
      <c r="S128" s="16">
        <f>IF(A128="","",IF(AND(R128="Sim",U128&lt;&gt;"",IF(F128="Processo judicial",V128&lt;&gt;"",AND(G128&lt;&gt;"",H128&lt;&gt;"")),J128&lt;&gt;"",K128&lt;&gt;"",N128&lt;&gt;"",O128&lt;&gt;""),"Sim","Pendente"))</f>
        <v/>
      </c>
      <c r="T128" s="15" t="n"/>
      <c r="U128" s="15" t="n"/>
      <c r="V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20" t="n"/>
      <c r="J129" s="20" t="n"/>
      <c r="K129" s="15" t="n"/>
      <c r="L129" s="15" t="n"/>
      <c r="M129" s="15" t="n"/>
      <c r="N129" s="15" t="n"/>
      <c r="O129" s="15" t="n"/>
      <c r="P129" s="15" t="n"/>
      <c r="Q129" s="15" t="n"/>
      <c r="R129" s="16">
        <f>IF(OR(L129="",Q129=""),"",IF(EXACT(LOWER(TRIM(L129)),LOWER(TRIM(Q129))),"Sim","NÃO"))</f>
        <v/>
      </c>
      <c r="S129" s="16">
        <f>IF(A129="","",IF(AND(R129="Sim",U129&lt;&gt;"",IF(F129="Processo judicial",V129&lt;&gt;"",AND(G129&lt;&gt;"",H129&lt;&gt;"")),J129&lt;&gt;"",K129&lt;&gt;"",N129&lt;&gt;"",O129&lt;&gt;""),"Sim","Pendente"))</f>
        <v/>
      </c>
      <c r="T129" s="15" t="n"/>
      <c r="U129" s="15" t="n"/>
      <c r="V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20" t="n"/>
      <c r="J130" s="20" t="n"/>
      <c r="K130" s="15" t="n"/>
      <c r="L130" s="15" t="n"/>
      <c r="M130" s="15" t="n"/>
      <c r="N130" s="15" t="n"/>
      <c r="O130" s="15" t="n"/>
      <c r="P130" s="15" t="n"/>
      <c r="Q130" s="15" t="n"/>
      <c r="R130" s="16">
        <f>IF(OR(L130="",Q130=""),"",IF(EXACT(LOWER(TRIM(L130)),LOWER(TRIM(Q130))),"Sim","NÃO"))</f>
        <v/>
      </c>
      <c r="S130" s="16">
        <f>IF(A130="","",IF(AND(R130="Sim",U130&lt;&gt;"",IF(F130="Processo judicial",V130&lt;&gt;"",AND(G130&lt;&gt;"",H130&lt;&gt;"")),J130&lt;&gt;"",K130&lt;&gt;"",N130&lt;&gt;"",O130&lt;&gt;""),"Sim","Pendente"))</f>
        <v/>
      </c>
      <c r="T130" s="15" t="n"/>
      <c r="U130" s="15" t="n"/>
      <c r="V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20" t="n"/>
      <c r="J131" s="20" t="n"/>
      <c r="K131" s="15" t="n"/>
      <c r="L131" s="15" t="n"/>
      <c r="M131" s="15" t="n"/>
      <c r="N131" s="15" t="n"/>
      <c r="O131" s="15" t="n"/>
      <c r="P131" s="15" t="n"/>
      <c r="Q131" s="15" t="n"/>
      <c r="R131" s="16">
        <f>IF(OR(L131="",Q131=""),"",IF(EXACT(LOWER(TRIM(L131)),LOWER(TRIM(Q131))),"Sim","NÃO"))</f>
        <v/>
      </c>
      <c r="S131" s="16">
        <f>IF(A131="","",IF(AND(R131="Sim",U131&lt;&gt;"",IF(F131="Processo judicial",V131&lt;&gt;"",AND(G131&lt;&gt;"",H131&lt;&gt;"")),J131&lt;&gt;"",K131&lt;&gt;"",N131&lt;&gt;"",O131&lt;&gt;""),"Sim","Pendente"))</f>
        <v/>
      </c>
      <c r="T131" s="15" t="n"/>
      <c r="U131" s="15" t="n"/>
      <c r="V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20" t="n"/>
      <c r="J132" s="20" t="n"/>
      <c r="K132" s="15" t="n"/>
      <c r="L132" s="15" t="n"/>
      <c r="M132" s="15" t="n"/>
      <c r="N132" s="15" t="n"/>
      <c r="O132" s="15" t="n"/>
      <c r="P132" s="15" t="n"/>
      <c r="Q132" s="15" t="n"/>
      <c r="R132" s="16">
        <f>IF(OR(L132="",Q132=""),"",IF(EXACT(LOWER(TRIM(L132)),LOWER(TRIM(Q132))),"Sim","NÃO"))</f>
        <v/>
      </c>
      <c r="S132" s="16">
        <f>IF(A132="","",IF(AND(R132="Sim",U132&lt;&gt;"",IF(F132="Processo judicial",V132&lt;&gt;"",AND(G132&lt;&gt;"",H132&lt;&gt;"")),J132&lt;&gt;"",K132&lt;&gt;"",N132&lt;&gt;"",O132&lt;&gt;""),"Sim","Pendente"))</f>
        <v/>
      </c>
      <c r="T132" s="15" t="n"/>
      <c r="U132" s="15" t="n"/>
      <c r="V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20" t="n"/>
      <c r="J133" s="20" t="n"/>
      <c r="K133" s="15" t="n"/>
      <c r="L133" s="15" t="n"/>
      <c r="M133" s="15" t="n"/>
      <c r="N133" s="15" t="n"/>
      <c r="O133" s="15" t="n"/>
      <c r="P133" s="15" t="n"/>
      <c r="Q133" s="15" t="n"/>
      <c r="R133" s="16">
        <f>IF(OR(L133="",Q133=""),"",IF(EXACT(LOWER(TRIM(L133)),LOWER(TRIM(Q133))),"Sim","NÃO"))</f>
        <v/>
      </c>
      <c r="S133" s="16">
        <f>IF(A133="","",IF(AND(R133="Sim",U133&lt;&gt;"",IF(F133="Processo judicial",V133&lt;&gt;"",AND(G133&lt;&gt;"",H133&lt;&gt;"")),J133&lt;&gt;"",K133&lt;&gt;"",N133&lt;&gt;"",O133&lt;&gt;""),"Sim","Pendente"))</f>
        <v/>
      </c>
      <c r="T133" s="15" t="n"/>
      <c r="U133" s="15" t="n"/>
      <c r="V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20" t="n"/>
      <c r="J134" s="20" t="n"/>
      <c r="K134" s="15" t="n"/>
      <c r="L134" s="15" t="n"/>
      <c r="M134" s="15" t="n"/>
      <c r="N134" s="15" t="n"/>
      <c r="O134" s="15" t="n"/>
      <c r="P134" s="15" t="n"/>
      <c r="Q134" s="15" t="n"/>
      <c r="R134" s="16">
        <f>IF(OR(L134="",Q134=""),"",IF(EXACT(LOWER(TRIM(L134)),LOWER(TRIM(Q134))),"Sim","NÃO"))</f>
        <v/>
      </c>
      <c r="S134" s="16">
        <f>IF(A134="","",IF(AND(R134="Sim",U134&lt;&gt;"",IF(F134="Processo judicial",V134&lt;&gt;"",AND(G134&lt;&gt;"",H134&lt;&gt;"")),J134&lt;&gt;"",K134&lt;&gt;"",N134&lt;&gt;"",O134&lt;&gt;""),"Sim","Pendente"))</f>
        <v/>
      </c>
      <c r="T134" s="15" t="n"/>
      <c r="U134" s="15" t="n"/>
      <c r="V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20" t="n"/>
      <c r="J135" s="20" t="n"/>
      <c r="K135" s="15" t="n"/>
      <c r="L135" s="15" t="n"/>
      <c r="M135" s="15" t="n"/>
      <c r="N135" s="15" t="n"/>
      <c r="O135" s="15" t="n"/>
      <c r="P135" s="15" t="n"/>
      <c r="Q135" s="15" t="n"/>
      <c r="R135" s="16">
        <f>IF(OR(L135="",Q135=""),"",IF(EXACT(LOWER(TRIM(L135)),LOWER(TRIM(Q135))),"Sim","NÃO"))</f>
        <v/>
      </c>
      <c r="S135" s="16">
        <f>IF(A135="","",IF(AND(R135="Sim",U135&lt;&gt;"",IF(F135="Processo judicial",V135&lt;&gt;"",AND(G135&lt;&gt;"",H135&lt;&gt;"")),J135&lt;&gt;"",K135&lt;&gt;"",N135&lt;&gt;"",O135&lt;&gt;""),"Sim","Pendente"))</f>
        <v/>
      </c>
      <c r="T135" s="15" t="n"/>
      <c r="U135" s="15" t="n"/>
      <c r="V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20" t="n"/>
      <c r="J136" s="20" t="n"/>
      <c r="K136" s="15" t="n"/>
      <c r="L136" s="15" t="n"/>
      <c r="M136" s="15" t="n"/>
      <c r="N136" s="15" t="n"/>
      <c r="O136" s="15" t="n"/>
      <c r="P136" s="15" t="n"/>
      <c r="Q136" s="15" t="n"/>
      <c r="R136" s="16">
        <f>IF(OR(L136="",Q136=""),"",IF(EXACT(LOWER(TRIM(L136)),LOWER(TRIM(Q136))),"Sim","NÃO"))</f>
        <v/>
      </c>
      <c r="S136" s="16">
        <f>IF(A136="","",IF(AND(R136="Sim",U136&lt;&gt;"",IF(F136="Processo judicial",V136&lt;&gt;"",AND(G136&lt;&gt;"",H136&lt;&gt;"")),J136&lt;&gt;"",K136&lt;&gt;"",N136&lt;&gt;"",O136&lt;&gt;""),"Sim","Pendente"))</f>
        <v/>
      </c>
      <c r="T136" s="15" t="n"/>
      <c r="U136" s="15" t="n"/>
      <c r="V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20" t="n"/>
      <c r="J137" s="20" t="n"/>
      <c r="K137" s="15" t="n"/>
      <c r="L137" s="15" t="n"/>
      <c r="M137" s="15" t="n"/>
      <c r="N137" s="15" t="n"/>
      <c r="O137" s="15" t="n"/>
      <c r="P137" s="15" t="n"/>
      <c r="Q137" s="15" t="n"/>
      <c r="R137" s="16">
        <f>IF(OR(L137="",Q137=""),"",IF(EXACT(LOWER(TRIM(L137)),LOWER(TRIM(Q137))),"Sim","NÃO"))</f>
        <v/>
      </c>
      <c r="S137" s="16">
        <f>IF(A137="","",IF(AND(R137="Sim",U137&lt;&gt;"",IF(F137="Processo judicial",V137&lt;&gt;"",AND(G137&lt;&gt;"",H137&lt;&gt;"")),J137&lt;&gt;"",K137&lt;&gt;"",N137&lt;&gt;"",O137&lt;&gt;""),"Sim","Pendente"))</f>
        <v/>
      </c>
      <c r="T137" s="15" t="n"/>
      <c r="U137" s="15" t="n"/>
      <c r="V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20" t="n"/>
      <c r="J138" s="20" t="n"/>
      <c r="K138" s="15" t="n"/>
      <c r="L138" s="15" t="n"/>
      <c r="M138" s="15" t="n"/>
      <c r="N138" s="15" t="n"/>
      <c r="O138" s="15" t="n"/>
      <c r="P138" s="15" t="n"/>
      <c r="Q138" s="15" t="n"/>
      <c r="R138" s="16">
        <f>IF(OR(L138="",Q138=""),"",IF(EXACT(LOWER(TRIM(L138)),LOWER(TRIM(Q138))),"Sim","NÃO"))</f>
        <v/>
      </c>
      <c r="S138" s="16">
        <f>IF(A138="","",IF(AND(R138="Sim",U138&lt;&gt;"",IF(F138="Processo judicial",V138&lt;&gt;"",AND(G138&lt;&gt;"",H138&lt;&gt;"")),J138&lt;&gt;"",K138&lt;&gt;"",N138&lt;&gt;"",O138&lt;&gt;""),"Sim","Pendente"))</f>
        <v/>
      </c>
      <c r="T138" s="15" t="n"/>
      <c r="U138" s="15" t="n"/>
      <c r="V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20" t="n"/>
      <c r="J139" s="20" t="n"/>
      <c r="K139" s="15" t="n"/>
      <c r="L139" s="15" t="n"/>
      <c r="M139" s="15" t="n"/>
      <c r="N139" s="15" t="n"/>
      <c r="O139" s="15" t="n"/>
      <c r="P139" s="15" t="n"/>
      <c r="Q139" s="15" t="n"/>
      <c r="R139" s="16">
        <f>IF(OR(L139="",Q139=""),"",IF(EXACT(LOWER(TRIM(L139)),LOWER(TRIM(Q139))),"Sim","NÃO"))</f>
        <v/>
      </c>
      <c r="S139" s="16">
        <f>IF(A139="","",IF(AND(R139="Sim",U139&lt;&gt;"",IF(F139="Processo judicial",V139&lt;&gt;"",AND(G139&lt;&gt;"",H139&lt;&gt;"")),J139&lt;&gt;"",K139&lt;&gt;"",N139&lt;&gt;"",O139&lt;&gt;""),"Sim","Pendente"))</f>
        <v/>
      </c>
      <c r="T139" s="15" t="n"/>
      <c r="U139" s="15" t="n"/>
      <c r="V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20" t="n"/>
      <c r="J140" s="20" t="n"/>
      <c r="K140" s="15" t="n"/>
      <c r="L140" s="15" t="n"/>
      <c r="M140" s="15" t="n"/>
      <c r="N140" s="15" t="n"/>
      <c r="O140" s="15" t="n"/>
      <c r="P140" s="15" t="n"/>
      <c r="Q140" s="15" t="n"/>
      <c r="R140" s="16">
        <f>IF(OR(L140="",Q140=""),"",IF(EXACT(LOWER(TRIM(L140)),LOWER(TRIM(Q140))),"Sim","NÃO"))</f>
        <v/>
      </c>
      <c r="S140" s="16">
        <f>IF(A140="","",IF(AND(R140="Sim",U140&lt;&gt;"",IF(F140="Processo judicial",V140&lt;&gt;"",AND(G140&lt;&gt;"",H140&lt;&gt;"")),J140&lt;&gt;"",K140&lt;&gt;"",N140&lt;&gt;"",O140&lt;&gt;""),"Sim","Pendente"))</f>
        <v/>
      </c>
      <c r="T140" s="15" t="n"/>
      <c r="U140" s="15" t="n"/>
      <c r="V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20" t="n"/>
      <c r="J141" s="20" t="n"/>
      <c r="K141" s="15" t="n"/>
      <c r="L141" s="15" t="n"/>
      <c r="M141" s="15" t="n"/>
      <c r="N141" s="15" t="n"/>
      <c r="O141" s="15" t="n"/>
      <c r="P141" s="15" t="n"/>
      <c r="Q141" s="15" t="n"/>
      <c r="R141" s="16">
        <f>IF(OR(L141="",Q141=""),"",IF(EXACT(LOWER(TRIM(L141)),LOWER(TRIM(Q141))),"Sim","NÃO"))</f>
        <v/>
      </c>
      <c r="S141" s="16">
        <f>IF(A141="","",IF(AND(R141="Sim",U141&lt;&gt;"",IF(F141="Processo judicial",V141&lt;&gt;"",AND(G141&lt;&gt;"",H141&lt;&gt;"")),J141&lt;&gt;"",K141&lt;&gt;"",N141&lt;&gt;"",O141&lt;&gt;""),"Sim","Pendente"))</f>
        <v/>
      </c>
      <c r="T141" s="15" t="n"/>
      <c r="U141" s="15" t="n"/>
      <c r="V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20" t="n"/>
      <c r="J142" s="20" t="n"/>
      <c r="K142" s="15" t="n"/>
      <c r="L142" s="15" t="n"/>
      <c r="M142" s="15" t="n"/>
      <c r="N142" s="15" t="n"/>
      <c r="O142" s="15" t="n"/>
      <c r="P142" s="15" t="n"/>
      <c r="Q142" s="15" t="n"/>
      <c r="R142" s="16">
        <f>IF(OR(L142="",Q142=""),"",IF(EXACT(LOWER(TRIM(L142)),LOWER(TRIM(Q142))),"Sim","NÃO"))</f>
        <v/>
      </c>
      <c r="S142" s="16">
        <f>IF(A142="","",IF(AND(R142="Sim",U142&lt;&gt;"",IF(F142="Processo judicial",V142&lt;&gt;"",AND(G142&lt;&gt;"",H142&lt;&gt;"")),J142&lt;&gt;"",K142&lt;&gt;"",N142&lt;&gt;"",O142&lt;&gt;""),"Sim","Pendente"))</f>
        <v/>
      </c>
      <c r="T142" s="15" t="n"/>
      <c r="U142" s="15" t="n"/>
      <c r="V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20" t="n"/>
      <c r="J143" s="20" t="n"/>
      <c r="K143" s="15" t="n"/>
      <c r="L143" s="15" t="n"/>
      <c r="M143" s="15" t="n"/>
      <c r="N143" s="15" t="n"/>
      <c r="O143" s="15" t="n"/>
      <c r="P143" s="15" t="n"/>
      <c r="Q143" s="15" t="n"/>
      <c r="R143" s="16">
        <f>IF(OR(L143="",Q143=""),"",IF(EXACT(LOWER(TRIM(L143)),LOWER(TRIM(Q143))),"Sim","NÃO"))</f>
        <v/>
      </c>
      <c r="S143" s="16">
        <f>IF(A143="","",IF(AND(R143="Sim",U143&lt;&gt;"",IF(F143="Processo judicial",V143&lt;&gt;"",AND(G143&lt;&gt;"",H143&lt;&gt;"")),J143&lt;&gt;"",K143&lt;&gt;"",N143&lt;&gt;"",O143&lt;&gt;""),"Sim","Pendente"))</f>
        <v/>
      </c>
      <c r="T143" s="15" t="n"/>
      <c r="U143" s="15" t="n"/>
      <c r="V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20" t="n"/>
      <c r="J144" s="20" t="n"/>
      <c r="K144" s="15" t="n"/>
      <c r="L144" s="15" t="n"/>
      <c r="M144" s="15" t="n"/>
      <c r="N144" s="15" t="n"/>
      <c r="O144" s="15" t="n"/>
      <c r="P144" s="15" t="n"/>
      <c r="Q144" s="15" t="n"/>
      <c r="R144" s="16">
        <f>IF(OR(L144="",Q144=""),"",IF(EXACT(LOWER(TRIM(L144)),LOWER(TRIM(Q144))),"Sim","NÃO"))</f>
        <v/>
      </c>
      <c r="S144" s="16">
        <f>IF(A144="","",IF(AND(R144="Sim",U144&lt;&gt;"",IF(F144="Processo judicial",V144&lt;&gt;"",AND(G144&lt;&gt;"",H144&lt;&gt;"")),J144&lt;&gt;"",K144&lt;&gt;"",N144&lt;&gt;"",O144&lt;&gt;""),"Sim","Pendente"))</f>
        <v/>
      </c>
      <c r="T144" s="15" t="n"/>
      <c r="U144" s="15" t="n"/>
      <c r="V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20" t="n"/>
      <c r="J145" s="20" t="n"/>
      <c r="K145" s="15" t="n"/>
      <c r="L145" s="15" t="n"/>
      <c r="M145" s="15" t="n"/>
      <c r="N145" s="15" t="n"/>
      <c r="O145" s="15" t="n"/>
      <c r="P145" s="15" t="n"/>
      <c r="Q145" s="15" t="n"/>
      <c r="R145" s="16">
        <f>IF(OR(L145="",Q145=""),"",IF(EXACT(LOWER(TRIM(L145)),LOWER(TRIM(Q145))),"Sim","NÃO"))</f>
        <v/>
      </c>
      <c r="S145" s="16">
        <f>IF(A145="","",IF(AND(R145="Sim",U145&lt;&gt;"",IF(F145="Processo judicial",V145&lt;&gt;"",AND(G145&lt;&gt;"",H145&lt;&gt;"")),J145&lt;&gt;"",K145&lt;&gt;"",N145&lt;&gt;"",O145&lt;&gt;""),"Sim","Pendente"))</f>
        <v/>
      </c>
      <c r="T145" s="15" t="n"/>
      <c r="U145" s="15" t="n"/>
      <c r="V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20" t="n"/>
      <c r="J146" s="20" t="n"/>
      <c r="K146" s="15" t="n"/>
      <c r="L146" s="15" t="n"/>
      <c r="M146" s="15" t="n"/>
      <c r="N146" s="15" t="n"/>
      <c r="O146" s="15" t="n"/>
      <c r="P146" s="15" t="n"/>
      <c r="Q146" s="15" t="n"/>
      <c r="R146" s="16">
        <f>IF(OR(L146="",Q146=""),"",IF(EXACT(LOWER(TRIM(L146)),LOWER(TRIM(Q146))),"Sim","NÃO"))</f>
        <v/>
      </c>
      <c r="S146" s="16">
        <f>IF(A146="","",IF(AND(R146="Sim",U146&lt;&gt;"",IF(F146="Processo judicial",V146&lt;&gt;"",AND(G146&lt;&gt;"",H146&lt;&gt;"")),J146&lt;&gt;"",K146&lt;&gt;"",N146&lt;&gt;"",O146&lt;&gt;""),"Sim","Pendente"))</f>
        <v/>
      </c>
      <c r="T146" s="15" t="n"/>
      <c r="U146" s="15" t="n"/>
      <c r="V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20" t="n"/>
      <c r="J147" s="20" t="n"/>
      <c r="K147" s="15" t="n"/>
      <c r="L147" s="15" t="n"/>
      <c r="M147" s="15" t="n"/>
      <c r="N147" s="15" t="n"/>
      <c r="O147" s="15" t="n"/>
      <c r="P147" s="15" t="n"/>
      <c r="Q147" s="15" t="n"/>
      <c r="R147" s="16">
        <f>IF(OR(L147="",Q147=""),"",IF(EXACT(LOWER(TRIM(L147)),LOWER(TRIM(Q147))),"Sim","NÃO"))</f>
        <v/>
      </c>
      <c r="S147" s="16">
        <f>IF(A147="","",IF(AND(R147="Sim",U147&lt;&gt;"",IF(F147="Processo judicial",V147&lt;&gt;"",AND(G147&lt;&gt;"",H147&lt;&gt;"")),J147&lt;&gt;"",K147&lt;&gt;"",N147&lt;&gt;"",O147&lt;&gt;""),"Sim","Pendente"))</f>
        <v/>
      </c>
      <c r="T147" s="15" t="n"/>
      <c r="U147" s="15" t="n"/>
      <c r="V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20" t="n"/>
      <c r="J148" s="20" t="n"/>
      <c r="K148" s="15" t="n"/>
      <c r="L148" s="15" t="n"/>
      <c r="M148" s="15" t="n"/>
      <c r="N148" s="15" t="n"/>
      <c r="O148" s="15" t="n"/>
      <c r="P148" s="15" t="n"/>
      <c r="Q148" s="15" t="n"/>
      <c r="R148" s="16">
        <f>IF(OR(L148="",Q148=""),"",IF(EXACT(LOWER(TRIM(L148)),LOWER(TRIM(Q148))),"Sim","NÃO"))</f>
        <v/>
      </c>
      <c r="S148" s="16">
        <f>IF(A148="","",IF(AND(R148="Sim",U148&lt;&gt;"",IF(F148="Processo judicial",V148&lt;&gt;"",AND(G148&lt;&gt;"",H148&lt;&gt;"")),J148&lt;&gt;"",K148&lt;&gt;"",N148&lt;&gt;"",O148&lt;&gt;""),"Sim","Pendente"))</f>
        <v/>
      </c>
      <c r="T148" s="15" t="n"/>
      <c r="U148" s="15" t="n"/>
      <c r="V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20" t="n"/>
      <c r="J149" s="20" t="n"/>
      <c r="K149" s="15" t="n"/>
      <c r="L149" s="15" t="n"/>
      <c r="M149" s="15" t="n"/>
      <c r="N149" s="15" t="n"/>
      <c r="O149" s="15" t="n"/>
      <c r="P149" s="15" t="n"/>
      <c r="Q149" s="15" t="n"/>
      <c r="R149" s="16">
        <f>IF(OR(L149="",Q149=""),"",IF(EXACT(LOWER(TRIM(L149)),LOWER(TRIM(Q149))),"Sim","NÃO"))</f>
        <v/>
      </c>
      <c r="S149" s="16">
        <f>IF(A149="","",IF(AND(R149="Sim",U149&lt;&gt;"",IF(F149="Processo judicial",V149&lt;&gt;"",AND(G149&lt;&gt;"",H149&lt;&gt;"")),J149&lt;&gt;"",K149&lt;&gt;"",N149&lt;&gt;"",O149&lt;&gt;""),"Sim","Pendente"))</f>
        <v/>
      </c>
      <c r="T149" s="15" t="n"/>
      <c r="U149" s="15" t="n"/>
      <c r="V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20" t="n"/>
      <c r="J150" s="20" t="n"/>
      <c r="K150" s="15" t="n"/>
      <c r="L150" s="15" t="n"/>
      <c r="M150" s="15" t="n"/>
      <c r="N150" s="15" t="n"/>
      <c r="O150" s="15" t="n"/>
      <c r="P150" s="15" t="n"/>
      <c r="Q150" s="15" t="n"/>
      <c r="R150" s="16">
        <f>IF(OR(L150="",Q150=""),"",IF(EXACT(LOWER(TRIM(L150)),LOWER(TRIM(Q150))),"Sim","NÃO"))</f>
        <v/>
      </c>
      <c r="S150" s="16">
        <f>IF(A150="","",IF(AND(R150="Sim",U150&lt;&gt;"",IF(F150="Processo judicial",V150&lt;&gt;"",AND(G150&lt;&gt;"",H150&lt;&gt;"")),J150&lt;&gt;"",K150&lt;&gt;"",N150&lt;&gt;"",O150&lt;&gt;""),"Sim","Pendente"))</f>
        <v/>
      </c>
      <c r="T150" s="15" t="n"/>
      <c r="U150" s="15" t="n"/>
      <c r="V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20" t="n"/>
      <c r="J151" s="20" t="n"/>
      <c r="K151" s="15" t="n"/>
      <c r="L151" s="15" t="n"/>
      <c r="M151" s="15" t="n"/>
      <c r="N151" s="15" t="n"/>
      <c r="O151" s="15" t="n"/>
      <c r="P151" s="15" t="n"/>
      <c r="Q151" s="15" t="n"/>
      <c r="R151" s="16">
        <f>IF(OR(L151="",Q151=""),"",IF(EXACT(LOWER(TRIM(L151)),LOWER(TRIM(Q151))),"Sim","NÃO"))</f>
        <v/>
      </c>
      <c r="S151" s="16">
        <f>IF(A151="","",IF(AND(R151="Sim",U151&lt;&gt;"",IF(F151="Processo judicial",V151&lt;&gt;"",AND(G151&lt;&gt;"",H151&lt;&gt;"")),J151&lt;&gt;"",K151&lt;&gt;"",N151&lt;&gt;"",O151&lt;&gt;""),"Sim","Pendente"))</f>
        <v/>
      </c>
      <c r="T151" s="15" t="n"/>
      <c r="U151" s="15" t="n"/>
      <c r="V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20" t="n"/>
      <c r="J152" s="20" t="n"/>
      <c r="K152" s="15" t="n"/>
      <c r="L152" s="15" t="n"/>
      <c r="M152" s="15" t="n"/>
      <c r="N152" s="15" t="n"/>
      <c r="O152" s="15" t="n"/>
      <c r="P152" s="15" t="n"/>
      <c r="Q152" s="15" t="n"/>
      <c r="R152" s="16">
        <f>IF(OR(L152="",Q152=""),"",IF(EXACT(LOWER(TRIM(L152)),LOWER(TRIM(Q152))),"Sim","NÃO"))</f>
        <v/>
      </c>
      <c r="S152" s="16">
        <f>IF(A152="","",IF(AND(R152="Sim",U152&lt;&gt;"",IF(F152="Processo judicial",V152&lt;&gt;"",AND(G152&lt;&gt;"",H152&lt;&gt;"")),J152&lt;&gt;"",K152&lt;&gt;"",N152&lt;&gt;"",O152&lt;&gt;""),"Sim","Pendente"))</f>
        <v/>
      </c>
      <c r="T152" s="15" t="n"/>
      <c r="U152" s="15" t="n"/>
      <c r="V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20" t="n"/>
      <c r="J153" s="20" t="n"/>
      <c r="K153" s="15" t="n"/>
      <c r="L153" s="15" t="n"/>
      <c r="M153" s="15" t="n"/>
      <c r="N153" s="15" t="n"/>
      <c r="O153" s="15" t="n"/>
      <c r="P153" s="15" t="n"/>
      <c r="Q153" s="15" t="n"/>
      <c r="R153" s="16">
        <f>IF(OR(L153="",Q153=""),"",IF(EXACT(LOWER(TRIM(L153)),LOWER(TRIM(Q153))),"Sim","NÃO"))</f>
        <v/>
      </c>
      <c r="S153" s="16">
        <f>IF(A153="","",IF(AND(R153="Sim",U153&lt;&gt;"",IF(F153="Processo judicial",V153&lt;&gt;"",AND(G153&lt;&gt;"",H153&lt;&gt;"")),J153&lt;&gt;"",K153&lt;&gt;"",N153&lt;&gt;"",O153&lt;&gt;""),"Sim","Pendente"))</f>
        <v/>
      </c>
      <c r="T153" s="15" t="n"/>
      <c r="U153" s="15" t="n"/>
      <c r="V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20" t="n"/>
      <c r="J154" s="20" t="n"/>
      <c r="K154" s="15" t="n"/>
      <c r="L154" s="15" t="n"/>
      <c r="M154" s="15" t="n"/>
      <c r="N154" s="15" t="n"/>
      <c r="O154" s="15" t="n"/>
      <c r="P154" s="15" t="n"/>
      <c r="Q154" s="15" t="n"/>
      <c r="R154" s="16">
        <f>IF(OR(L154="",Q154=""),"",IF(EXACT(LOWER(TRIM(L154)),LOWER(TRIM(Q154))),"Sim","NÃO"))</f>
        <v/>
      </c>
      <c r="S154" s="16">
        <f>IF(A154="","",IF(AND(R154="Sim",U154&lt;&gt;"",IF(F154="Processo judicial",V154&lt;&gt;"",AND(G154&lt;&gt;"",H154&lt;&gt;"")),J154&lt;&gt;"",K154&lt;&gt;"",N154&lt;&gt;"",O154&lt;&gt;""),"Sim","Pendente"))</f>
        <v/>
      </c>
      <c r="T154" s="15" t="n"/>
      <c r="U154" s="15" t="n"/>
      <c r="V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20" t="n"/>
      <c r="J155" s="20" t="n"/>
      <c r="K155" s="15" t="n"/>
      <c r="L155" s="15" t="n"/>
      <c r="M155" s="15" t="n"/>
      <c r="N155" s="15" t="n"/>
      <c r="O155" s="15" t="n"/>
      <c r="P155" s="15" t="n"/>
      <c r="Q155" s="15" t="n"/>
      <c r="R155" s="16">
        <f>IF(OR(L155="",Q155=""),"",IF(EXACT(LOWER(TRIM(L155)),LOWER(TRIM(Q155))),"Sim","NÃO"))</f>
        <v/>
      </c>
      <c r="S155" s="16">
        <f>IF(A155="","",IF(AND(R155="Sim",U155&lt;&gt;"",IF(F155="Processo judicial",V155&lt;&gt;"",AND(G155&lt;&gt;"",H155&lt;&gt;"")),J155&lt;&gt;"",K155&lt;&gt;"",N155&lt;&gt;"",O155&lt;&gt;""),"Sim","Pendente"))</f>
        <v/>
      </c>
      <c r="T155" s="15" t="n"/>
      <c r="U155" s="15" t="n"/>
      <c r="V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20" t="n"/>
      <c r="J156" s="20" t="n"/>
      <c r="K156" s="15" t="n"/>
      <c r="L156" s="15" t="n"/>
      <c r="M156" s="15" t="n"/>
      <c r="N156" s="15" t="n"/>
      <c r="O156" s="15" t="n"/>
      <c r="P156" s="15" t="n"/>
      <c r="Q156" s="15" t="n"/>
      <c r="R156" s="16">
        <f>IF(OR(L156="",Q156=""),"",IF(EXACT(LOWER(TRIM(L156)),LOWER(TRIM(Q156))),"Sim","NÃO"))</f>
        <v/>
      </c>
      <c r="S156" s="16">
        <f>IF(A156="","",IF(AND(R156="Sim",U156&lt;&gt;"",IF(F156="Processo judicial",V156&lt;&gt;"",AND(G156&lt;&gt;"",H156&lt;&gt;"")),J156&lt;&gt;"",K156&lt;&gt;"",N156&lt;&gt;"",O156&lt;&gt;""),"Sim","Pendente"))</f>
        <v/>
      </c>
      <c r="T156" s="15" t="n"/>
      <c r="U156" s="15" t="n"/>
      <c r="V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20" t="n"/>
      <c r="J157" s="20" t="n"/>
      <c r="K157" s="15" t="n"/>
      <c r="L157" s="15" t="n"/>
      <c r="M157" s="15" t="n"/>
      <c r="N157" s="15" t="n"/>
      <c r="O157" s="15" t="n"/>
      <c r="P157" s="15" t="n"/>
      <c r="Q157" s="15" t="n"/>
      <c r="R157" s="16">
        <f>IF(OR(L157="",Q157=""),"",IF(EXACT(LOWER(TRIM(L157)),LOWER(TRIM(Q157))),"Sim","NÃO"))</f>
        <v/>
      </c>
      <c r="S157" s="16">
        <f>IF(A157="","",IF(AND(R157="Sim",U157&lt;&gt;"",IF(F157="Processo judicial",V157&lt;&gt;"",AND(G157&lt;&gt;"",H157&lt;&gt;"")),J157&lt;&gt;"",K157&lt;&gt;"",N157&lt;&gt;"",O157&lt;&gt;""),"Sim","Pendente"))</f>
        <v/>
      </c>
      <c r="T157" s="15" t="n"/>
      <c r="U157" s="15" t="n"/>
      <c r="V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20" t="n"/>
      <c r="J158" s="20" t="n"/>
      <c r="K158" s="15" t="n"/>
      <c r="L158" s="15" t="n"/>
      <c r="M158" s="15" t="n"/>
      <c r="N158" s="15" t="n"/>
      <c r="O158" s="15" t="n"/>
      <c r="P158" s="15" t="n"/>
      <c r="Q158" s="15" t="n"/>
      <c r="R158" s="16">
        <f>IF(OR(L158="",Q158=""),"",IF(EXACT(LOWER(TRIM(L158)),LOWER(TRIM(Q158))),"Sim","NÃO"))</f>
        <v/>
      </c>
      <c r="S158" s="16">
        <f>IF(A158="","",IF(AND(R158="Sim",U158&lt;&gt;"",IF(F158="Processo judicial",V158&lt;&gt;"",AND(G158&lt;&gt;"",H158&lt;&gt;"")),J158&lt;&gt;"",K158&lt;&gt;"",N158&lt;&gt;"",O158&lt;&gt;""),"Sim","Pendente"))</f>
        <v/>
      </c>
      <c r="T158" s="15" t="n"/>
      <c r="U158" s="15" t="n"/>
      <c r="V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20" t="n"/>
      <c r="J159" s="20" t="n"/>
      <c r="K159" s="15" t="n"/>
      <c r="L159" s="15" t="n"/>
      <c r="M159" s="15" t="n"/>
      <c r="N159" s="15" t="n"/>
      <c r="O159" s="15" t="n"/>
      <c r="P159" s="15" t="n"/>
      <c r="Q159" s="15" t="n"/>
      <c r="R159" s="16">
        <f>IF(OR(L159="",Q159=""),"",IF(EXACT(LOWER(TRIM(L159)),LOWER(TRIM(Q159))),"Sim","NÃO"))</f>
        <v/>
      </c>
      <c r="S159" s="16">
        <f>IF(A159="","",IF(AND(R159="Sim",U159&lt;&gt;"",IF(F159="Processo judicial",V159&lt;&gt;"",AND(G159&lt;&gt;"",H159&lt;&gt;"")),J159&lt;&gt;"",K159&lt;&gt;"",N159&lt;&gt;"",O159&lt;&gt;""),"Sim","Pendente"))</f>
        <v/>
      </c>
      <c r="T159" s="15" t="n"/>
      <c r="U159" s="15" t="n"/>
      <c r="V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20" t="n"/>
      <c r="J160" s="20" t="n"/>
      <c r="K160" s="15" t="n"/>
      <c r="L160" s="15" t="n"/>
      <c r="M160" s="15" t="n"/>
      <c r="N160" s="15" t="n"/>
      <c r="O160" s="15" t="n"/>
      <c r="P160" s="15" t="n"/>
      <c r="Q160" s="15" t="n"/>
      <c r="R160" s="16">
        <f>IF(OR(L160="",Q160=""),"",IF(EXACT(LOWER(TRIM(L160)),LOWER(TRIM(Q160))),"Sim","NÃO"))</f>
        <v/>
      </c>
      <c r="S160" s="16">
        <f>IF(A160="","",IF(AND(R160="Sim",U160&lt;&gt;"",IF(F160="Processo judicial",V160&lt;&gt;"",AND(G160&lt;&gt;"",H160&lt;&gt;"")),J160&lt;&gt;"",K160&lt;&gt;"",N160&lt;&gt;"",O160&lt;&gt;""),"Sim","Pendente"))</f>
        <v/>
      </c>
      <c r="T160" s="15" t="n"/>
      <c r="U160" s="15" t="n"/>
      <c r="V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20" t="n"/>
      <c r="J161" s="20" t="n"/>
      <c r="K161" s="15" t="n"/>
      <c r="L161" s="15" t="n"/>
      <c r="M161" s="15" t="n"/>
      <c r="N161" s="15" t="n"/>
      <c r="O161" s="15" t="n"/>
      <c r="P161" s="15" t="n"/>
      <c r="Q161" s="15" t="n"/>
      <c r="R161" s="16">
        <f>IF(OR(L161="",Q161=""),"",IF(EXACT(LOWER(TRIM(L161)),LOWER(TRIM(Q161))),"Sim","NÃO"))</f>
        <v/>
      </c>
      <c r="S161" s="16">
        <f>IF(A161="","",IF(AND(R161="Sim",U161&lt;&gt;"",IF(F161="Processo judicial",V161&lt;&gt;"",AND(G161&lt;&gt;"",H161&lt;&gt;"")),J161&lt;&gt;"",K161&lt;&gt;"",N161&lt;&gt;"",O161&lt;&gt;""),"Sim","Pendente"))</f>
        <v/>
      </c>
      <c r="T161" s="15" t="n"/>
      <c r="U161" s="15" t="n"/>
      <c r="V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20" t="n"/>
      <c r="J162" s="20" t="n"/>
      <c r="K162" s="15" t="n"/>
      <c r="L162" s="15" t="n"/>
      <c r="M162" s="15" t="n"/>
      <c r="N162" s="15" t="n"/>
      <c r="O162" s="15" t="n"/>
      <c r="P162" s="15" t="n"/>
      <c r="Q162" s="15" t="n"/>
      <c r="R162" s="16">
        <f>IF(OR(L162="",Q162=""),"",IF(EXACT(LOWER(TRIM(L162)),LOWER(TRIM(Q162))),"Sim","NÃO"))</f>
        <v/>
      </c>
      <c r="S162" s="16">
        <f>IF(A162="","",IF(AND(R162="Sim",U162&lt;&gt;"",IF(F162="Processo judicial",V162&lt;&gt;"",AND(G162&lt;&gt;"",H162&lt;&gt;"")),J162&lt;&gt;"",K162&lt;&gt;"",N162&lt;&gt;"",O162&lt;&gt;""),"Sim","Pendente"))</f>
        <v/>
      </c>
      <c r="T162" s="15" t="n"/>
      <c r="U162" s="15" t="n"/>
      <c r="V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20" t="n"/>
      <c r="J163" s="20" t="n"/>
      <c r="K163" s="15" t="n"/>
      <c r="L163" s="15" t="n"/>
      <c r="M163" s="15" t="n"/>
      <c r="N163" s="15" t="n"/>
      <c r="O163" s="15" t="n"/>
      <c r="P163" s="15" t="n"/>
      <c r="Q163" s="15" t="n"/>
      <c r="R163" s="16">
        <f>IF(OR(L163="",Q163=""),"",IF(EXACT(LOWER(TRIM(L163)),LOWER(TRIM(Q163))),"Sim","NÃO"))</f>
        <v/>
      </c>
      <c r="S163" s="16">
        <f>IF(A163="","",IF(AND(R163="Sim",U163&lt;&gt;"",IF(F163="Processo judicial",V163&lt;&gt;"",AND(G163&lt;&gt;"",H163&lt;&gt;"")),J163&lt;&gt;"",K163&lt;&gt;"",N163&lt;&gt;"",O163&lt;&gt;""),"Sim","Pendente"))</f>
        <v/>
      </c>
      <c r="T163" s="15" t="n"/>
      <c r="U163" s="15" t="n"/>
      <c r="V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20" t="n"/>
      <c r="J164" s="20" t="n"/>
      <c r="K164" s="15" t="n"/>
      <c r="L164" s="15" t="n"/>
      <c r="M164" s="15" t="n"/>
      <c r="N164" s="15" t="n"/>
      <c r="O164" s="15" t="n"/>
      <c r="P164" s="15" t="n"/>
      <c r="Q164" s="15" t="n"/>
      <c r="R164" s="16">
        <f>IF(OR(L164="",Q164=""),"",IF(EXACT(LOWER(TRIM(L164)),LOWER(TRIM(Q164))),"Sim","NÃO"))</f>
        <v/>
      </c>
      <c r="S164" s="16">
        <f>IF(A164="","",IF(AND(R164="Sim",U164&lt;&gt;"",IF(F164="Processo judicial",V164&lt;&gt;"",AND(G164&lt;&gt;"",H164&lt;&gt;"")),J164&lt;&gt;"",K164&lt;&gt;"",N164&lt;&gt;"",O164&lt;&gt;""),"Sim","Pendente"))</f>
        <v/>
      </c>
      <c r="T164" s="15" t="n"/>
      <c r="U164" s="15" t="n"/>
      <c r="V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20" t="n"/>
      <c r="J165" s="20" t="n"/>
      <c r="K165" s="15" t="n"/>
      <c r="L165" s="15" t="n"/>
      <c r="M165" s="15" t="n"/>
      <c r="N165" s="15" t="n"/>
      <c r="O165" s="15" t="n"/>
      <c r="P165" s="15" t="n"/>
      <c r="Q165" s="15" t="n"/>
      <c r="R165" s="16">
        <f>IF(OR(L165="",Q165=""),"",IF(EXACT(LOWER(TRIM(L165)),LOWER(TRIM(Q165))),"Sim","NÃO"))</f>
        <v/>
      </c>
      <c r="S165" s="16">
        <f>IF(A165="","",IF(AND(R165="Sim",U165&lt;&gt;"",IF(F165="Processo judicial",V165&lt;&gt;"",AND(G165&lt;&gt;"",H165&lt;&gt;"")),J165&lt;&gt;"",K165&lt;&gt;"",N165&lt;&gt;"",O165&lt;&gt;""),"Sim","Pendente"))</f>
        <v/>
      </c>
      <c r="T165" s="15" t="n"/>
      <c r="U165" s="15" t="n"/>
      <c r="V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20" t="n"/>
      <c r="J166" s="20" t="n"/>
      <c r="K166" s="15" t="n"/>
      <c r="L166" s="15" t="n"/>
      <c r="M166" s="15" t="n"/>
      <c r="N166" s="15" t="n"/>
      <c r="O166" s="15" t="n"/>
      <c r="P166" s="15" t="n"/>
      <c r="Q166" s="15" t="n"/>
      <c r="R166" s="16">
        <f>IF(OR(L166="",Q166=""),"",IF(EXACT(LOWER(TRIM(L166)),LOWER(TRIM(Q166))),"Sim","NÃO"))</f>
        <v/>
      </c>
      <c r="S166" s="16">
        <f>IF(A166="","",IF(AND(R166="Sim",U166&lt;&gt;"",IF(F166="Processo judicial",V166&lt;&gt;"",AND(G166&lt;&gt;"",H166&lt;&gt;"")),J166&lt;&gt;"",K166&lt;&gt;"",N166&lt;&gt;"",O166&lt;&gt;""),"Sim","Pendente"))</f>
        <v/>
      </c>
      <c r="T166" s="15" t="n"/>
      <c r="U166" s="15" t="n"/>
      <c r="V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20" t="n"/>
      <c r="J167" s="20" t="n"/>
      <c r="K167" s="15" t="n"/>
      <c r="L167" s="15" t="n"/>
      <c r="M167" s="15" t="n"/>
      <c r="N167" s="15" t="n"/>
      <c r="O167" s="15" t="n"/>
      <c r="P167" s="15" t="n"/>
      <c r="Q167" s="15" t="n"/>
      <c r="R167" s="16">
        <f>IF(OR(L167="",Q167=""),"",IF(EXACT(LOWER(TRIM(L167)),LOWER(TRIM(Q167))),"Sim","NÃO"))</f>
        <v/>
      </c>
      <c r="S167" s="16">
        <f>IF(A167="","",IF(AND(R167="Sim",U167&lt;&gt;"",IF(F167="Processo judicial",V167&lt;&gt;"",AND(G167&lt;&gt;"",H167&lt;&gt;"")),J167&lt;&gt;"",K167&lt;&gt;"",N167&lt;&gt;"",O167&lt;&gt;""),"Sim","Pendente"))</f>
        <v/>
      </c>
      <c r="T167" s="15" t="n"/>
      <c r="U167" s="15" t="n"/>
      <c r="V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20" t="n"/>
      <c r="J168" s="20" t="n"/>
      <c r="K168" s="15" t="n"/>
      <c r="L168" s="15" t="n"/>
      <c r="M168" s="15" t="n"/>
      <c r="N168" s="15" t="n"/>
      <c r="O168" s="15" t="n"/>
      <c r="P168" s="15" t="n"/>
      <c r="Q168" s="15" t="n"/>
      <c r="R168" s="16">
        <f>IF(OR(L168="",Q168=""),"",IF(EXACT(LOWER(TRIM(L168)),LOWER(TRIM(Q168))),"Sim","NÃO"))</f>
        <v/>
      </c>
      <c r="S168" s="16">
        <f>IF(A168="","",IF(AND(R168="Sim",U168&lt;&gt;"",IF(F168="Processo judicial",V168&lt;&gt;"",AND(G168&lt;&gt;"",H168&lt;&gt;"")),J168&lt;&gt;"",K168&lt;&gt;"",N168&lt;&gt;"",O168&lt;&gt;""),"Sim","Pendente"))</f>
        <v/>
      </c>
      <c r="T168" s="15" t="n"/>
      <c r="U168" s="15" t="n"/>
      <c r="V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20" t="n"/>
      <c r="J169" s="20" t="n"/>
      <c r="K169" s="15" t="n"/>
      <c r="L169" s="15" t="n"/>
      <c r="M169" s="15" t="n"/>
      <c r="N169" s="15" t="n"/>
      <c r="O169" s="15" t="n"/>
      <c r="P169" s="15" t="n"/>
      <c r="Q169" s="15" t="n"/>
      <c r="R169" s="16">
        <f>IF(OR(L169="",Q169=""),"",IF(EXACT(LOWER(TRIM(L169)),LOWER(TRIM(Q169))),"Sim","NÃO"))</f>
        <v/>
      </c>
      <c r="S169" s="16">
        <f>IF(A169="","",IF(AND(R169="Sim",U169&lt;&gt;"",IF(F169="Processo judicial",V169&lt;&gt;"",AND(G169&lt;&gt;"",H169&lt;&gt;"")),J169&lt;&gt;"",K169&lt;&gt;"",N169&lt;&gt;"",O169&lt;&gt;""),"Sim","Pendente"))</f>
        <v/>
      </c>
      <c r="T169" s="15" t="n"/>
      <c r="U169" s="15" t="n"/>
      <c r="V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20" t="n"/>
      <c r="J170" s="20" t="n"/>
      <c r="K170" s="15" t="n"/>
      <c r="L170" s="15" t="n"/>
      <c r="M170" s="15" t="n"/>
      <c r="N170" s="15" t="n"/>
      <c r="O170" s="15" t="n"/>
      <c r="P170" s="15" t="n"/>
      <c r="Q170" s="15" t="n"/>
      <c r="R170" s="16">
        <f>IF(OR(L170="",Q170=""),"",IF(EXACT(LOWER(TRIM(L170)),LOWER(TRIM(Q170))),"Sim","NÃO"))</f>
        <v/>
      </c>
      <c r="S170" s="16">
        <f>IF(A170="","",IF(AND(R170="Sim",U170&lt;&gt;"",IF(F170="Processo judicial",V170&lt;&gt;"",AND(G170&lt;&gt;"",H170&lt;&gt;"")),J170&lt;&gt;"",K170&lt;&gt;"",N170&lt;&gt;"",O170&lt;&gt;""),"Sim","Pendente"))</f>
        <v/>
      </c>
      <c r="T170" s="15" t="n"/>
      <c r="U170" s="15" t="n"/>
      <c r="V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20" t="n"/>
      <c r="J171" s="20" t="n"/>
      <c r="K171" s="15" t="n"/>
      <c r="L171" s="15" t="n"/>
      <c r="M171" s="15" t="n"/>
      <c r="N171" s="15" t="n"/>
      <c r="O171" s="15" t="n"/>
      <c r="P171" s="15" t="n"/>
      <c r="Q171" s="15" t="n"/>
      <c r="R171" s="16">
        <f>IF(OR(L171="",Q171=""),"",IF(EXACT(LOWER(TRIM(L171)),LOWER(TRIM(Q171))),"Sim","NÃO"))</f>
        <v/>
      </c>
      <c r="S171" s="16">
        <f>IF(A171="","",IF(AND(R171="Sim",U171&lt;&gt;"",IF(F171="Processo judicial",V171&lt;&gt;"",AND(G171&lt;&gt;"",H171&lt;&gt;"")),J171&lt;&gt;"",K171&lt;&gt;"",N171&lt;&gt;"",O171&lt;&gt;""),"Sim","Pendente"))</f>
        <v/>
      </c>
      <c r="T171" s="15" t="n"/>
      <c r="U171" s="15" t="n"/>
      <c r="V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20" t="n"/>
      <c r="J172" s="20" t="n"/>
      <c r="K172" s="15" t="n"/>
      <c r="L172" s="15" t="n"/>
      <c r="M172" s="15" t="n"/>
      <c r="N172" s="15" t="n"/>
      <c r="O172" s="15" t="n"/>
      <c r="P172" s="15" t="n"/>
      <c r="Q172" s="15" t="n"/>
      <c r="R172" s="16">
        <f>IF(OR(L172="",Q172=""),"",IF(EXACT(LOWER(TRIM(L172)),LOWER(TRIM(Q172))),"Sim","NÃO"))</f>
        <v/>
      </c>
      <c r="S172" s="16">
        <f>IF(A172="","",IF(AND(R172="Sim",U172&lt;&gt;"",IF(F172="Processo judicial",V172&lt;&gt;"",AND(G172&lt;&gt;"",H172&lt;&gt;"")),J172&lt;&gt;"",K172&lt;&gt;"",N172&lt;&gt;"",O172&lt;&gt;""),"Sim","Pendente"))</f>
        <v/>
      </c>
      <c r="T172" s="15" t="n"/>
      <c r="U172" s="15" t="n"/>
      <c r="V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20" t="n"/>
      <c r="J173" s="20" t="n"/>
      <c r="K173" s="15" t="n"/>
      <c r="L173" s="15" t="n"/>
      <c r="M173" s="15" t="n"/>
      <c r="N173" s="15" t="n"/>
      <c r="O173" s="15" t="n"/>
      <c r="P173" s="15" t="n"/>
      <c r="Q173" s="15" t="n"/>
      <c r="R173" s="16">
        <f>IF(OR(L173="",Q173=""),"",IF(EXACT(LOWER(TRIM(L173)),LOWER(TRIM(Q173))),"Sim","NÃO"))</f>
        <v/>
      </c>
      <c r="S173" s="16">
        <f>IF(A173="","",IF(AND(R173="Sim",U173&lt;&gt;"",IF(F173="Processo judicial",V173&lt;&gt;"",AND(G173&lt;&gt;"",H173&lt;&gt;"")),J173&lt;&gt;"",K173&lt;&gt;"",N173&lt;&gt;"",O173&lt;&gt;""),"Sim","Pendente"))</f>
        <v/>
      </c>
      <c r="T173" s="15" t="n"/>
      <c r="U173" s="15" t="n"/>
      <c r="V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20" t="n"/>
      <c r="J174" s="20" t="n"/>
      <c r="K174" s="15" t="n"/>
      <c r="L174" s="15" t="n"/>
      <c r="M174" s="15" t="n"/>
      <c r="N174" s="15" t="n"/>
      <c r="O174" s="15" t="n"/>
      <c r="P174" s="15" t="n"/>
      <c r="Q174" s="15" t="n"/>
      <c r="R174" s="16">
        <f>IF(OR(L174="",Q174=""),"",IF(EXACT(LOWER(TRIM(L174)),LOWER(TRIM(Q174))),"Sim","NÃO"))</f>
        <v/>
      </c>
      <c r="S174" s="16">
        <f>IF(A174="","",IF(AND(R174="Sim",U174&lt;&gt;"",IF(F174="Processo judicial",V174&lt;&gt;"",AND(G174&lt;&gt;"",H174&lt;&gt;"")),J174&lt;&gt;"",K174&lt;&gt;"",N174&lt;&gt;"",O174&lt;&gt;""),"Sim","Pendente"))</f>
        <v/>
      </c>
      <c r="T174" s="15" t="n"/>
      <c r="U174" s="15" t="n"/>
      <c r="V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20" t="n"/>
      <c r="J175" s="20" t="n"/>
      <c r="K175" s="15" t="n"/>
      <c r="L175" s="15" t="n"/>
      <c r="M175" s="15" t="n"/>
      <c r="N175" s="15" t="n"/>
      <c r="O175" s="15" t="n"/>
      <c r="P175" s="15" t="n"/>
      <c r="Q175" s="15" t="n"/>
      <c r="R175" s="16">
        <f>IF(OR(L175="",Q175=""),"",IF(EXACT(LOWER(TRIM(L175)),LOWER(TRIM(Q175))),"Sim","NÃO"))</f>
        <v/>
      </c>
      <c r="S175" s="16">
        <f>IF(A175="","",IF(AND(R175="Sim",U175&lt;&gt;"",IF(F175="Processo judicial",V175&lt;&gt;"",AND(G175&lt;&gt;"",H175&lt;&gt;"")),J175&lt;&gt;"",K175&lt;&gt;"",N175&lt;&gt;"",O175&lt;&gt;""),"Sim","Pendente"))</f>
        <v/>
      </c>
      <c r="T175" s="15" t="n"/>
      <c r="U175" s="15" t="n"/>
      <c r="V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20" t="n"/>
      <c r="J176" s="20" t="n"/>
      <c r="K176" s="15" t="n"/>
      <c r="L176" s="15" t="n"/>
      <c r="M176" s="15" t="n"/>
      <c r="N176" s="15" t="n"/>
      <c r="O176" s="15" t="n"/>
      <c r="P176" s="15" t="n"/>
      <c r="Q176" s="15" t="n"/>
      <c r="R176" s="16">
        <f>IF(OR(L176="",Q176=""),"",IF(EXACT(LOWER(TRIM(L176)),LOWER(TRIM(Q176))),"Sim","NÃO"))</f>
        <v/>
      </c>
      <c r="S176" s="16">
        <f>IF(A176="","",IF(AND(R176="Sim",U176&lt;&gt;"",IF(F176="Processo judicial",V176&lt;&gt;"",AND(G176&lt;&gt;"",H176&lt;&gt;"")),J176&lt;&gt;"",K176&lt;&gt;"",N176&lt;&gt;"",O176&lt;&gt;""),"Sim","Pendente"))</f>
        <v/>
      </c>
      <c r="T176" s="15" t="n"/>
      <c r="U176" s="15" t="n"/>
      <c r="V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20" t="n"/>
      <c r="J177" s="20" t="n"/>
      <c r="K177" s="15" t="n"/>
      <c r="L177" s="15" t="n"/>
      <c r="M177" s="15" t="n"/>
      <c r="N177" s="15" t="n"/>
      <c r="O177" s="15" t="n"/>
      <c r="P177" s="15" t="n"/>
      <c r="Q177" s="15" t="n"/>
      <c r="R177" s="16">
        <f>IF(OR(L177="",Q177=""),"",IF(EXACT(LOWER(TRIM(L177)),LOWER(TRIM(Q177))),"Sim","NÃO"))</f>
        <v/>
      </c>
      <c r="S177" s="16">
        <f>IF(A177="","",IF(AND(R177="Sim",U177&lt;&gt;"",IF(F177="Processo judicial",V177&lt;&gt;"",AND(G177&lt;&gt;"",H177&lt;&gt;"")),J177&lt;&gt;"",K177&lt;&gt;"",N177&lt;&gt;"",O177&lt;&gt;""),"Sim","Pendente"))</f>
        <v/>
      </c>
      <c r="T177" s="15" t="n"/>
      <c r="U177" s="15" t="n"/>
      <c r="V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20" t="n"/>
      <c r="J178" s="20" t="n"/>
      <c r="K178" s="15" t="n"/>
      <c r="L178" s="15" t="n"/>
      <c r="M178" s="15" t="n"/>
      <c r="N178" s="15" t="n"/>
      <c r="O178" s="15" t="n"/>
      <c r="P178" s="15" t="n"/>
      <c r="Q178" s="15" t="n"/>
      <c r="R178" s="16">
        <f>IF(OR(L178="",Q178=""),"",IF(EXACT(LOWER(TRIM(L178)),LOWER(TRIM(Q178))),"Sim","NÃO"))</f>
        <v/>
      </c>
      <c r="S178" s="16">
        <f>IF(A178="","",IF(AND(R178="Sim",U178&lt;&gt;"",IF(F178="Processo judicial",V178&lt;&gt;"",AND(G178&lt;&gt;"",H178&lt;&gt;"")),J178&lt;&gt;"",K178&lt;&gt;"",N178&lt;&gt;"",O178&lt;&gt;""),"Sim","Pendente"))</f>
        <v/>
      </c>
      <c r="T178" s="15" t="n"/>
      <c r="U178" s="15" t="n"/>
      <c r="V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20" t="n"/>
      <c r="J179" s="20" t="n"/>
      <c r="K179" s="15" t="n"/>
      <c r="L179" s="15" t="n"/>
      <c r="M179" s="15" t="n"/>
      <c r="N179" s="15" t="n"/>
      <c r="O179" s="15" t="n"/>
      <c r="P179" s="15" t="n"/>
      <c r="Q179" s="15" t="n"/>
      <c r="R179" s="16">
        <f>IF(OR(L179="",Q179=""),"",IF(EXACT(LOWER(TRIM(L179)),LOWER(TRIM(Q179))),"Sim","NÃO"))</f>
        <v/>
      </c>
      <c r="S179" s="16">
        <f>IF(A179="","",IF(AND(R179="Sim",U179&lt;&gt;"",IF(F179="Processo judicial",V179&lt;&gt;"",AND(G179&lt;&gt;"",H179&lt;&gt;"")),J179&lt;&gt;"",K179&lt;&gt;"",N179&lt;&gt;"",O179&lt;&gt;""),"Sim","Pendente"))</f>
        <v/>
      </c>
      <c r="T179" s="15" t="n"/>
      <c r="U179" s="15" t="n"/>
      <c r="V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20" t="n"/>
      <c r="J180" s="20" t="n"/>
      <c r="K180" s="15" t="n"/>
      <c r="L180" s="15" t="n"/>
      <c r="M180" s="15" t="n"/>
      <c r="N180" s="15" t="n"/>
      <c r="O180" s="15" t="n"/>
      <c r="P180" s="15" t="n"/>
      <c r="Q180" s="15" t="n"/>
      <c r="R180" s="16">
        <f>IF(OR(L180="",Q180=""),"",IF(EXACT(LOWER(TRIM(L180)),LOWER(TRIM(Q180))),"Sim","NÃO"))</f>
        <v/>
      </c>
      <c r="S180" s="16">
        <f>IF(A180="","",IF(AND(R180="Sim",U180&lt;&gt;"",IF(F180="Processo judicial",V180&lt;&gt;"",AND(G180&lt;&gt;"",H180&lt;&gt;"")),J180&lt;&gt;"",K180&lt;&gt;"",N180&lt;&gt;"",O180&lt;&gt;""),"Sim","Pendente"))</f>
        <v/>
      </c>
      <c r="T180" s="15" t="n"/>
      <c r="U180" s="15" t="n"/>
      <c r="V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20" t="n"/>
      <c r="J181" s="20" t="n"/>
      <c r="K181" s="15" t="n"/>
      <c r="L181" s="15" t="n"/>
      <c r="M181" s="15" t="n"/>
      <c r="N181" s="15" t="n"/>
      <c r="O181" s="15" t="n"/>
      <c r="P181" s="15" t="n"/>
      <c r="Q181" s="15" t="n"/>
      <c r="R181" s="16">
        <f>IF(OR(L181="",Q181=""),"",IF(EXACT(LOWER(TRIM(L181)),LOWER(TRIM(Q181))),"Sim","NÃO"))</f>
        <v/>
      </c>
      <c r="S181" s="16">
        <f>IF(A181="","",IF(AND(R181="Sim",U181&lt;&gt;"",IF(F181="Processo judicial",V181&lt;&gt;"",AND(G181&lt;&gt;"",H181&lt;&gt;"")),J181&lt;&gt;"",K181&lt;&gt;"",N181&lt;&gt;"",O181&lt;&gt;""),"Sim","Pendente"))</f>
        <v/>
      </c>
      <c r="T181" s="15" t="n"/>
      <c r="U181" s="15" t="n"/>
      <c r="V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20" t="n"/>
      <c r="J182" s="20" t="n"/>
      <c r="K182" s="15" t="n"/>
      <c r="L182" s="15" t="n"/>
      <c r="M182" s="15" t="n"/>
      <c r="N182" s="15" t="n"/>
      <c r="O182" s="15" t="n"/>
      <c r="P182" s="15" t="n"/>
      <c r="Q182" s="15" t="n"/>
      <c r="R182" s="16">
        <f>IF(OR(L182="",Q182=""),"",IF(EXACT(LOWER(TRIM(L182)),LOWER(TRIM(Q182))),"Sim","NÃO"))</f>
        <v/>
      </c>
      <c r="S182" s="16">
        <f>IF(A182="","",IF(AND(R182="Sim",U182&lt;&gt;"",IF(F182="Processo judicial",V182&lt;&gt;"",AND(G182&lt;&gt;"",H182&lt;&gt;"")),J182&lt;&gt;"",K182&lt;&gt;"",N182&lt;&gt;"",O182&lt;&gt;""),"Sim","Pendente"))</f>
        <v/>
      </c>
      <c r="T182" s="15" t="n"/>
      <c r="U182" s="15" t="n"/>
      <c r="V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20" t="n"/>
      <c r="J183" s="20" t="n"/>
      <c r="K183" s="15" t="n"/>
      <c r="L183" s="15" t="n"/>
      <c r="M183" s="15" t="n"/>
      <c r="N183" s="15" t="n"/>
      <c r="O183" s="15" t="n"/>
      <c r="P183" s="15" t="n"/>
      <c r="Q183" s="15" t="n"/>
      <c r="R183" s="16">
        <f>IF(OR(L183="",Q183=""),"",IF(EXACT(LOWER(TRIM(L183)),LOWER(TRIM(Q183))),"Sim","NÃO"))</f>
        <v/>
      </c>
      <c r="S183" s="16">
        <f>IF(A183="","",IF(AND(R183="Sim",U183&lt;&gt;"",IF(F183="Processo judicial",V183&lt;&gt;"",AND(G183&lt;&gt;"",H183&lt;&gt;"")),J183&lt;&gt;"",K183&lt;&gt;"",N183&lt;&gt;"",O183&lt;&gt;""),"Sim","Pendente"))</f>
        <v/>
      </c>
      <c r="T183" s="15" t="n"/>
      <c r="U183" s="15" t="n"/>
      <c r="V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20" t="n"/>
      <c r="J184" s="20" t="n"/>
      <c r="K184" s="15" t="n"/>
      <c r="L184" s="15" t="n"/>
      <c r="M184" s="15" t="n"/>
      <c r="N184" s="15" t="n"/>
      <c r="O184" s="15" t="n"/>
      <c r="P184" s="15" t="n"/>
      <c r="Q184" s="15" t="n"/>
      <c r="R184" s="16">
        <f>IF(OR(L184="",Q184=""),"",IF(EXACT(LOWER(TRIM(L184)),LOWER(TRIM(Q184))),"Sim","NÃO"))</f>
        <v/>
      </c>
      <c r="S184" s="16">
        <f>IF(A184="","",IF(AND(R184="Sim",U184&lt;&gt;"",IF(F184="Processo judicial",V184&lt;&gt;"",AND(G184&lt;&gt;"",H184&lt;&gt;"")),J184&lt;&gt;"",K184&lt;&gt;"",N184&lt;&gt;"",O184&lt;&gt;""),"Sim","Pendente"))</f>
        <v/>
      </c>
      <c r="T184" s="15" t="n"/>
      <c r="U184" s="15" t="n"/>
      <c r="V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20" t="n"/>
      <c r="J185" s="20" t="n"/>
      <c r="K185" s="15" t="n"/>
      <c r="L185" s="15" t="n"/>
      <c r="M185" s="15" t="n"/>
      <c r="N185" s="15" t="n"/>
      <c r="O185" s="15" t="n"/>
      <c r="P185" s="15" t="n"/>
      <c r="Q185" s="15" t="n"/>
      <c r="R185" s="16">
        <f>IF(OR(L185="",Q185=""),"",IF(EXACT(LOWER(TRIM(L185)),LOWER(TRIM(Q185))),"Sim","NÃO"))</f>
        <v/>
      </c>
      <c r="S185" s="16">
        <f>IF(A185="","",IF(AND(R185="Sim",U185&lt;&gt;"",IF(F185="Processo judicial",V185&lt;&gt;"",AND(G185&lt;&gt;"",H185&lt;&gt;"")),J185&lt;&gt;"",K185&lt;&gt;"",N185&lt;&gt;"",O185&lt;&gt;""),"Sim","Pendente"))</f>
        <v/>
      </c>
      <c r="T185" s="15" t="n"/>
      <c r="U185" s="15" t="n"/>
      <c r="V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20" t="n"/>
      <c r="J186" s="20" t="n"/>
      <c r="K186" s="15" t="n"/>
      <c r="L186" s="15" t="n"/>
      <c r="M186" s="15" t="n"/>
      <c r="N186" s="15" t="n"/>
      <c r="O186" s="15" t="n"/>
      <c r="P186" s="15" t="n"/>
      <c r="Q186" s="15" t="n"/>
      <c r="R186" s="16">
        <f>IF(OR(L186="",Q186=""),"",IF(EXACT(LOWER(TRIM(L186)),LOWER(TRIM(Q186))),"Sim","NÃO"))</f>
        <v/>
      </c>
      <c r="S186" s="16">
        <f>IF(A186="","",IF(AND(R186="Sim",U186&lt;&gt;"",IF(F186="Processo judicial",V186&lt;&gt;"",AND(G186&lt;&gt;"",H186&lt;&gt;"")),J186&lt;&gt;"",K186&lt;&gt;"",N186&lt;&gt;"",O186&lt;&gt;""),"Sim","Pendente"))</f>
        <v/>
      </c>
      <c r="T186" s="15" t="n"/>
      <c r="U186" s="15" t="n"/>
      <c r="V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20" t="n"/>
      <c r="J187" s="20" t="n"/>
      <c r="K187" s="15" t="n"/>
      <c r="L187" s="15" t="n"/>
      <c r="M187" s="15" t="n"/>
      <c r="N187" s="15" t="n"/>
      <c r="O187" s="15" t="n"/>
      <c r="P187" s="15" t="n"/>
      <c r="Q187" s="15" t="n"/>
      <c r="R187" s="16">
        <f>IF(OR(L187="",Q187=""),"",IF(EXACT(LOWER(TRIM(L187)),LOWER(TRIM(Q187))),"Sim","NÃO"))</f>
        <v/>
      </c>
      <c r="S187" s="16">
        <f>IF(A187="","",IF(AND(R187="Sim",U187&lt;&gt;"",IF(F187="Processo judicial",V187&lt;&gt;"",AND(G187&lt;&gt;"",H187&lt;&gt;"")),J187&lt;&gt;"",K187&lt;&gt;"",N187&lt;&gt;"",O187&lt;&gt;""),"Sim","Pendente"))</f>
        <v/>
      </c>
      <c r="T187" s="15" t="n"/>
      <c r="U187" s="15" t="n"/>
      <c r="V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20" t="n"/>
      <c r="J188" s="20" t="n"/>
      <c r="K188" s="15" t="n"/>
      <c r="L188" s="15" t="n"/>
      <c r="M188" s="15" t="n"/>
      <c r="N188" s="15" t="n"/>
      <c r="O188" s="15" t="n"/>
      <c r="P188" s="15" t="n"/>
      <c r="Q188" s="15" t="n"/>
      <c r="R188" s="16">
        <f>IF(OR(L188="",Q188=""),"",IF(EXACT(LOWER(TRIM(L188)),LOWER(TRIM(Q188))),"Sim","NÃO"))</f>
        <v/>
      </c>
      <c r="S188" s="16">
        <f>IF(A188="","",IF(AND(R188="Sim",U188&lt;&gt;"",IF(F188="Processo judicial",V188&lt;&gt;"",AND(G188&lt;&gt;"",H188&lt;&gt;"")),J188&lt;&gt;"",K188&lt;&gt;"",N188&lt;&gt;"",O188&lt;&gt;""),"Sim","Pendente"))</f>
        <v/>
      </c>
      <c r="T188" s="15" t="n"/>
      <c r="U188" s="15" t="n"/>
      <c r="V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20" t="n"/>
      <c r="J189" s="20" t="n"/>
      <c r="K189" s="15" t="n"/>
      <c r="L189" s="15" t="n"/>
      <c r="M189" s="15" t="n"/>
      <c r="N189" s="15" t="n"/>
      <c r="O189" s="15" t="n"/>
      <c r="P189" s="15" t="n"/>
      <c r="Q189" s="15" t="n"/>
      <c r="R189" s="16">
        <f>IF(OR(L189="",Q189=""),"",IF(EXACT(LOWER(TRIM(L189)),LOWER(TRIM(Q189))),"Sim","NÃO"))</f>
        <v/>
      </c>
      <c r="S189" s="16">
        <f>IF(A189="","",IF(AND(R189="Sim",U189&lt;&gt;"",IF(F189="Processo judicial",V189&lt;&gt;"",AND(G189&lt;&gt;"",H189&lt;&gt;"")),J189&lt;&gt;"",K189&lt;&gt;"",N189&lt;&gt;"",O189&lt;&gt;""),"Sim","Pendente"))</f>
        <v/>
      </c>
      <c r="T189" s="15" t="n"/>
      <c r="U189" s="15" t="n"/>
      <c r="V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20" t="n"/>
      <c r="J190" s="20" t="n"/>
      <c r="K190" s="15" t="n"/>
      <c r="L190" s="15" t="n"/>
      <c r="M190" s="15" t="n"/>
      <c r="N190" s="15" t="n"/>
      <c r="O190" s="15" t="n"/>
      <c r="P190" s="15" t="n"/>
      <c r="Q190" s="15" t="n"/>
      <c r="R190" s="16">
        <f>IF(OR(L190="",Q190=""),"",IF(EXACT(LOWER(TRIM(L190)),LOWER(TRIM(Q190))),"Sim","NÃO"))</f>
        <v/>
      </c>
      <c r="S190" s="16">
        <f>IF(A190="","",IF(AND(R190="Sim",U190&lt;&gt;"",IF(F190="Processo judicial",V190&lt;&gt;"",AND(G190&lt;&gt;"",H190&lt;&gt;"")),J190&lt;&gt;"",K190&lt;&gt;"",N190&lt;&gt;"",O190&lt;&gt;""),"Sim","Pendente"))</f>
        <v/>
      </c>
      <c r="T190" s="15" t="n"/>
      <c r="U190" s="15" t="n"/>
      <c r="V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20" t="n"/>
      <c r="J191" s="20" t="n"/>
      <c r="K191" s="15" t="n"/>
      <c r="L191" s="15" t="n"/>
      <c r="M191" s="15" t="n"/>
      <c r="N191" s="15" t="n"/>
      <c r="O191" s="15" t="n"/>
      <c r="P191" s="15" t="n"/>
      <c r="Q191" s="15" t="n"/>
      <c r="R191" s="16">
        <f>IF(OR(L191="",Q191=""),"",IF(EXACT(LOWER(TRIM(L191)),LOWER(TRIM(Q191))),"Sim","NÃO"))</f>
        <v/>
      </c>
      <c r="S191" s="16">
        <f>IF(A191="","",IF(AND(R191="Sim",U191&lt;&gt;"",IF(F191="Processo judicial",V191&lt;&gt;"",AND(G191&lt;&gt;"",H191&lt;&gt;"")),J191&lt;&gt;"",K191&lt;&gt;"",N191&lt;&gt;"",O191&lt;&gt;""),"Sim","Pendente"))</f>
        <v/>
      </c>
      <c r="T191" s="15" t="n"/>
      <c r="U191" s="15" t="n"/>
      <c r="V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20" t="n"/>
      <c r="J192" s="20" t="n"/>
      <c r="K192" s="15" t="n"/>
      <c r="L192" s="15" t="n"/>
      <c r="M192" s="15" t="n"/>
      <c r="N192" s="15" t="n"/>
      <c r="O192" s="15" t="n"/>
      <c r="P192" s="15" t="n"/>
      <c r="Q192" s="15" t="n"/>
      <c r="R192" s="16">
        <f>IF(OR(L192="",Q192=""),"",IF(EXACT(LOWER(TRIM(L192)),LOWER(TRIM(Q192))),"Sim","NÃO"))</f>
        <v/>
      </c>
      <c r="S192" s="16">
        <f>IF(A192="","",IF(AND(R192="Sim",U192&lt;&gt;"",IF(F192="Processo judicial",V192&lt;&gt;"",AND(G192&lt;&gt;"",H192&lt;&gt;"")),J192&lt;&gt;"",K192&lt;&gt;"",N192&lt;&gt;"",O192&lt;&gt;""),"Sim","Pendente"))</f>
        <v/>
      </c>
      <c r="T192" s="15" t="n"/>
      <c r="U192" s="15" t="n"/>
      <c r="V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20" t="n"/>
      <c r="J193" s="20" t="n"/>
      <c r="K193" s="15" t="n"/>
      <c r="L193" s="15" t="n"/>
      <c r="M193" s="15" t="n"/>
      <c r="N193" s="15" t="n"/>
      <c r="O193" s="15" t="n"/>
      <c r="P193" s="15" t="n"/>
      <c r="Q193" s="15" t="n"/>
      <c r="R193" s="16">
        <f>IF(OR(L193="",Q193=""),"",IF(EXACT(LOWER(TRIM(L193)),LOWER(TRIM(Q193))),"Sim","NÃO"))</f>
        <v/>
      </c>
      <c r="S193" s="16">
        <f>IF(A193="","",IF(AND(R193="Sim",U193&lt;&gt;"",IF(F193="Processo judicial",V193&lt;&gt;"",AND(G193&lt;&gt;"",H193&lt;&gt;"")),J193&lt;&gt;"",K193&lt;&gt;"",N193&lt;&gt;"",O193&lt;&gt;""),"Sim","Pendente"))</f>
        <v/>
      </c>
      <c r="T193" s="15" t="n"/>
      <c r="U193" s="15" t="n"/>
      <c r="V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20" t="n"/>
      <c r="J194" s="20" t="n"/>
      <c r="K194" s="15" t="n"/>
      <c r="L194" s="15" t="n"/>
      <c r="M194" s="15" t="n"/>
      <c r="N194" s="15" t="n"/>
      <c r="O194" s="15" t="n"/>
      <c r="P194" s="15" t="n"/>
      <c r="Q194" s="15" t="n"/>
      <c r="R194" s="16">
        <f>IF(OR(L194="",Q194=""),"",IF(EXACT(LOWER(TRIM(L194)),LOWER(TRIM(Q194))),"Sim","NÃO"))</f>
        <v/>
      </c>
      <c r="S194" s="16">
        <f>IF(A194="","",IF(AND(R194="Sim",U194&lt;&gt;"",IF(F194="Processo judicial",V194&lt;&gt;"",AND(G194&lt;&gt;"",H194&lt;&gt;"")),J194&lt;&gt;"",K194&lt;&gt;"",N194&lt;&gt;"",O194&lt;&gt;""),"Sim","Pendente"))</f>
        <v/>
      </c>
      <c r="T194" s="15" t="n"/>
      <c r="U194" s="15" t="n"/>
      <c r="V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20" t="n"/>
      <c r="J195" s="20" t="n"/>
      <c r="K195" s="15" t="n"/>
      <c r="L195" s="15" t="n"/>
      <c r="M195" s="15" t="n"/>
      <c r="N195" s="15" t="n"/>
      <c r="O195" s="15" t="n"/>
      <c r="P195" s="15" t="n"/>
      <c r="Q195" s="15" t="n"/>
      <c r="R195" s="16">
        <f>IF(OR(L195="",Q195=""),"",IF(EXACT(LOWER(TRIM(L195)),LOWER(TRIM(Q195))),"Sim","NÃO"))</f>
        <v/>
      </c>
      <c r="S195" s="16">
        <f>IF(A195="","",IF(AND(R195="Sim",U195&lt;&gt;"",IF(F195="Processo judicial",V195&lt;&gt;"",AND(G195&lt;&gt;"",H195&lt;&gt;"")),J195&lt;&gt;"",K195&lt;&gt;"",N195&lt;&gt;"",O195&lt;&gt;""),"Sim","Pendente"))</f>
        <v/>
      </c>
      <c r="T195" s="15" t="n"/>
      <c r="U195" s="15" t="n"/>
      <c r="V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20" t="n"/>
      <c r="J196" s="20" t="n"/>
      <c r="K196" s="15" t="n"/>
      <c r="L196" s="15" t="n"/>
      <c r="M196" s="15" t="n"/>
      <c r="N196" s="15" t="n"/>
      <c r="O196" s="15" t="n"/>
      <c r="P196" s="15" t="n"/>
      <c r="Q196" s="15" t="n"/>
      <c r="R196" s="16">
        <f>IF(OR(L196="",Q196=""),"",IF(EXACT(LOWER(TRIM(L196)),LOWER(TRIM(Q196))),"Sim","NÃO"))</f>
        <v/>
      </c>
      <c r="S196" s="16">
        <f>IF(A196="","",IF(AND(R196="Sim",U196&lt;&gt;"",IF(F196="Processo judicial",V196&lt;&gt;"",AND(G196&lt;&gt;"",H196&lt;&gt;"")),J196&lt;&gt;"",K196&lt;&gt;"",N196&lt;&gt;"",O196&lt;&gt;""),"Sim","Pendente"))</f>
        <v/>
      </c>
      <c r="T196" s="15" t="n"/>
      <c r="U196" s="15" t="n"/>
      <c r="V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20" t="n"/>
      <c r="J197" s="20" t="n"/>
      <c r="K197" s="15" t="n"/>
      <c r="L197" s="15" t="n"/>
      <c r="M197" s="15" t="n"/>
      <c r="N197" s="15" t="n"/>
      <c r="O197" s="15" t="n"/>
      <c r="P197" s="15" t="n"/>
      <c r="Q197" s="15" t="n"/>
      <c r="R197" s="16">
        <f>IF(OR(L197="",Q197=""),"",IF(EXACT(LOWER(TRIM(L197)),LOWER(TRIM(Q197))),"Sim","NÃO"))</f>
        <v/>
      </c>
      <c r="S197" s="16">
        <f>IF(A197="","",IF(AND(R197="Sim",U197&lt;&gt;"",IF(F197="Processo judicial",V197&lt;&gt;"",AND(G197&lt;&gt;"",H197&lt;&gt;"")),J197&lt;&gt;"",K197&lt;&gt;"",N197&lt;&gt;"",O197&lt;&gt;""),"Sim","Pendente"))</f>
        <v/>
      </c>
      <c r="T197" s="15" t="n"/>
      <c r="U197" s="15" t="n"/>
      <c r="V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20" t="n"/>
      <c r="J198" s="20" t="n"/>
      <c r="K198" s="15" t="n"/>
      <c r="L198" s="15" t="n"/>
      <c r="M198" s="15" t="n"/>
      <c r="N198" s="15" t="n"/>
      <c r="O198" s="15" t="n"/>
      <c r="P198" s="15" t="n"/>
      <c r="Q198" s="15" t="n"/>
      <c r="R198" s="16">
        <f>IF(OR(L198="",Q198=""),"",IF(EXACT(LOWER(TRIM(L198)),LOWER(TRIM(Q198))),"Sim","NÃO"))</f>
        <v/>
      </c>
      <c r="S198" s="16">
        <f>IF(A198="","",IF(AND(R198="Sim",U198&lt;&gt;"",IF(F198="Processo judicial",V198&lt;&gt;"",AND(G198&lt;&gt;"",H198&lt;&gt;"")),J198&lt;&gt;"",K198&lt;&gt;"",N198&lt;&gt;"",O198&lt;&gt;""),"Sim","Pendente"))</f>
        <v/>
      </c>
      <c r="T198" s="15" t="n"/>
      <c r="U198" s="15" t="n"/>
      <c r="V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20" t="n"/>
      <c r="J199" s="20" t="n"/>
      <c r="K199" s="15" t="n"/>
      <c r="L199" s="15" t="n"/>
      <c r="M199" s="15" t="n"/>
      <c r="N199" s="15" t="n"/>
      <c r="O199" s="15" t="n"/>
      <c r="P199" s="15" t="n"/>
      <c r="Q199" s="15" t="n"/>
      <c r="R199" s="16">
        <f>IF(OR(L199="",Q199=""),"",IF(EXACT(LOWER(TRIM(L199)),LOWER(TRIM(Q199))),"Sim","NÃO"))</f>
        <v/>
      </c>
      <c r="S199" s="16">
        <f>IF(A199="","",IF(AND(R199="Sim",U199&lt;&gt;"",IF(F199="Processo judicial",V199&lt;&gt;"",AND(G199&lt;&gt;"",H199&lt;&gt;"")),J199&lt;&gt;"",K199&lt;&gt;"",N199&lt;&gt;"",O199&lt;&gt;""),"Sim","Pendente"))</f>
        <v/>
      </c>
      <c r="T199" s="15" t="n"/>
      <c r="U199" s="15" t="n"/>
      <c r="V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20" t="n"/>
      <c r="J200" s="20" t="n"/>
      <c r="K200" s="15" t="n"/>
      <c r="L200" s="15" t="n"/>
      <c r="M200" s="15" t="n"/>
      <c r="N200" s="15" t="n"/>
      <c r="O200" s="15" t="n"/>
      <c r="P200" s="15" t="n"/>
      <c r="Q200" s="15" t="n"/>
      <c r="R200" s="16">
        <f>IF(OR(L200="",Q200=""),"",IF(EXACT(LOWER(TRIM(L200)),LOWER(TRIM(Q200))),"Sim","NÃO"))</f>
        <v/>
      </c>
      <c r="S200" s="16">
        <f>IF(A200="","",IF(AND(R200="Sim",U200&lt;&gt;"",IF(F200="Processo judicial",V200&lt;&gt;"",AND(G200&lt;&gt;"",H200&lt;&gt;"")),J200&lt;&gt;"",K200&lt;&gt;"",N200&lt;&gt;"",O200&lt;&gt;""),"Sim","Pendente"))</f>
        <v/>
      </c>
      <c r="T200" s="15" t="n"/>
      <c r="U200" s="15" t="n"/>
      <c r="V200" s="15" t="n"/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20" t="n"/>
      <c r="J201" s="20" t="n"/>
      <c r="K201" s="15" t="n"/>
      <c r="L201" s="15" t="n"/>
      <c r="M201" s="15" t="n"/>
      <c r="N201" s="15" t="n"/>
      <c r="O201" s="15" t="n"/>
      <c r="P201" s="15" t="n"/>
      <c r="Q201" s="15" t="n"/>
      <c r="R201" s="16">
        <f>IF(OR(L201="",Q201=""),"",IF(EXACT(LOWER(TRIM(L201)),LOWER(TRIM(Q201))),"Sim","NÃO"))</f>
        <v/>
      </c>
      <c r="S201" s="16">
        <f>IF(A201="","",IF(AND(R201="Sim",U201&lt;&gt;"",IF(F201="Processo judicial",V201&lt;&gt;"",AND(G201&lt;&gt;"",H201&lt;&gt;"")),J201&lt;&gt;"",K201&lt;&gt;"",N201&lt;&gt;"",O201&lt;&gt;""),"Sim","Pendente"))</f>
        <v/>
      </c>
      <c r="T201" s="15" t="n"/>
      <c r="U201" s="15" t="n"/>
      <c r="V201" s="15" t="n"/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20" t="n"/>
      <c r="J202" s="20" t="n"/>
      <c r="K202" s="15" t="n"/>
      <c r="L202" s="15" t="n"/>
      <c r="M202" s="15" t="n"/>
      <c r="N202" s="15" t="n"/>
      <c r="O202" s="15" t="n"/>
      <c r="P202" s="15" t="n"/>
      <c r="Q202" s="15" t="n"/>
      <c r="R202" s="16">
        <f>IF(OR(L202="",Q202=""),"",IF(EXACT(LOWER(TRIM(L202)),LOWER(TRIM(Q202))),"Sim","NÃO"))</f>
        <v/>
      </c>
      <c r="S202" s="16">
        <f>IF(A202="","",IF(AND(R202="Sim",U202&lt;&gt;"",IF(F202="Processo judicial",V202&lt;&gt;"",AND(G202&lt;&gt;"",H202&lt;&gt;"")),J202&lt;&gt;"",K202&lt;&gt;"",N202&lt;&gt;"",O202&lt;&gt;""),"Sim","Pendente"))</f>
        <v/>
      </c>
      <c r="T202" s="15" t="n"/>
      <c r="U202" s="15" t="n"/>
      <c r="V202" s="15" t="n"/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20" t="n"/>
      <c r="J203" s="20" t="n"/>
      <c r="K203" s="15" t="n"/>
      <c r="L203" s="15" t="n"/>
      <c r="M203" s="15" t="n"/>
      <c r="N203" s="15" t="n"/>
      <c r="O203" s="15" t="n"/>
      <c r="P203" s="15" t="n"/>
      <c r="Q203" s="15" t="n"/>
      <c r="R203" s="16">
        <f>IF(OR(L203="",Q203=""),"",IF(EXACT(LOWER(TRIM(L203)),LOWER(TRIM(Q203))),"Sim","NÃO"))</f>
        <v/>
      </c>
      <c r="S203" s="16">
        <f>IF(A203="","",IF(AND(R203="Sim",U203&lt;&gt;"",IF(F203="Processo judicial",V203&lt;&gt;"",AND(G203&lt;&gt;"",H203&lt;&gt;"")),J203&lt;&gt;"",K203&lt;&gt;"",N203&lt;&gt;"",O203&lt;&gt;""),"Sim","Pendente"))</f>
        <v/>
      </c>
      <c r="T203" s="15" t="n"/>
      <c r="U203" s="15" t="n"/>
      <c r="V203" s="15" t="n"/>
    </row>
    <row r="204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20" t="n"/>
      <c r="J204" s="20" t="n"/>
      <c r="K204" s="15" t="n"/>
      <c r="L204" s="15" t="n"/>
      <c r="M204" s="15" t="n"/>
      <c r="N204" s="15" t="n"/>
      <c r="O204" s="15" t="n"/>
      <c r="P204" s="15" t="n"/>
      <c r="Q204" s="15" t="n"/>
      <c r="R204" s="16">
        <f>IF(OR(L204="",Q204=""),"",IF(EXACT(LOWER(TRIM(L204)),LOWER(TRIM(Q204))),"Sim","NÃO"))</f>
        <v/>
      </c>
      <c r="S204" s="16">
        <f>IF(A204="","",IF(AND(R204="Sim",U204&lt;&gt;"",IF(F204="Processo judicial",V204&lt;&gt;"",AND(G204&lt;&gt;"",H204&lt;&gt;"")),J204&lt;&gt;"",K204&lt;&gt;"",N204&lt;&gt;"",O204&lt;&gt;""),"Sim","Pendente"))</f>
        <v/>
      </c>
      <c r="T204" s="15" t="n"/>
      <c r="U204" s="15" t="n"/>
      <c r="V204" s="15" t="n"/>
    </row>
    <row r="20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20" t="n"/>
      <c r="J205" s="20" t="n"/>
      <c r="K205" s="15" t="n"/>
      <c r="L205" s="15" t="n"/>
      <c r="M205" s="15" t="n"/>
      <c r="N205" s="15" t="n"/>
      <c r="O205" s="15" t="n"/>
      <c r="P205" s="15" t="n"/>
      <c r="Q205" s="15" t="n"/>
      <c r="R205" s="16">
        <f>IF(OR(L205="",Q205=""),"",IF(EXACT(LOWER(TRIM(L205)),LOWER(TRIM(Q205))),"Sim","NÃO"))</f>
        <v/>
      </c>
      <c r="S205" s="16">
        <f>IF(A205="","",IF(AND(R205="Sim",U205&lt;&gt;"",IF(F205="Processo judicial",V205&lt;&gt;"",AND(G205&lt;&gt;"",H205&lt;&gt;"")),J205&lt;&gt;"",K205&lt;&gt;"",N205&lt;&gt;"",O205&lt;&gt;""),"Sim","Pendente"))</f>
        <v/>
      </c>
      <c r="T205" s="15" t="n"/>
      <c r="U205" s="15" t="n"/>
      <c r="V205" s="15" t="n"/>
    </row>
    <row r="206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20" t="n"/>
      <c r="J206" s="20" t="n"/>
      <c r="K206" s="15" t="n"/>
      <c r="L206" s="15" t="n"/>
      <c r="M206" s="15" t="n"/>
      <c r="N206" s="15" t="n"/>
      <c r="O206" s="15" t="n"/>
      <c r="P206" s="15" t="n"/>
      <c r="Q206" s="15" t="n"/>
      <c r="R206" s="16">
        <f>IF(OR(L206="",Q206=""),"",IF(EXACT(LOWER(TRIM(L206)),LOWER(TRIM(Q206))),"Sim","NÃO"))</f>
        <v/>
      </c>
      <c r="S206" s="16">
        <f>IF(A206="","",IF(AND(R206="Sim",U206&lt;&gt;"",IF(F206="Processo judicial",V206&lt;&gt;"",AND(G206&lt;&gt;"",H206&lt;&gt;"")),J206&lt;&gt;"",K206&lt;&gt;"",N206&lt;&gt;"",O206&lt;&gt;""),"Sim","Pendente"))</f>
        <v/>
      </c>
      <c r="T206" s="15" t="n"/>
      <c r="U206" s="15" t="n"/>
      <c r="V206" s="15" t="n"/>
    </row>
    <row r="207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20" t="n"/>
      <c r="J207" s="20" t="n"/>
      <c r="K207" s="15" t="n"/>
      <c r="L207" s="15" t="n"/>
      <c r="M207" s="15" t="n"/>
      <c r="N207" s="15" t="n"/>
      <c r="O207" s="15" t="n"/>
      <c r="P207" s="15" t="n"/>
      <c r="Q207" s="15" t="n"/>
      <c r="R207" s="16">
        <f>IF(OR(L207="",Q207=""),"",IF(EXACT(LOWER(TRIM(L207)),LOWER(TRIM(Q207))),"Sim","NÃO"))</f>
        <v/>
      </c>
      <c r="S207" s="16">
        <f>IF(A207="","",IF(AND(R207="Sim",U207&lt;&gt;"",IF(F207="Processo judicial",V207&lt;&gt;"",AND(G207&lt;&gt;"",H207&lt;&gt;"")),J207&lt;&gt;"",K207&lt;&gt;"",N207&lt;&gt;"",O207&lt;&gt;""),"Sim","Pendente"))</f>
        <v/>
      </c>
      <c r="T207" s="15" t="n"/>
      <c r="U207" s="15" t="n"/>
      <c r="V207" s="15" t="n"/>
    </row>
    <row r="208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20" t="n"/>
      <c r="J208" s="20" t="n"/>
      <c r="K208" s="15" t="n"/>
      <c r="L208" s="15" t="n"/>
      <c r="M208" s="15" t="n"/>
      <c r="N208" s="15" t="n"/>
      <c r="O208" s="15" t="n"/>
      <c r="P208" s="15" t="n"/>
      <c r="Q208" s="15" t="n"/>
      <c r="R208" s="16">
        <f>IF(OR(L208="",Q208=""),"",IF(EXACT(LOWER(TRIM(L208)),LOWER(TRIM(Q208))),"Sim","NÃO"))</f>
        <v/>
      </c>
      <c r="S208" s="16">
        <f>IF(A208="","",IF(AND(R208="Sim",U208&lt;&gt;"",IF(F208="Processo judicial",V208&lt;&gt;"",AND(G208&lt;&gt;"",H208&lt;&gt;"")),J208&lt;&gt;"",K208&lt;&gt;"",N208&lt;&gt;"",O208&lt;&gt;""),"Sim","Pendente"))</f>
        <v/>
      </c>
      <c r="T208" s="15" t="n"/>
      <c r="U208" s="15" t="n"/>
      <c r="V208" s="15" t="n"/>
    </row>
    <row r="209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20" t="n"/>
      <c r="J209" s="20" t="n"/>
      <c r="K209" s="15" t="n"/>
      <c r="L209" s="15" t="n"/>
      <c r="M209" s="15" t="n"/>
      <c r="N209" s="15" t="n"/>
      <c r="O209" s="15" t="n"/>
      <c r="P209" s="15" t="n"/>
      <c r="Q209" s="15" t="n"/>
      <c r="R209" s="16">
        <f>IF(OR(L209="",Q209=""),"",IF(EXACT(LOWER(TRIM(L209)),LOWER(TRIM(Q209))),"Sim","NÃO"))</f>
        <v/>
      </c>
      <c r="S209" s="16">
        <f>IF(A209="","",IF(AND(R209="Sim",U209&lt;&gt;"",IF(F209="Processo judicial",V209&lt;&gt;"",AND(G209&lt;&gt;"",H209&lt;&gt;"")),J209&lt;&gt;"",K209&lt;&gt;"",N209&lt;&gt;"",O209&lt;&gt;""),"Sim","Pendente"))</f>
        <v/>
      </c>
      <c r="T209" s="15" t="n"/>
      <c r="U209" s="15" t="n"/>
      <c r="V209" s="15" t="n"/>
    </row>
    <row r="210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20" t="n"/>
      <c r="J210" s="20" t="n"/>
      <c r="K210" s="15" t="n"/>
      <c r="L210" s="15" t="n"/>
      <c r="M210" s="15" t="n"/>
      <c r="N210" s="15" t="n"/>
      <c r="O210" s="15" t="n"/>
      <c r="P210" s="15" t="n"/>
      <c r="Q210" s="15" t="n"/>
      <c r="R210" s="16">
        <f>IF(OR(L210="",Q210=""),"",IF(EXACT(LOWER(TRIM(L210)),LOWER(TRIM(Q210))),"Sim","NÃO"))</f>
        <v/>
      </c>
      <c r="S210" s="16">
        <f>IF(A210="","",IF(AND(R210="Sim",U210&lt;&gt;"",IF(F210="Processo judicial",V210&lt;&gt;"",AND(G210&lt;&gt;"",H210&lt;&gt;"")),J210&lt;&gt;"",K210&lt;&gt;"",N210&lt;&gt;"",O210&lt;&gt;""),"Sim","Pendente"))</f>
        <v/>
      </c>
      <c r="T210" s="15" t="n"/>
      <c r="U210" s="15" t="n"/>
      <c r="V210" s="15" t="n"/>
    </row>
    <row r="21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20" t="n"/>
      <c r="J211" s="20" t="n"/>
      <c r="K211" s="15" t="n"/>
      <c r="L211" s="15" t="n"/>
      <c r="M211" s="15" t="n"/>
      <c r="N211" s="15" t="n"/>
      <c r="O211" s="15" t="n"/>
      <c r="P211" s="15" t="n"/>
      <c r="Q211" s="15" t="n"/>
      <c r="R211" s="16">
        <f>IF(OR(L211="",Q211=""),"",IF(EXACT(LOWER(TRIM(L211)),LOWER(TRIM(Q211))),"Sim","NÃO"))</f>
        <v/>
      </c>
      <c r="S211" s="16">
        <f>IF(A211="","",IF(AND(R211="Sim",U211&lt;&gt;"",IF(F211="Processo judicial",V211&lt;&gt;"",AND(G211&lt;&gt;"",H211&lt;&gt;"")),J211&lt;&gt;"",K211&lt;&gt;"",N211&lt;&gt;"",O211&lt;&gt;""),"Sim","Pendente"))</f>
        <v/>
      </c>
      <c r="T211" s="15" t="n"/>
      <c r="U211" s="15" t="n"/>
      <c r="V211" s="15" t="n"/>
    </row>
    <row r="212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20" t="n"/>
      <c r="J212" s="20" t="n"/>
      <c r="K212" s="15" t="n"/>
      <c r="L212" s="15" t="n"/>
      <c r="M212" s="15" t="n"/>
      <c r="N212" s="15" t="n"/>
      <c r="O212" s="15" t="n"/>
      <c r="P212" s="15" t="n"/>
      <c r="Q212" s="15" t="n"/>
      <c r="R212" s="16">
        <f>IF(OR(L212="",Q212=""),"",IF(EXACT(LOWER(TRIM(L212)),LOWER(TRIM(Q212))),"Sim","NÃO"))</f>
        <v/>
      </c>
      <c r="S212" s="16">
        <f>IF(A212="","",IF(AND(R212="Sim",U212&lt;&gt;"",IF(F212="Processo judicial",V212&lt;&gt;"",AND(G212&lt;&gt;"",H212&lt;&gt;"")),J212&lt;&gt;"",K212&lt;&gt;"",N212&lt;&gt;"",O212&lt;&gt;""),"Sim","Pendente"))</f>
        <v/>
      </c>
      <c r="T212" s="15" t="n"/>
      <c r="U212" s="15" t="n"/>
      <c r="V212" s="15" t="n"/>
    </row>
    <row r="213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20" t="n"/>
      <c r="J213" s="20" t="n"/>
      <c r="K213" s="15" t="n"/>
      <c r="L213" s="15" t="n"/>
      <c r="M213" s="15" t="n"/>
      <c r="N213" s="15" t="n"/>
      <c r="O213" s="15" t="n"/>
      <c r="P213" s="15" t="n"/>
      <c r="Q213" s="15" t="n"/>
      <c r="R213" s="16">
        <f>IF(OR(L213="",Q213=""),"",IF(EXACT(LOWER(TRIM(L213)),LOWER(TRIM(Q213))),"Sim","NÃO"))</f>
        <v/>
      </c>
      <c r="S213" s="16">
        <f>IF(A213="","",IF(AND(R213="Sim",U213&lt;&gt;"",IF(F213="Processo judicial",V213&lt;&gt;"",AND(G213&lt;&gt;"",H213&lt;&gt;"")),J213&lt;&gt;"",K213&lt;&gt;"",N213&lt;&gt;"",O213&lt;&gt;""),"Sim","Pendente"))</f>
        <v/>
      </c>
      <c r="T213" s="15" t="n"/>
      <c r="U213" s="15" t="n"/>
      <c r="V213" s="15" t="n"/>
    </row>
    <row r="214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20" t="n"/>
      <c r="J214" s="20" t="n"/>
      <c r="K214" s="15" t="n"/>
      <c r="L214" s="15" t="n"/>
      <c r="M214" s="15" t="n"/>
      <c r="N214" s="15" t="n"/>
      <c r="O214" s="15" t="n"/>
      <c r="P214" s="15" t="n"/>
      <c r="Q214" s="15" t="n"/>
      <c r="R214" s="16">
        <f>IF(OR(L214="",Q214=""),"",IF(EXACT(LOWER(TRIM(L214)),LOWER(TRIM(Q214))),"Sim","NÃO"))</f>
        <v/>
      </c>
      <c r="S214" s="16">
        <f>IF(A214="","",IF(AND(R214="Sim",U214&lt;&gt;"",IF(F214="Processo judicial",V214&lt;&gt;"",AND(G214&lt;&gt;"",H214&lt;&gt;"")),J214&lt;&gt;"",K214&lt;&gt;"",N214&lt;&gt;"",O214&lt;&gt;""),"Sim","Pendente"))</f>
        <v/>
      </c>
      <c r="T214" s="15" t="n"/>
      <c r="U214" s="15" t="n"/>
      <c r="V214" s="15" t="n"/>
    </row>
    <row r="2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20" t="n"/>
      <c r="J215" s="20" t="n"/>
      <c r="K215" s="15" t="n"/>
      <c r="L215" s="15" t="n"/>
      <c r="M215" s="15" t="n"/>
      <c r="N215" s="15" t="n"/>
      <c r="O215" s="15" t="n"/>
      <c r="P215" s="15" t="n"/>
      <c r="Q215" s="15" t="n"/>
      <c r="R215" s="16">
        <f>IF(OR(L215="",Q215=""),"",IF(EXACT(LOWER(TRIM(L215)),LOWER(TRIM(Q215))),"Sim","NÃO"))</f>
        <v/>
      </c>
      <c r="S215" s="16">
        <f>IF(A215="","",IF(AND(R215="Sim",U215&lt;&gt;"",IF(F215="Processo judicial",V215&lt;&gt;"",AND(G215&lt;&gt;"",H215&lt;&gt;"")),J215&lt;&gt;"",K215&lt;&gt;"",N215&lt;&gt;"",O215&lt;&gt;""),"Sim","Pendente"))</f>
        <v/>
      </c>
      <c r="T215" s="15" t="n"/>
      <c r="U215" s="15" t="n"/>
      <c r="V215" s="15" t="n"/>
    </row>
    <row r="216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20" t="n"/>
      <c r="J216" s="20" t="n"/>
      <c r="K216" s="15" t="n"/>
      <c r="L216" s="15" t="n"/>
      <c r="M216" s="15" t="n"/>
      <c r="N216" s="15" t="n"/>
      <c r="O216" s="15" t="n"/>
      <c r="P216" s="15" t="n"/>
      <c r="Q216" s="15" t="n"/>
      <c r="R216" s="16">
        <f>IF(OR(L216="",Q216=""),"",IF(EXACT(LOWER(TRIM(L216)),LOWER(TRIM(Q216))),"Sim","NÃO"))</f>
        <v/>
      </c>
      <c r="S216" s="16">
        <f>IF(A216="","",IF(AND(R216="Sim",U216&lt;&gt;"",IF(F216="Processo judicial",V216&lt;&gt;"",AND(G216&lt;&gt;"",H216&lt;&gt;"")),J216&lt;&gt;"",K216&lt;&gt;"",N216&lt;&gt;"",O216&lt;&gt;""),"Sim","Pendente"))</f>
        <v/>
      </c>
      <c r="T216" s="15" t="n"/>
      <c r="U216" s="15" t="n"/>
      <c r="V216" s="15" t="n"/>
    </row>
    <row r="217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20" t="n"/>
      <c r="J217" s="20" t="n"/>
      <c r="K217" s="15" t="n"/>
      <c r="L217" s="15" t="n"/>
      <c r="M217" s="15" t="n"/>
      <c r="N217" s="15" t="n"/>
      <c r="O217" s="15" t="n"/>
      <c r="P217" s="15" t="n"/>
      <c r="Q217" s="15" t="n"/>
      <c r="R217" s="16">
        <f>IF(OR(L217="",Q217=""),"",IF(EXACT(LOWER(TRIM(L217)),LOWER(TRIM(Q217))),"Sim","NÃO"))</f>
        <v/>
      </c>
      <c r="S217" s="16">
        <f>IF(A217="","",IF(AND(R217="Sim",U217&lt;&gt;"",IF(F217="Processo judicial",V217&lt;&gt;"",AND(G217&lt;&gt;"",H217&lt;&gt;"")),J217&lt;&gt;"",K217&lt;&gt;"",N217&lt;&gt;"",O217&lt;&gt;""),"Sim","Pendente"))</f>
        <v/>
      </c>
      <c r="T217" s="15" t="n"/>
      <c r="U217" s="15" t="n"/>
      <c r="V217" s="15" t="n"/>
    </row>
    <row r="218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20" t="n"/>
      <c r="J218" s="20" t="n"/>
      <c r="K218" s="15" t="n"/>
      <c r="L218" s="15" t="n"/>
      <c r="M218" s="15" t="n"/>
      <c r="N218" s="15" t="n"/>
      <c r="O218" s="15" t="n"/>
      <c r="P218" s="15" t="n"/>
      <c r="Q218" s="15" t="n"/>
      <c r="R218" s="16">
        <f>IF(OR(L218="",Q218=""),"",IF(EXACT(LOWER(TRIM(L218)),LOWER(TRIM(Q218))),"Sim","NÃO"))</f>
        <v/>
      </c>
      <c r="S218" s="16">
        <f>IF(A218="","",IF(AND(R218="Sim",U218&lt;&gt;"",IF(F218="Processo judicial",V218&lt;&gt;"",AND(G218&lt;&gt;"",H218&lt;&gt;"")),J218&lt;&gt;"",K218&lt;&gt;"",N218&lt;&gt;"",O218&lt;&gt;""),"Sim","Pendente"))</f>
        <v/>
      </c>
      <c r="T218" s="15" t="n"/>
      <c r="U218" s="15" t="n"/>
      <c r="V218" s="15" t="n"/>
    </row>
    <row r="219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20" t="n"/>
      <c r="J219" s="20" t="n"/>
      <c r="K219" s="15" t="n"/>
      <c r="L219" s="15" t="n"/>
      <c r="M219" s="15" t="n"/>
      <c r="N219" s="15" t="n"/>
      <c r="O219" s="15" t="n"/>
      <c r="P219" s="15" t="n"/>
      <c r="Q219" s="15" t="n"/>
      <c r="R219" s="16">
        <f>IF(OR(L219="",Q219=""),"",IF(EXACT(LOWER(TRIM(L219)),LOWER(TRIM(Q219))),"Sim","NÃO"))</f>
        <v/>
      </c>
      <c r="S219" s="16">
        <f>IF(A219="","",IF(AND(R219="Sim",U219&lt;&gt;"",IF(F219="Processo judicial",V219&lt;&gt;"",AND(G219&lt;&gt;"",H219&lt;&gt;"")),J219&lt;&gt;"",K219&lt;&gt;"",N219&lt;&gt;"",O219&lt;&gt;""),"Sim","Pendente"))</f>
        <v/>
      </c>
      <c r="T219" s="15" t="n"/>
      <c r="U219" s="15" t="n"/>
      <c r="V219" s="15" t="n"/>
    </row>
    <row r="220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20" t="n"/>
      <c r="J220" s="20" t="n"/>
      <c r="K220" s="15" t="n"/>
      <c r="L220" s="15" t="n"/>
      <c r="M220" s="15" t="n"/>
      <c r="N220" s="15" t="n"/>
      <c r="O220" s="15" t="n"/>
      <c r="P220" s="15" t="n"/>
      <c r="Q220" s="15" t="n"/>
      <c r="R220" s="16">
        <f>IF(OR(L220="",Q220=""),"",IF(EXACT(LOWER(TRIM(L220)),LOWER(TRIM(Q220))),"Sim","NÃO"))</f>
        <v/>
      </c>
      <c r="S220" s="16">
        <f>IF(A220="","",IF(AND(R220="Sim",U220&lt;&gt;"",IF(F220="Processo judicial",V220&lt;&gt;"",AND(G220&lt;&gt;"",H220&lt;&gt;"")),J220&lt;&gt;"",K220&lt;&gt;"",N220&lt;&gt;"",O220&lt;&gt;""),"Sim","Pendente"))</f>
        <v/>
      </c>
      <c r="T220" s="15" t="n"/>
      <c r="U220" s="15" t="n"/>
      <c r="V220" s="15" t="n"/>
    </row>
    <row r="22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20" t="n"/>
      <c r="J221" s="20" t="n"/>
      <c r="K221" s="15" t="n"/>
      <c r="L221" s="15" t="n"/>
      <c r="M221" s="15" t="n"/>
      <c r="N221" s="15" t="n"/>
      <c r="O221" s="15" t="n"/>
      <c r="P221" s="15" t="n"/>
      <c r="Q221" s="15" t="n"/>
      <c r="R221" s="16">
        <f>IF(OR(L221="",Q221=""),"",IF(EXACT(LOWER(TRIM(L221)),LOWER(TRIM(Q221))),"Sim","NÃO"))</f>
        <v/>
      </c>
      <c r="S221" s="16">
        <f>IF(A221="","",IF(AND(R221="Sim",U221&lt;&gt;"",IF(F221="Processo judicial",V221&lt;&gt;"",AND(G221&lt;&gt;"",H221&lt;&gt;"")),J221&lt;&gt;"",K221&lt;&gt;"",N221&lt;&gt;"",O221&lt;&gt;""),"Sim","Pendente"))</f>
        <v/>
      </c>
      <c r="T221" s="15" t="n"/>
      <c r="U221" s="15" t="n"/>
      <c r="V221" s="15" t="n"/>
    </row>
    <row r="222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20" t="n"/>
      <c r="J222" s="20" t="n"/>
      <c r="K222" s="15" t="n"/>
      <c r="L222" s="15" t="n"/>
      <c r="M222" s="15" t="n"/>
      <c r="N222" s="15" t="n"/>
      <c r="O222" s="15" t="n"/>
      <c r="P222" s="15" t="n"/>
      <c r="Q222" s="15" t="n"/>
      <c r="R222" s="16">
        <f>IF(OR(L222="",Q222=""),"",IF(EXACT(LOWER(TRIM(L222)),LOWER(TRIM(Q222))),"Sim","NÃO"))</f>
        <v/>
      </c>
      <c r="S222" s="16">
        <f>IF(A222="","",IF(AND(R222="Sim",U222&lt;&gt;"",IF(F222="Processo judicial",V222&lt;&gt;"",AND(G222&lt;&gt;"",H222&lt;&gt;"")),J222&lt;&gt;"",K222&lt;&gt;"",N222&lt;&gt;"",O222&lt;&gt;""),"Sim","Pendente"))</f>
        <v/>
      </c>
      <c r="T222" s="15" t="n"/>
      <c r="U222" s="15" t="n"/>
      <c r="V222" s="15" t="n"/>
    </row>
    <row r="223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20" t="n"/>
      <c r="J223" s="20" t="n"/>
      <c r="K223" s="15" t="n"/>
      <c r="L223" s="15" t="n"/>
      <c r="M223" s="15" t="n"/>
      <c r="N223" s="15" t="n"/>
      <c r="O223" s="15" t="n"/>
      <c r="P223" s="15" t="n"/>
      <c r="Q223" s="15" t="n"/>
      <c r="R223" s="16">
        <f>IF(OR(L223="",Q223=""),"",IF(EXACT(LOWER(TRIM(L223)),LOWER(TRIM(Q223))),"Sim","NÃO"))</f>
        <v/>
      </c>
      <c r="S223" s="16">
        <f>IF(A223="","",IF(AND(R223="Sim",U223&lt;&gt;"",IF(F223="Processo judicial",V223&lt;&gt;"",AND(G223&lt;&gt;"",H223&lt;&gt;"")),J223&lt;&gt;"",K223&lt;&gt;"",N223&lt;&gt;"",O223&lt;&gt;""),"Sim","Pendente"))</f>
        <v/>
      </c>
      <c r="T223" s="15" t="n"/>
      <c r="U223" s="15" t="n"/>
      <c r="V223" s="15" t="n"/>
    </row>
    <row r="224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20" t="n"/>
      <c r="J224" s="20" t="n"/>
      <c r="K224" s="15" t="n"/>
      <c r="L224" s="15" t="n"/>
      <c r="M224" s="15" t="n"/>
      <c r="N224" s="15" t="n"/>
      <c r="O224" s="15" t="n"/>
      <c r="P224" s="15" t="n"/>
      <c r="Q224" s="15" t="n"/>
      <c r="R224" s="16">
        <f>IF(OR(L224="",Q224=""),"",IF(EXACT(LOWER(TRIM(L224)),LOWER(TRIM(Q224))),"Sim","NÃO"))</f>
        <v/>
      </c>
      <c r="S224" s="16">
        <f>IF(A224="","",IF(AND(R224="Sim",U224&lt;&gt;"",IF(F224="Processo judicial",V224&lt;&gt;"",AND(G224&lt;&gt;"",H224&lt;&gt;"")),J224&lt;&gt;"",K224&lt;&gt;"",N224&lt;&gt;"",O224&lt;&gt;""),"Sim","Pendente"))</f>
        <v/>
      </c>
      <c r="T224" s="15" t="n"/>
      <c r="U224" s="15" t="n"/>
      <c r="V224" s="15" t="n"/>
    </row>
    <row r="22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20" t="n"/>
      <c r="J225" s="20" t="n"/>
      <c r="K225" s="15" t="n"/>
      <c r="L225" s="15" t="n"/>
      <c r="M225" s="15" t="n"/>
      <c r="N225" s="15" t="n"/>
      <c r="O225" s="15" t="n"/>
      <c r="P225" s="15" t="n"/>
      <c r="Q225" s="15" t="n"/>
      <c r="R225" s="16">
        <f>IF(OR(L225="",Q225=""),"",IF(EXACT(LOWER(TRIM(L225)),LOWER(TRIM(Q225))),"Sim","NÃO"))</f>
        <v/>
      </c>
      <c r="S225" s="16">
        <f>IF(A225="","",IF(AND(R225="Sim",U225&lt;&gt;"",IF(F225="Processo judicial",V225&lt;&gt;"",AND(G225&lt;&gt;"",H225&lt;&gt;"")),J225&lt;&gt;"",K225&lt;&gt;"",N225&lt;&gt;"",O225&lt;&gt;""),"Sim","Pendente"))</f>
        <v/>
      </c>
      <c r="T225" s="15" t="n"/>
      <c r="U225" s="15" t="n"/>
      <c r="V225" s="15" t="n"/>
    </row>
    <row r="226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20" t="n"/>
      <c r="J226" s="20" t="n"/>
      <c r="K226" s="15" t="n"/>
      <c r="L226" s="15" t="n"/>
      <c r="M226" s="15" t="n"/>
      <c r="N226" s="15" t="n"/>
      <c r="O226" s="15" t="n"/>
      <c r="P226" s="15" t="n"/>
      <c r="Q226" s="15" t="n"/>
      <c r="R226" s="16">
        <f>IF(OR(L226="",Q226=""),"",IF(EXACT(LOWER(TRIM(L226)),LOWER(TRIM(Q226))),"Sim","NÃO"))</f>
        <v/>
      </c>
      <c r="S226" s="16">
        <f>IF(A226="","",IF(AND(R226="Sim",U226&lt;&gt;"",IF(F226="Processo judicial",V226&lt;&gt;"",AND(G226&lt;&gt;"",H226&lt;&gt;"")),J226&lt;&gt;"",K226&lt;&gt;"",N226&lt;&gt;"",O226&lt;&gt;""),"Sim","Pendente"))</f>
        <v/>
      </c>
      <c r="T226" s="15" t="n"/>
      <c r="U226" s="15" t="n"/>
      <c r="V226" s="15" t="n"/>
    </row>
    <row r="227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20" t="n"/>
      <c r="J227" s="20" t="n"/>
      <c r="K227" s="15" t="n"/>
      <c r="L227" s="15" t="n"/>
      <c r="M227" s="15" t="n"/>
      <c r="N227" s="15" t="n"/>
      <c r="O227" s="15" t="n"/>
      <c r="P227" s="15" t="n"/>
      <c r="Q227" s="15" t="n"/>
      <c r="R227" s="16">
        <f>IF(OR(L227="",Q227=""),"",IF(EXACT(LOWER(TRIM(L227)),LOWER(TRIM(Q227))),"Sim","NÃO"))</f>
        <v/>
      </c>
      <c r="S227" s="16">
        <f>IF(A227="","",IF(AND(R227="Sim",U227&lt;&gt;"",IF(F227="Processo judicial",V227&lt;&gt;"",AND(G227&lt;&gt;"",H227&lt;&gt;"")),J227&lt;&gt;"",K227&lt;&gt;"",N227&lt;&gt;"",O227&lt;&gt;""),"Sim","Pendente"))</f>
        <v/>
      </c>
      <c r="T227" s="15" t="n"/>
      <c r="U227" s="15" t="n"/>
      <c r="V227" s="15" t="n"/>
    </row>
    <row r="228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20" t="n"/>
      <c r="J228" s="20" t="n"/>
      <c r="K228" s="15" t="n"/>
      <c r="L228" s="15" t="n"/>
      <c r="M228" s="15" t="n"/>
      <c r="N228" s="15" t="n"/>
      <c r="O228" s="15" t="n"/>
      <c r="P228" s="15" t="n"/>
      <c r="Q228" s="15" t="n"/>
      <c r="R228" s="16">
        <f>IF(OR(L228="",Q228=""),"",IF(EXACT(LOWER(TRIM(L228)),LOWER(TRIM(Q228))),"Sim","NÃO"))</f>
        <v/>
      </c>
      <c r="S228" s="16">
        <f>IF(A228="","",IF(AND(R228="Sim",U228&lt;&gt;"",IF(F228="Processo judicial",V228&lt;&gt;"",AND(G228&lt;&gt;"",H228&lt;&gt;"")),J228&lt;&gt;"",K228&lt;&gt;"",N228&lt;&gt;"",O228&lt;&gt;""),"Sim","Pendente"))</f>
        <v/>
      </c>
      <c r="T228" s="15" t="n"/>
      <c r="U228" s="15" t="n"/>
      <c r="V228" s="15" t="n"/>
    </row>
    <row r="229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20" t="n"/>
      <c r="J229" s="20" t="n"/>
      <c r="K229" s="15" t="n"/>
      <c r="L229" s="15" t="n"/>
      <c r="M229" s="15" t="n"/>
      <c r="N229" s="15" t="n"/>
      <c r="O229" s="15" t="n"/>
      <c r="P229" s="15" t="n"/>
      <c r="Q229" s="15" t="n"/>
      <c r="R229" s="16">
        <f>IF(OR(L229="",Q229=""),"",IF(EXACT(LOWER(TRIM(L229)),LOWER(TRIM(Q229))),"Sim","NÃO"))</f>
        <v/>
      </c>
      <c r="S229" s="16">
        <f>IF(A229="","",IF(AND(R229="Sim",U229&lt;&gt;"",IF(F229="Processo judicial",V229&lt;&gt;"",AND(G229&lt;&gt;"",H229&lt;&gt;"")),J229&lt;&gt;"",K229&lt;&gt;"",N229&lt;&gt;"",O229&lt;&gt;""),"Sim","Pendente"))</f>
        <v/>
      </c>
      <c r="T229" s="15" t="n"/>
      <c r="U229" s="15" t="n"/>
      <c r="V229" s="15" t="n"/>
    </row>
    <row r="230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20" t="n"/>
      <c r="J230" s="20" t="n"/>
      <c r="K230" s="15" t="n"/>
      <c r="L230" s="15" t="n"/>
      <c r="M230" s="15" t="n"/>
      <c r="N230" s="15" t="n"/>
      <c r="O230" s="15" t="n"/>
      <c r="P230" s="15" t="n"/>
      <c r="Q230" s="15" t="n"/>
      <c r="R230" s="16">
        <f>IF(OR(L230="",Q230=""),"",IF(EXACT(LOWER(TRIM(L230)),LOWER(TRIM(Q230))),"Sim","NÃO"))</f>
        <v/>
      </c>
      <c r="S230" s="16">
        <f>IF(A230="","",IF(AND(R230="Sim",U230&lt;&gt;"",IF(F230="Processo judicial",V230&lt;&gt;"",AND(G230&lt;&gt;"",H230&lt;&gt;"")),J230&lt;&gt;"",K230&lt;&gt;"",N230&lt;&gt;"",O230&lt;&gt;""),"Sim","Pendente"))</f>
        <v/>
      </c>
      <c r="T230" s="15" t="n"/>
      <c r="U230" s="15" t="n"/>
      <c r="V230" s="15" t="n"/>
    </row>
    <row r="23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20" t="n"/>
      <c r="J231" s="20" t="n"/>
      <c r="K231" s="15" t="n"/>
      <c r="L231" s="15" t="n"/>
      <c r="M231" s="15" t="n"/>
      <c r="N231" s="15" t="n"/>
      <c r="O231" s="15" t="n"/>
      <c r="P231" s="15" t="n"/>
      <c r="Q231" s="15" t="n"/>
      <c r="R231" s="16">
        <f>IF(OR(L231="",Q231=""),"",IF(EXACT(LOWER(TRIM(L231)),LOWER(TRIM(Q231))),"Sim","NÃO"))</f>
        <v/>
      </c>
      <c r="S231" s="16">
        <f>IF(A231="","",IF(AND(R231="Sim",U231&lt;&gt;"",IF(F231="Processo judicial",V231&lt;&gt;"",AND(G231&lt;&gt;"",H231&lt;&gt;"")),J231&lt;&gt;"",K231&lt;&gt;"",N231&lt;&gt;"",O231&lt;&gt;""),"Sim","Pendente"))</f>
        <v/>
      </c>
      <c r="T231" s="15" t="n"/>
      <c r="U231" s="15" t="n"/>
      <c r="V231" s="15" t="n"/>
    </row>
    <row r="232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20" t="n"/>
      <c r="J232" s="20" t="n"/>
      <c r="K232" s="15" t="n"/>
      <c r="L232" s="15" t="n"/>
      <c r="M232" s="15" t="n"/>
      <c r="N232" s="15" t="n"/>
      <c r="O232" s="15" t="n"/>
      <c r="P232" s="15" t="n"/>
      <c r="Q232" s="15" t="n"/>
      <c r="R232" s="16">
        <f>IF(OR(L232="",Q232=""),"",IF(EXACT(LOWER(TRIM(L232)),LOWER(TRIM(Q232))),"Sim","NÃO"))</f>
        <v/>
      </c>
      <c r="S232" s="16">
        <f>IF(A232="","",IF(AND(R232="Sim",U232&lt;&gt;"",IF(F232="Processo judicial",V232&lt;&gt;"",AND(G232&lt;&gt;"",H232&lt;&gt;"")),J232&lt;&gt;"",K232&lt;&gt;"",N232&lt;&gt;"",O232&lt;&gt;""),"Sim","Pendente"))</f>
        <v/>
      </c>
      <c r="T232" s="15" t="n"/>
      <c r="U232" s="15" t="n"/>
      <c r="V232" s="15" t="n"/>
    </row>
    <row r="233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20" t="n"/>
      <c r="J233" s="20" t="n"/>
      <c r="K233" s="15" t="n"/>
      <c r="L233" s="15" t="n"/>
      <c r="M233" s="15" t="n"/>
      <c r="N233" s="15" t="n"/>
      <c r="O233" s="15" t="n"/>
      <c r="P233" s="15" t="n"/>
      <c r="Q233" s="15" t="n"/>
      <c r="R233" s="16">
        <f>IF(OR(L233="",Q233=""),"",IF(EXACT(LOWER(TRIM(L233)),LOWER(TRIM(Q233))),"Sim","NÃO"))</f>
        <v/>
      </c>
      <c r="S233" s="16">
        <f>IF(A233="","",IF(AND(R233="Sim",U233&lt;&gt;"",IF(F233="Processo judicial",V233&lt;&gt;"",AND(G233&lt;&gt;"",H233&lt;&gt;"")),J233&lt;&gt;"",K233&lt;&gt;"",N233&lt;&gt;"",O233&lt;&gt;""),"Sim","Pendente"))</f>
        <v/>
      </c>
      <c r="T233" s="15" t="n"/>
      <c r="U233" s="15" t="n"/>
      <c r="V233" s="15" t="n"/>
    </row>
    <row r="234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20" t="n"/>
      <c r="J234" s="20" t="n"/>
      <c r="K234" s="15" t="n"/>
      <c r="L234" s="15" t="n"/>
      <c r="M234" s="15" t="n"/>
      <c r="N234" s="15" t="n"/>
      <c r="O234" s="15" t="n"/>
      <c r="P234" s="15" t="n"/>
      <c r="Q234" s="15" t="n"/>
      <c r="R234" s="16">
        <f>IF(OR(L234="",Q234=""),"",IF(EXACT(LOWER(TRIM(L234)),LOWER(TRIM(Q234))),"Sim","NÃO"))</f>
        <v/>
      </c>
      <c r="S234" s="16">
        <f>IF(A234="","",IF(AND(R234="Sim",U234&lt;&gt;"",IF(F234="Processo judicial",V234&lt;&gt;"",AND(G234&lt;&gt;"",H234&lt;&gt;"")),J234&lt;&gt;"",K234&lt;&gt;"",N234&lt;&gt;"",O234&lt;&gt;""),"Sim","Pendente"))</f>
        <v/>
      </c>
      <c r="T234" s="15" t="n"/>
      <c r="U234" s="15" t="n"/>
      <c r="V234" s="15" t="n"/>
    </row>
    <row r="23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20" t="n"/>
      <c r="J235" s="20" t="n"/>
      <c r="K235" s="15" t="n"/>
      <c r="L235" s="15" t="n"/>
      <c r="M235" s="15" t="n"/>
      <c r="N235" s="15" t="n"/>
      <c r="O235" s="15" t="n"/>
      <c r="P235" s="15" t="n"/>
      <c r="Q235" s="15" t="n"/>
      <c r="R235" s="16">
        <f>IF(OR(L235="",Q235=""),"",IF(EXACT(LOWER(TRIM(L235)),LOWER(TRIM(Q235))),"Sim","NÃO"))</f>
        <v/>
      </c>
      <c r="S235" s="16">
        <f>IF(A235="","",IF(AND(R235="Sim",U235&lt;&gt;"",IF(F235="Processo judicial",V235&lt;&gt;"",AND(G235&lt;&gt;"",H235&lt;&gt;"")),J235&lt;&gt;"",K235&lt;&gt;"",N235&lt;&gt;"",O235&lt;&gt;""),"Sim","Pendente"))</f>
        <v/>
      </c>
      <c r="T235" s="15" t="n"/>
      <c r="U235" s="15" t="n"/>
      <c r="V235" s="15" t="n"/>
    </row>
    <row r="236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20" t="n"/>
      <c r="J236" s="20" t="n"/>
      <c r="K236" s="15" t="n"/>
      <c r="L236" s="15" t="n"/>
      <c r="M236" s="15" t="n"/>
      <c r="N236" s="15" t="n"/>
      <c r="O236" s="15" t="n"/>
      <c r="P236" s="15" t="n"/>
      <c r="Q236" s="15" t="n"/>
      <c r="R236" s="16">
        <f>IF(OR(L236="",Q236=""),"",IF(EXACT(LOWER(TRIM(L236)),LOWER(TRIM(Q236))),"Sim","NÃO"))</f>
        <v/>
      </c>
      <c r="S236" s="16">
        <f>IF(A236="","",IF(AND(R236="Sim",U236&lt;&gt;"",IF(F236="Processo judicial",V236&lt;&gt;"",AND(G236&lt;&gt;"",H236&lt;&gt;"")),J236&lt;&gt;"",K236&lt;&gt;"",N236&lt;&gt;"",O236&lt;&gt;""),"Sim","Pendente"))</f>
        <v/>
      </c>
      <c r="T236" s="15" t="n"/>
      <c r="U236" s="15" t="n"/>
      <c r="V236" s="15" t="n"/>
    </row>
    <row r="237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20" t="n"/>
      <c r="J237" s="20" t="n"/>
      <c r="K237" s="15" t="n"/>
      <c r="L237" s="15" t="n"/>
      <c r="M237" s="15" t="n"/>
      <c r="N237" s="15" t="n"/>
      <c r="O237" s="15" t="n"/>
      <c r="P237" s="15" t="n"/>
      <c r="Q237" s="15" t="n"/>
      <c r="R237" s="16">
        <f>IF(OR(L237="",Q237=""),"",IF(EXACT(LOWER(TRIM(L237)),LOWER(TRIM(Q237))),"Sim","NÃO"))</f>
        <v/>
      </c>
      <c r="S237" s="16">
        <f>IF(A237="","",IF(AND(R237="Sim",U237&lt;&gt;"",IF(F237="Processo judicial",V237&lt;&gt;"",AND(G237&lt;&gt;"",H237&lt;&gt;"")),J237&lt;&gt;"",K237&lt;&gt;"",N237&lt;&gt;"",O237&lt;&gt;""),"Sim","Pendente"))</f>
        <v/>
      </c>
      <c r="T237" s="15" t="n"/>
      <c r="U237" s="15" t="n"/>
      <c r="V237" s="15" t="n"/>
    </row>
    <row r="238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20" t="n"/>
      <c r="J238" s="20" t="n"/>
      <c r="K238" s="15" t="n"/>
      <c r="L238" s="15" t="n"/>
      <c r="M238" s="15" t="n"/>
      <c r="N238" s="15" t="n"/>
      <c r="O238" s="15" t="n"/>
      <c r="P238" s="15" t="n"/>
      <c r="Q238" s="15" t="n"/>
      <c r="R238" s="16">
        <f>IF(OR(L238="",Q238=""),"",IF(EXACT(LOWER(TRIM(L238)),LOWER(TRIM(Q238))),"Sim","NÃO"))</f>
        <v/>
      </c>
      <c r="S238" s="16">
        <f>IF(A238="","",IF(AND(R238="Sim",U238&lt;&gt;"",IF(F238="Processo judicial",V238&lt;&gt;"",AND(G238&lt;&gt;"",H238&lt;&gt;"")),J238&lt;&gt;"",K238&lt;&gt;"",N238&lt;&gt;"",O238&lt;&gt;""),"Sim","Pendente"))</f>
        <v/>
      </c>
      <c r="T238" s="15" t="n"/>
      <c r="U238" s="15" t="n"/>
      <c r="V238" s="15" t="n"/>
    </row>
    <row r="239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20" t="n"/>
      <c r="J239" s="20" t="n"/>
      <c r="K239" s="15" t="n"/>
      <c r="L239" s="15" t="n"/>
      <c r="M239" s="15" t="n"/>
      <c r="N239" s="15" t="n"/>
      <c r="O239" s="15" t="n"/>
      <c r="P239" s="15" t="n"/>
      <c r="Q239" s="15" t="n"/>
      <c r="R239" s="16">
        <f>IF(OR(L239="",Q239=""),"",IF(EXACT(LOWER(TRIM(L239)),LOWER(TRIM(Q239))),"Sim","NÃO"))</f>
        <v/>
      </c>
      <c r="S239" s="16">
        <f>IF(A239="","",IF(AND(R239="Sim",U239&lt;&gt;"",IF(F239="Processo judicial",V239&lt;&gt;"",AND(G239&lt;&gt;"",H239&lt;&gt;"")),J239&lt;&gt;"",K239&lt;&gt;"",N239&lt;&gt;"",O239&lt;&gt;""),"Sim","Pendente"))</f>
        <v/>
      </c>
      <c r="T239" s="15" t="n"/>
      <c r="U239" s="15" t="n"/>
      <c r="V239" s="15" t="n"/>
    </row>
    <row r="240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20" t="n"/>
      <c r="J240" s="20" t="n"/>
      <c r="K240" s="15" t="n"/>
      <c r="L240" s="15" t="n"/>
      <c r="M240" s="15" t="n"/>
      <c r="N240" s="15" t="n"/>
      <c r="O240" s="15" t="n"/>
      <c r="P240" s="15" t="n"/>
      <c r="Q240" s="15" t="n"/>
      <c r="R240" s="16">
        <f>IF(OR(L240="",Q240=""),"",IF(EXACT(LOWER(TRIM(L240)),LOWER(TRIM(Q240))),"Sim","NÃO"))</f>
        <v/>
      </c>
      <c r="S240" s="16">
        <f>IF(A240="","",IF(AND(R240="Sim",U240&lt;&gt;"",IF(F240="Processo judicial",V240&lt;&gt;"",AND(G240&lt;&gt;"",H240&lt;&gt;"")),J240&lt;&gt;"",K240&lt;&gt;"",N240&lt;&gt;"",O240&lt;&gt;""),"Sim","Pendente"))</f>
        <v/>
      </c>
      <c r="T240" s="15" t="n"/>
      <c r="U240" s="15" t="n"/>
      <c r="V240" s="15" t="n"/>
    </row>
    <row r="24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20" t="n"/>
      <c r="J241" s="20" t="n"/>
      <c r="K241" s="15" t="n"/>
      <c r="L241" s="15" t="n"/>
      <c r="M241" s="15" t="n"/>
      <c r="N241" s="15" t="n"/>
      <c r="O241" s="15" t="n"/>
      <c r="P241" s="15" t="n"/>
      <c r="Q241" s="15" t="n"/>
      <c r="R241" s="16">
        <f>IF(OR(L241="",Q241=""),"",IF(EXACT(LOWER(TRIM(L241)),LOWER(TRIM(Q241))),"Sim","NÃO"))</f>
        <v/>
      </c>
      <c r="S241" s="16">
        <f>IF(A241="","",IF(AND(R241="Sim",U241&lt;&gt;"",IF(F241="Processo judicial",V241&lt;&gt;"",AND(G241&lt;&gt;"",H241&lt;&gt;"")),J241&lt;&gt;"",K241&lt;&gt;"",N241&lt;&gt;"",O241&lt;&gt;""),"Sim","Pendente"))</f>
        <v/>
      </c>
      <c r="T241" s="15" t="n"/>
      <c r="U241" s="15" t="n"/>
      <c r="V241" s="15" t="n"/>
    </row>
    <row r="242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20" t="n"/>
      <c r="J242" s="20" t="n"/>
      <c r="K242" s="15" t="n"/>
      <c r="L242" s="15" t="n"/>
      <c r="M242" s="15" t="n"/>
      <c r="N242" s="15" t="n"/>
      <c r="O242" s="15" t="n"/>
      <c r="P242" s="15" t="n"/>
      <c r="Q242" s="15" t="n"/>
      <c r="R242" s="16">
        <f>IF(OR(L242="",Q242=""),"",IF(EXACT(LOWER(TRIM(L242)),LOWER(TRIM(Q242))),"Sim","NÃO"))</f>
        <v/>
      </c>
      <c r="S242" s="16">
        <f>IF(A242="","",IF(AND(R242="Sim",U242&lt;&gt;"",IF(F242="Processo judicial",V242&lt;&gt;"",AND(G242&lt;&gt;"",H242&lt;&gt;"")),J242&lt;&gt;"",K242&lt;&gt;"",N242&lt;&gt;"",O242&lt;&gt;""),"Sim","Pendente"))</f>
        <v/>
      </c>
      <c r="T242" s="15" t="n"/>
      <c r="U242" s="15" t="n"/>
      <c r="V242" s="15" t="n"/>
    </row>
    <row r="243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20" t="n"/>
      <c r="J243" s="20" t="n"/>
      <c r="K243" s="15" t="n"/>
      <c r="L243" s="15" t="n"/>
      <c r="M243" s="15" t="n"/>
      <c r="N243" s="15" t="n"/>
      <c r="O243" s="15" t="n"/>
      <c r="P243" s="15" t="n"/>
      <c r="Q243" s="15" t="n"/>
      <c r="R243" s="16">
        <f>IF(OR(L243="",Q243=""),"",IF(EXACT(LOWER(TRIM(L243)),LOWER(TRIM(Q243))),"Sim","NÃO"))</f>
        <v/>
      </c>
      <c r="S243" s="16">
        <f>IF(A243="","",IF(AND(R243="Sim",U243&lt;&gt;"",IF(F243="Processo judicial",V243&lt;&gt;"",AND(G243&lt;&gt;"",H243&lt;&gt;"")),J243&lt;&gt;"",K243&lt;&gt;"",N243&lt;&gt;"",O243&lt;&gt;""),"Sim","Pendente"))</f>
        <v/>
      </c>
      <c r="T243" s="15" t="n"/>
      <c r="U243" s="15" t="n"/>
      <c r="V243" s="15" t="n"/>
    </row>
    <row r="244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20" t="n"/>
      <c r="J244" s="20" t="n"/>
      <c r="K244" s="15" t="n"/>
      <c r="L244" s="15" t="n"/>
      <c r="M244" s="15" t="n"/>
      <c r="N244" s="15" t="n"/>
      <c r="O244" s="15" t="n"/>
      <c r="P244" s="15" t="n"/>
      <c r="Q244" s="15" t="n"/>
      <c r="R244" s="16">
        <f>IF(OR(L244="",Q244=""),"",IF(EXACT(LOWER(TRIM(L244)),LOWER(TRIM(Q244))),"Sim","NÃO"))</f>
        <v/>
      </c>
      <c r="S244" s="16">
        <f>IF(A244="","",IF(AND(R244="Sim",U244&lt;&gt;"",IF(F244="Processo judicial",V244&lt;&gt;"",AND(G244&lt;&gt;"",H244&lt;&gt;"")),J244&lt;&gt;"",K244&lt;&gt;"",N244&lt;&gt;"",O244&lt;&gt;""),"Sim","Pendente"))</f>
        <v/>
      </c>
      <c r="T244" s="15" t="n"/>
      <c r="U244" s="15" t="n"/>
      <c r="V244" s="15" t="n"/>
    </row>
    <row r="24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20" t="n"/>
      <c r="J245" s="20" t="n"/>
      <c r="K245" s="15" t="n"/>
      <c r="L245" s="15" t="n"/>
      <c r="M245" s="15" t="n"/>
      <c r="N245" s="15" t="n"/>
      <c r="O245" s="15" t="n"/>
      <c r="P245" s="15" t="n"/>
      <c r="Q245" s="15" t="n"/>
      <c r="R245" s="16">
        <f>IF(OR(L245="",Q245=""),"",IF(EXACT(LOWER(TRIM(L245)),LOWER(TRIM(Q245))),"Sim","NÃO"))</f>
        <v/>
      </c>
      <c r="S245" s="16">
        <f>IF(A245="","",IF(AND(R245="Sim",U245&lt;&gt;"",IF(F245="Processo judicial",V245&lt;&gt;"",AND(G245&lt;&gt;"",H245&lt;&gt;"")),J245&lt;&gt;"",K245&lt;&gt;"",N245&lt;&gt;"",O245&lt;&gt;""),"Sim","Pendente"))</f>
        <v/>
      </c>
      <c r="T245" s="15" t="n"/>
      <c r="U245" s="15" t="n"/>
      <c r="V245" s="15" t="n"/>
    </row>
    <row r="246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20" t="n"/>
      <c r="J246" s="20" t="n"/>
      <c r="K246" s="15" t="n"/>
      <c r="L246" s="15" t="n"/>
      <c r="M246" s="15" t="n"/>
      <c r="N246" s="15" t="n"/>
      <c r="O246" s="15" t="n"/>
      <c r="P246" s="15" t="n"/>
      <c r="Q246" s="15" t="n"/>
      <c r="R246" s="16">
        <f>IF(OR(L246="",Q246=""),"",IF(EXACT(LOWER(TRIM(L246)),LOWER(TRIM(Q246))),"Sim","NÃO"))</f>
        <v/>
      </c>
      <c r="S246" s="16">
        <f>IF(A246="","",IF(AND(R246="Sim",U246&lt;&gt;"",IF(F246="Processo judicial",V246&lt;&gt;"",AND(G246&lt;&gt;"",H246&lt;&gt;"")),J246&lt;&gt;"",K246&lt;&gt;"",N246&lt;&gt;"",O246&lt;&gt;""),"Sim","Pendente"))</f>
        <v/>
      </c>
      <c r="T246" s="15" t="n"/>
      <c r="U246" s="15" t="n"/>
      <c r="V246" s="15" t="n"/>
    </row>
    <row r="247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20" t="n"/>
      <c r="J247" s="20" t="n"/>
      <c r="K247" s="15" t="n"/>
      <c r="L247" s="15" t="n"/>
      <c r="M247" s="15" t="n"/>
      <c r="N247" s="15" t="n"/>
      <c r="O247" s="15" t="n"/>
      <c r="P247" s="15" t="n"/>
      <c r="Q247" s="15" t="n"/>
      <c r="R247" s="16">
        <f>IF(OR(L247="",Q247=""),"",IF(EXACT(LOWER(TRIM(L247)),LOWER(TRIM(Q247))),"Sim","NÃO"))</f>
        <v/>
      </c>
      <c r="S247" s="16">
        <f>IF(A247="","",IF(AND(R247="Sim",U247&lt;&gt;"",IF(F247="Processo judicial",V247&lt;&gt;"",AND(G247&lt;&gt;"",H247&lt;&gt;"")),J247&lt;&gt;"",K247&lt;&gt;"",N247&lt;&gt;"",O247&lt;&gt;""),"Sim","Pendente"))</f>
        <v/>
      </c>
      <c r="T247" s="15" t="n"/>
      <c r="U247" s="15" t="n"/>
      <c r="V247" s="15" t="n"/>
    </row>
    <row r="248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20" t="n"/>
      <c r="J248" s="20" t="n"/>
      <c r="K248" s="15" t="n"/>
      <c r="L248" s="15" t="n"/>
      <c r="M248" s="15" t="n"/>
      <c r="N248" s="15" t="n"/>
      <c r="O248" s="15" t="n"/>
      <c r="P248" s="15" t="n"/>
      <c r="Q248" s="15" t="n"/>
      <c r="R248" s="16">
        <f>IF(OR(L248="",Q248=""),"",IF(EXACT(LOWER(TRIM(L248)),LOWER(TRIM(Q248))),"Sim","NÃO"))</f>
        <v/>
      </c>
      <c r="S248" s="16">
        <f>IF(A248="","",IF(AND(R248="Sim",U248&lt;&gt;"",IF(F248="Processo judicial",V248&lt;&gt;"",AND(G248&lt;&gt;"",H248&lt;&gt;"")),J248&lt;&gt;"",K248&lt;&gt;"",N248&lt;&gt;"",O248&lt;&gt;""),"Sim","Pendente"))</f>
        <v/>
      </c>
      <c r="T248" s="15" t="n"/>
      <c r="U248" s="15" t="n"/>
      <c r="V248" s="15" t="n"/>
    </row>
    <row r="249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20" t="n"/>
      <c r="J249" s="20" t="n"/>
      <c r="K249" s="15" t="n"/>
      <c r="L249" s="15" t="n"/>
      <c r="M249" s="15" t="n"/>
      <c r="N249" s="15" t="n"/>
      <c r="O249" s="15" t="n"/>
      <c r="P249" s="15" t="n"/>
      <c r="Q249" s="15" t="n"/>
      <c r="R249" s="16">
        <f>IF(OR(L249="",Q249=""),"",IF(EXACT(LOWER(TRIM(L249)),LOWER(TRIM(Q249))),"Sim","NÃO"))</f>
        <v/>
      </c>
      <c r="S249" s="16">
        <f>IF(A249="","",IF(AND(R249="Sim",U249&lt;&gt;"",IF(F249="Processo judicial",V249&lt;&gt;"",AND(G249&lt;&gt;"",H249&lt;&gt;"")),J249&lt;&gt;"",K249&lt;&gt;"",N249&lt;&gt;"",O249&lt;&gt;""),"Sim","Pendente"))</f>
        <v/>
      </c>
      <c r="T249" s="15" t="n"/>
      <c r="U249" s="15" t="n"/>
      <c r="V249" s="15" t="n"/>
    </row>
    <row r="250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20" t="n"/>
      <c r="J250" s="20" t="n"/>
      <c r="K250" s="15" t="n"/>
      <c r="L250" s="15" t="n"/>
      <c r="M250" s="15" t="n"/>
      <c r="N250" s="15" t="n"/>
      <c r="O250" s="15" t="n"/>
      <c r="P250" s="15" t="n"/>
      <c r="Q250" s="15" t="n"/>
      <c r="R250" s="16">
        <f>IF(OR(L250="",Q250=""),"",IF(EXACT(LOWER(TRIM(L250)),LOWER(TRIM(Q250))),"Sim","NÃO"))</f>
        <v/>
      </c>
      <c r="S250" s="16">
        <f>IF(A250="","",IF(AND(R250="Sim",U250&lt;&gt;"",IF(F250="Processo judicial",V250&lt;&gt;"",AND(G250&lt;&gt;"",H250&lt;&gt;"")),J250&lt;&gt;"",K250&lt;&gt;"",N250&lt;&gt;"",O250&lt;&gt;""),"Sim","Pendente"))</f>
        <v/>
      </c>
      <c r="T250" s="15" t="n"/>
      <c r="U250" s="15" t="n"/>
      <c r="V250" s="15" t="n"/>
    </row>
    <row r="25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20" t="n"/>
      <c r="J251" s="20" t="n"/>
      <c r="K251" s="15" t="n"/>
      <c r="L251" s="15" t="n"/>
      <c r="M251" s="15" t="n"/>
      <c r="N251" s="15" t="n"/>
      <c r="O251" s="15" t="n"/>
      <c r="P251" s="15" t="n"/>
      <c r="Q251" s="15" t="n"/>
      <c r="R251" s="16">
        <f>IF(OR(L251="",Q251=""),"",IF(EXACT(LOWER(TRIM(L251)),LOWER(TRIM(Q251))),"Sim","NÃO"))</f>
        <v/>
      </c>
      <c r="S251" s="16">
        <f>IF(A251="","",IF(AND(R251="Sim",U251&lt;&gt;"",IF(F251="Processo judicial",V251&lt;&gt;"",AND(G251&lt;&gt;"",H251&lt;&gt;"")),J251&lt;&gt;"",K251&lt;&gt;"",N251&lt;&gt;"",O251&lt;&gt;""),"Sim","Pendente"))</f>
        <v/>
      </c>
      <c r="T251" s="15" t="n"/>
      <c r="U251" s="15" t="n"/>
      <c r="V251" s="15" t="n"/>
    </row>
    <row r="252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20" t="n"/>
      <c r="J252" s="20" t="n"/>
      <c r="K252" s="15" t="n"/>
      <c r="L252" s="15" t="n"/>
      <c r="M252" s="15" t="n"/>
      <c r="N252" s="15" t="n"/>
      <c r="O252" s="15" t="n"/>
      <c r="P252" s="15" t="n"/>
      <c r="Q252" s="15" t="n"/>
      <c r="R252" s="16">
        <f>IF(OR(L252="",Q252=""),"",IF(EXACT(LOWER(TRIM(L252)),LOWER(TRIM(Q252))),"Sim","NÃO"))</f>
        <v/>
      </c>
      <c r="S252" s="16">
        <f>IF(A252="","",IF(AND(R252="Sim",U252&lt;&gt;"",IF(F252="Processo judicial",V252&lt;&gt;"",AND(G252&lt;&gt;"",H252&lt;&gt;"")),J252&lt;&gt;"",K252&lt;&gt;"",N252&lt;&gt;"",O252&lt;&gt;""),"Sim","Pendente"))</f>
        <v/>
      </c>
      <c r="T252" s="15" t="n"/>
      <c r="U252" s="15" t="n"/>
      <c r="V252" s="15" t="n"/>
    </row>
    <row r="253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20" t="n"/>
      <c r="J253" s="20" t="n"/>
      <c r="K253" s="15" t="n"/>
      <c r="L253" s="15" t="n"/>
      <c r="M253" s="15" t="n"/>
      <c r="N253" s="15" t="n"/>
      <c r="O253" s="15" t="n"/>
      <c r="P253" s="15" t="n"/>
      <c r="Q253" s="15" t="n"/>
      <c r="R253" s="16">
        <f>IF(OR(L253="",Q253=""),"",IF(EXACT(LOWER(TRIM(L253)),LOWER(TRIM(Q253))),"Sim","NÃO"))</f>
        <v/>
      </c>
      <c r="S253" s="16">
        <f>IF(A253="","",IF(AND(R253="Sim",U253&lt;&gt;"",IF(F253="Processo judicial",V253&lt;&gt;"",AND(G253&lt;&gt;"",H253&lt;&gt;"")),J253&lt;&gt;"",K253&lt;&gt;"",N253&lt;&gt;"",O253&lt;&gt;""),"Sim","Pendente"))</f>
        <v/>
      </c>
      <c r="T253" s="15" t="n"/>
      <c r="U253" s="15" t="n"/>
      <c r="V253" s="15" t="n"/>
    </row>
    <row r="254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20" t="n"/>
      <c r="J254" s="20" t="n"/>
      <c r="K254" s="15" t="n"/>
      <c r="L254" s="15" t="n"/>
      <c r="M254" s="15" t="n"/>
      <c r="N254" s="15" t="n"/>
      <c r="O254" s="15" t="n"/>
      <c r="P254" s="15" t="n"/>
      <c r="Q254" s="15" t="n"/>
      <c r="R254" s="16">
        <f>IF(OR(L254="",Q254=""),"",IF(EXACT(LOWER(TRIM(L254)),LOWER(TRIM(Q254))),"Sim","NÃO"))</f>
        <v/>
      </c>
      <c r="S254" s="16">
        <f>IF(A254="","",IF(AND(R254="Sim",U254&lt;&gt;"",IF(F254="Processo judicial",V254&lt;&gt;"",AND(G254&lt;&gt;"",H254&lt;&gt;"")),J254&lt;&gt;"",K254&lt;&gt;"",N254&lt;&gt;"",O254&lt;&gt;""),"Sim","Pendente"))</f>
        <v/>
      </c>
      <c r="T254" s="15" t="n"/>
      <c r="U254" s="15" t="n"/>
      <c r="V254" s="15" t="n"/>
    </row>
    <row r="255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20" t="n"/>
      <c r="J255" s="20" t="n"/>
      <c r="K255" s="15" t="n"/>
      <c r="L255" s="15" t="n"/>
      <c r="M255" s="15" t="n"/>
      <c r="N255" s="15" t="n"/>
      <c r="O255" s="15" t="n"/>
      <c r="P255" s="15" t="n"/>
      <c r="Q255" s="15" t="n"/>
      <c r="R255" s="16">
        <f>IF(OR(L255="",Q255=""),"",IF(EXACT(LOWER(TRIM(L255)),LOWER(TRIM(Q255))),"Sim","NÃO"))</f>
        <v/>
      </c>
      <c r="S255" s="16">
        <f>IF(A255="","",IF(AND(R255="Sim",U255&lt;&gt;"",IF(F255="Processo judicial",V255&lt;&gt;"",AND(G255&lt;&gt;"",H255&lt;&gt;"")),J255&lt;&gt;"",K255&lt;&gt;"",N255&lt;&gt;"",O255&lt;&gt;""),"Sim","Pendente"))</f>
        <v/>
      </c>
      <c r="T255" s="15" t="n"/>
      <c r="U255" s="15" t="n"/>
      <c r="V255" s="15" t="n"/>
    </row>
    <row r="256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20" t="n"/>
      <c r="J256" s="20" t="n"/>
      <c r="K256" s="15" t="n"/>
      <c r="L256" s="15" t="n"/>
      <c r="M256" s="15" t="n"/>
      <c r="N256" s="15" t="n"/>
      <c r="O256" s="15" t="n"/>
      <c r="P256" s="15" t="n"/>
      <c r="Q256" s="15" t="n"/>
      <c r="R256" s="16">
        <f>IF(OR(L256="",Q256=""),"",IF(EXACT(LOWER(TRIM(L256)),LOWER(TRIM(Q256))),"Sim","NÃO"))</f>
        <v/>
      </c>
      <c r="S256" s="16">
        <f>IF(A256="","",IF(AND(R256="Sim",U256&lt;&gt;"",IF(F256="Processo judicial",V256&lt;&gt;"",AND(G256&lt;&gt;"",H256&lt;&gt;"")),J256&lt;&gt;"",K256&lt;&gt;"",N256&lt;&gt;"",O256&lt;&gt;""),"Sim","Pendente"))</f>
        <v/>
      </c>
      <c r="T256" s="15" t="n"/>
      <c r="U256" s="15" t="n"/>
      <c r="V256" s="15" t="n"/>
    </row>
    <row r="257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20" t="n"/>
      <c r="J257" s="20" t="n"/>
      <c r="K257" s="15" t="n"/>
      <c r="L257" s="15" t="n"/>
      <c r="M257" s="15" t="n"/>
      <c r="N257" s="15" t="n"/>
      <c r="O257" s="15" t="n"/>
      <c r="P257" s="15" t="n"/>
      <c r="Q257" s="15" t="n"/>
      <c r="R257" s="16">
        <f>IF(OR(L257="",Q257=""),"",IF(EXACT(LOWER(TRIM(L257)),LOWER(TRIM(Q257))),"Sim","NÃO"))</f>
        <v/>
      </c>
      <c r="S257" s="16">
        <f>IF(A257="","",IF(AND(R257="Sim",U257&lt;&gt;"",IF(F257="Processo judicial",V257&lt;&gt;"",AND(G257&lt;&gt;"",H257&lt;&gt;"")),J257&lt;&gt;"",K257&lt;&gt;"",N257&lt;&gt;"",O257&lt;&gt;""),"Sim","Pendente"))</f>
        <v/>
      </c>
      <c r="T257" s="15" t="n"/>
      <c r="U257" s="15" t="n"/>
      <c r="V257" s="15" t="n"/>
    </row>
    <row r="258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20" t="n"/>
      <c r="J258" s="20" t="n"/>
      <c r="K258" s="15" t="n"/>
      <c r="L258" s="15" t="n"/>
      <c r="M258" s="15" t="n"/>
      <c r="N258" s="15" t="n"/>
      <c r="O258" s="15" t="n"/>
      <c r="P258" s="15" t="n"/>
      <c r="Q258" s="15" t="n"/>
      <c r="R258" s="16">
        <f>IF(OR(L258="",Q258=""),"",IF(EXACT(LOWER(TRIM(L258)),LOWER(TRIM(Q258))),"Sim","NÃO"))</f>
        <v/>
      </c>
      <c r="S258" s="16">
        <f>IF(A258="","",IF(AND(R258="Sim",U258&lt;&gt;"",IF(F258="Processo judicial",V258&lt;&gt;"",AND(G258&lt;&gt;"",H258&lt;&gt;"")),J258&lt;&gt;"",K258&lt;&gt;"",N258&lt;&gt;"",O258&lt;&gt;""),"Sim","Pendente"))</f>
        <v/>
      </c>
      <c r="T258" s="15" t="n"/>
      <c r="U258" s="15" t="n"/>
      <c r="V258" s="15" t="n"/>
    </row>
    <row r="259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20" t="n"/>
      <c r="J259" s="20" t="n"/>
      <c r="K259" s="15" t="n"/>
      <c r="L259" s="15" t="n"/>
      <c r="M259" s="15" t="n"/>
      <c r="N259" s="15" t="n"/>
      <c r="O259" s="15" t="n"/>
      <c r="P259" s="15" t="n"/>
      <c r="Q259" s="15" t="n"/>
      <c r="R259" s="16">
        <f>IF(OR(L259="",Q259=""),"",IF(EXACT(LOWER(TRIM(L259)),LOWER(TRIM(Q259))),"Sim","NÃO"))</f>
        <v/>
      </c>
      <c r="S259" s="16">
        <f>IF(A259="","",IF(AND(R259="Sim",U259&lt;&gt;"",IF(F259="Processo judicial",V259&lt;&gt;"",AND(G259&lt;&gt;"",H259&lt;&gt;"")),J259&lt;&gt;"",K259&lt;&gt;"",N259&lt;&gt;"",O259&lt;&gt;""),"Sim","Pendente"))</f>
        <v/>
      </c>
      <c r="T259" s="15" t="n"/>
      <c r="U259" s="15" t="n"/>
      <c r="V259" s="15" t="n"/>
    </row>
    <row r="260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20" t="n"/>
      <c r="J260" s="20" t="n"/>
      <c r="K260" s="15" t="n"/>
      <c r="L260" s="15" t="n"/>
      <c r="M260" s="15" t="n"/>
      <c r="N260" s="15" t="n"/>
      <c r="O260" s="15" t="n"/>
      <c r="P260" s="15" t="n"/>
      <c r="Q260" s="15" t="n"/>
      <c r="R260" s="16">
        <f>IF(OR(L260="",Q260=""),"",IF(EXACT(LOWER(TRIM(L260)),LOWER(TRIM(Q260))),"Sim","NÃO"))</f>
        <v/>
      </c>
      <c r="S260" s="16">
        <f>IF(A260="","",IF(AND(R260="Sim",U260&lt;&gt;"",IF(F260="Processo judicial",V260&lt;&gt;"",AND(G260&lt;&gt;"",H260&lt;&gt;"")),J260&lt;&gt;"",K260&lt;&gt;"",N260&lt;&gt;"",O260&lt;&gt;""),"Sim","Pendente"))</f>
        <v/>
      </c>
      <c r="T260" s="15" t="n"/>
      <c r="U260" s="15" t="n"/>
      <c r="V260" s="15" t="n"/>
    </row>
    <row r="26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20" t="n"/>
      <c r="J261" s="20" t="n"/>
      <c r="K261" s="15" t="n"/>
      <c r="L261" s="15" t="n"/>
      <c r="M261" s="15" t="n"/>
      <c r="N261" s="15" t="n"/>
      <c r="O261" s="15" t="n"/>
      <c r="P261" s="15" t="n"/>
      <c r="Q261" s="15" t="n"/>
      <c r="R261" s="16">
        <f>IF(OR(L261="",Q261=""),"",IF(EXACT(LOWER(TRIM(L261)),LOWER(TRIM(Q261))),"Sim","NÃO"))</f>
        <v/>
      </c>
      <c r="S261" s="16">
        <f>IF(A261="","",IF(AND(R261="Sim",U261&lt;&gt;"",IF(F261="Processo judicial",V261&lt;&gt;"",AND(G261&lt;&gt;"",H261&lt;&gt;"")),J261&lt;&gt;"",K261&lt;&gt;"",N261&lt;&gt;"",O261&lt;&gt;""),"Sim","Pendente"))</f>
        <v/>
      </c>
      <c r="T261" s="15" t="n"/>
      <c r="U261" s="15" t="n"/>
      <c r="V261" s="15" t="n"/>
    </row>
    <row r="262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20" t="n"/>
      <c r="J262" s="20" t="n"/>
      <c r="K262" s="15" t="n"/>
      <c r="L262" s="15" t="n"/>
      <c r="M262" s="15" t="n"/>
      <c r="N262" s="15" t="n"/>
      <c r="O262" s="15" t="n"/>
      <c r="P262" s="15" t="n"/>
      <c r="Q262" s="15" t="n"/>
      <c r="R262" s="16">
        <f>IF(OR(L262="",Q262=""),"",IF(EXACT(LOWER(TRIM(L262)),LOWER(TRIM(Q262))),"Sim","NÃO"))</f>
        <v/>
      </c>
      <c r="S262" s="16">
        <f>IF(A262="","",IF(AND(R262="Sim",U262&lt;&gt;"",IF(F262="Processo judicial",V262&lt;&gt;"",AND(G262&lt;&gt;"",H262&lt;&gt;"")),J262&lt;&gt;"",K262&lt;&gt;"",N262&lt;&gt;"",O262&lt;&gt;""),"Sim","Pendente"))</f>
        <v/>
      </c>
      <c r="T262" s="15" t="n"/>
      <c r="U262" s="15" t="n"/>
      <c r="V262" s="15" t="n"/>
    </row>
    <row r="263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20" t="n"/>
      <c r="J263" s="20" t="n"/>
      <c r="K263" s="15" t="n"/>
      <c r="L263" s="15" t="n"/>
      <c r="M263" s="15" t="n"/>
      <c r="N263" s="15" t="n"/>
      <c r="O263" s="15" t="n"/>
      <c r="P263" s="15" t="n"/>
      <c r="Q263" s="15" t="n"/>
      <c r="R263" s="16">
        <f>IF(OR(L263="",Q263=""),"",IF(EXACT(LOWER(TRIM(L263)),LOWER(TRIM(Q263))),"Sim","NÃO"))</f>
        <v/>
      </c>
      <c r="S263" s="16">
        <f>IF(A263="","",IF(AND(R263="Sim",U263&lt;&gt;"",IF(F263="Processo judicial",V263&lt;&gt;"",AND(G263&lt;&gt;"",H263&lt;&gt;"")),J263&lt;&gt;"",K263&lt;&gt;"",N263&lt;&gt;"",O263&lt;&gt;""),"Sim","Pendente"))</f>
        <v/>
      </c>
      <c r="T263" s="15" t="n"/>
      <c r="U263" s="15" t="n"/>
      <c r="V263" s="15" t="n"/>
    </row>
    <row r="264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20" t="n"/>
      <c r="J264" s="20" t="n"/>
      <c r="K264" s="15" t="n"/>
      <c r="L264" s="15" t="n"/>
      <c r="M264" s="15" t="n"/>
      <c r="N264" s="15" t="n"/>
      <c r="O264" s="15" t="n"/>
      <c r="P264" s="15" t="n"/>
      <c r="Q264" s="15" t="n"/>
      <c r="R264" s="16">
        <f>IF(OR(L264="",Q264=""),"",IF(EXACT(LOWER(TRIM(L264)),LOWER(TRIM(Q264))),"Sim","NÃO"))</f>
        <v/>
      </c>
      <c r="S264" s="16">
        <f>IF(A264="","",IF(AND(R264="Sim",U264&lt;&gt;"",IF(F264="Processo judicial",V264&lt;&gt;"",AND(G264&lt;&gt;"",H264&lt;&gt;"")),J264&lt;&gt;"",K264&lt;&gt;"",N264&lt;&gt;"",O264&lt;&gt;""),"Sim","Pendente"))</f>
        <v/>
      </c>
      <c r="T264" s="15" t="n"/>
      <c r="U264" s="15" t="n"/>
      <c r="V264" s="15" t="n"/>
    </row>
    <row r="265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20" t="n"/>
      <c r="J265" s="20" t="n"/>
      <c r="K265" s="15" t="n"/>
      <c r="L265" s="15" t="n"/>
      <c r="M265" s="15" t="n"/>
      <c r="N265" s="15" t="n"/>
      <c r="O265" s="15" t="n"/>
      <c r="P265" s="15" t="n"/>
      <c r="Q265" s="15" t="n"/>
      <c r="R265" s="16">
        <f>IF(OR(L265="",Q265=""),"",IF(EXACT(LOWER(TRIM(L265)),LOWER(TRIM(Q265))),"Sim","NÃO"))</f>
        <v/>
      </c>
      <c r="S265" s="16">
        <f>IF(A265="","",IF(AND(R265="Sim",U265&lt;&gt;"",IF(F265="Processo judicial",V265&lt;&gt;"",AND(G265&lt;&gt;"",H265&lt;&gt;"")),J265&lt;&gt;"",K265&lt;&gt;"",N265&lt;&gt;"",O265&lt;&gt;""),"Sim","Pendente"))</f>
        <v/>
      </c>
      <c r="T265" s="15" t="n"/>
      <c r="U265" s="15" t="n"/>
      <c r="V265" s="15" t="n"/>
    </row>
    <row r="266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20" t="n"/>
      <c r="J266" s="20" t="n"/>
      <c r="K266" s="15" t="n"/>
      <c r="L266" s="15" t="n"/>
      <c r="M266" s="15" t="n"/>
      <c r="N266" s="15" t="n"/>
      <c r="O266" s="15" t="n"/>
      <c r="P266" s="15" t="n"/>
      <c r="Q266" s="15" t="n"/>
      <c r="R266" s="16">
        <f>IF(OR(L266="",Q266=""),"",IF(EXACT(LOWER(TRIM(L266)),LOWER(TRIM(Q266))),"Sim","NÃO"))</f>
        <v/>
      </c>
      <c r="S266" s="16">
        <f>IF(A266="","",IF(AND(R266="Sim",U266&lt;&gt;"",IF(F266="Processo judicial",V266&lt;&gt;"",AND(G266&lt;&gt;"",H266&lt;&gt;"")),J266&lt;&gt;"",K266&lt;&gt;"",N266&lt;&gt;"",O266&lt;&gt;""),"Sim","Pendente"))</f>
        <v/>
      </c>
      <c r="T266" s="15" t="n"/>
      <c r="U266" s="15" t="n"/>
      <c r="V266" s="15" t="n"/>
    </row>
    <row r="267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20" t="n"/>
      <c r="J267" s="20" t="n"/>
      <c r="K267" s="15" t="n"/>
      <c r="L267" s="15" t="n"/>
      <c r="M267" s="15" t="n"/>
      <c r="N267" s="15" t="n"/>
      <c r="O267" s="15" t="n"/>
      <c r="P267" s="15" t="n"/>
      <c r="Q267" s="15" t="n"/>
      <c r="R267" s="16">
        <f>IF(OR(L267="",Q267=""),"",IF(EXACT(LOWER(TRIM(L267)),LOWER(TRIM(Q267))),"Sim","NÃO"))</f>
        <v/>
      </c>
      <c r="S267" s="16">
        <f>IF(A267="","",IF(AND(R267="Sim",U267&lt;&gt;"",IF(F267="Processo judicial",V267&lt;&gt;"",AND(G267&lt;&gt;"",H267&lt;&gt;"")),J267&lt;&gt;"",K267&lt;&gt;"",N267&lt;&gt;"",O267&lt;&gt;""),"Sim","Pendente"))</f>
        <v/>
      </c>
      <c r="T267" s="15" t="n"/>
      <c r="U267" s="15" t="n"/>
      <c r="V267" s="15" t="n"/>
    </row>
    <row r="268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20" t="n"/>
      <c r="J268" s="20" t="n"/>
      <c r="K268" s="15" t="n"/>
      <c r="L268" s="15" t="n"/>
      <c r="M268" s="15" t="n"/>
      <c r="N268" s="15" t="n"/>
      <c r="O268" s="15" t="n"/>
      <c r="P268" s="15" t="n"/>
      <c r="Q268" s="15" t="n"/>
      <c r="R268" s="16">
        <f>IF(OR(L268="",Q268=""),"",IF(EXACT(LOWER(TRIM(L268)),LOWER(TRIM(Q268))),"Sim","NÃO"))</f>
        <v/>
      </c>
      <c r="S268" s="16">
        <f>IF(A268="","",IF(AND(R268="Sim",U268&lt;&gt;"",IF(F268="Processo judicial",V268&lt;&gt;"",AND(G268&lt;&gt;"",H268&lt;&gt;"")),J268&lt;&gt;"",K268&lt;&gt;"",N268&lt;&gt;"",O268&lt;&gt;""),"Sim","Pendente"))</f>
        <v/>
      </c>
      <c r="T268" s="15" t="n"/>
      <c r="U268" s="15" t="n"/>
      <c r="V268" s="15" t="n"/>
    </row>
    <row r="269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20" t="n"/>
      <c r="J269" s="20" t="n"/>
      <c r="K269" s="15" t="n"/>
      <c r="L269" s="15" t="n"/>
      <c r="M269" s="15" t="n"/>
      <c r="N269" s="15" t="n"/>
      <c r="O269" s="15" t="n"/>
      <c r="P269" s="15" t="n"/>
      <c r="Q269" s="15" t="n"/>
      <c r="R269" s="16">
        <f>IF(OR(L269="",Q269=""),"",IF(EXACT(LOWER(TRIM(L269)),LOWER(TRIM(Q269))),"Sim","NÃO"))</f>
        <v/>
      </c>
      <c r="S269" s="16">
        <f>IF(A269="","",IF(AND(R269="Sim",U269&lt;&gt;"",IF(F269="Processo judicial",V269&lt;&gt;"",AND(G269&lt;&gt;"",H269&lt;&gt;"")),J269&lt;&gt;"",K269&lt;&gt;"",N269&lt;&gt;"",O269&lt;&gt;""),"Sim","Pendente"))</f>
        <v/>
      </c>
      <c r="T269" s="15" t="n"/>
      <c r="U269" s="15" t="n"/>
      <c r="V269" s="15" t="n"/>
    </row>
    <row r="270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20" t="n"/>
      <c r="J270" s="20" t="n"/>
      <c r="K270" s="15" t="n"/>
      <c r="L270" s="15" t="n"/>
      <c r="M270" s="15" t="n"/>
      <c r="N270" s="15" t="n"/>
      <c r="O270" s="15" t="n"/>
      <c r="P270" s="15" t="n"/>
      <c r="Q270" s="15" t="n"/>
      <c r="R270" s="16">
        <f>IF(OR(L270="",Q270=""),"",IF(EXACT(LOWER(TRIM(L270)),LOWER(TRIM(Q270))),"Sim","NÃO"))</f>
        <v/>
      </c>
      <c r="S270" s="16">
        <f>IF(A270="","",IF(AND(R270="Sim",U270&lt;&gt;"",IF(F270="Processo judicial",V270&lt;&gt;"",AND(G270&lt;&gt;"",H270&lt;&gt;"")),J270&lt;&gt;"",K270&lt;&gt;"",N270&lt;&gt;"",O270&lt;&gt;""),"Sim","Pendente"))</f>
        <v/>
      </c>
      <c r="T270" s="15" t="n"/>
      <c r="U270" s="15" t="n"/>
      <c r="V270" s="15" t="n"/>
    </row>
    <row r="27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20" t="n"/>
      <c r="J271" s="20" t="n"/>
      <c r="K271" s="15" t="n"/>
      <c r="L271" s="15" t="n"/>
      <c r="M271" s="15" t="n"/>
      <c r="N271" s="15" t="n"/>
      <c r="O271" s="15" t="n"/>
      <c r="P271" s="15" t="n"/>
      <c r="Q271" s="15" t="n"/>
      <c r="R271" s="16">
        <f>IF(OR(L271="",Q271=""),"",IF(EXACT(LOWER(TRIM(L271)),LOWER(TRIM(Q271))),"Sim","NÃO"))</f>
        <v/>
      </c>
      <c r="S271" s="16">
        <f>IF(A271="","",IF(AND(R271="Sim",U271&lt;&gt;"",IF(F271="Processo judicial",V271&lt;&gt;"",AND(G271&lt;&gt;"",H271&lt;&gt;"")),J271&lt;&gt;"",K271&lt;&gt;"",N271&lt;&gt;"",O271&lt;&gt;""),"Sim","Pendente"))</f>
        <v/>
      </c>
      <c r="T271" s="15" t="n"/>
      <c r="U271" s="15" t="n"/>
      <c r="V271" s="15" t="n"/>
    </row>
    <row r="272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20" t="n"/>
      <c r="J272" s="20" t="n"/>
      <c r="K272" s="15" t="n"/>
      <c r="L272" s="15" t="n"/>
      <c r="M272" s="15" t="n"/>
      <c r="N272" s="15" t="n"/>
      <c r="O272" s="15" t="n"/>
      <c r="P272" s="15" t="n"/>
      <c r="Q272" s="15" t="n"/>
      <c r="R272" s="16">
        <f>IF(OR(L272="",Q272=""),"",IF(EXACT(LOWER(TRIM(L272)),LOWER(TRIM(Q272))),"Sim","NÃO"))</f>
        <v/>
      </c>
      <c r="S272" s="16">
        <f>IF(A272="","",IF(AND(R272="Sim",U272&lt;&gt;"",IF(F272="Processo judicial",V272&lt;&gt;"",AND(G272&lt;&gt;"",H272&lt;&gt;"")),J272&lt;&gt;"",K272&lt;&gt;"",N272&lt;&gt;"",O272&lt;&gt;""),"Sim","Pendente"))</f>
        <v/>
      </c>
      <c r="T272" s="15" t="n"/>
      <c r="U272" s="15" t="n"/>
      <c r="V272" s="15" t="n"/>
    </row>
    <row r="273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20" t="n"/>
      <c r="J273" s="20" t="n"/>
      <c r="K273" s="15" t="n"/>
      <c r="L273" s="15" t="n"/>
      <c r="M273" s="15" t="n"/>
      <c r="N273" s="15" t="n"/>
      <c r="O273" s="15" t="n"/>
      <c r="P273" s="15" t="n"/>
      <c r="Q273" s="15" t="n"/>
      <c r="R273" s="16">
        <f>IF(OR(L273="",Q273=""),"",IF(EXACT(LOWER(TRIM(L273)),LOWER(TRIM(Q273))),"Sim","NÃO"))</f>
        <v/>
      </c>
      <c r="S273" s="16">
        <f>IF(A273="","",IF(AND(R273="Sim",U273&lt;&gt;"",IF(F273="Processo judicial",V273&lt;&gt;"",AND(G273&lt;&gt;"",H273&lt;&gt;"")),J273&lt;&gt;"",K273&lt;&gt;"",N273&lt;&gt;"",O273&lt;&gt;""),"Sim","Pendente"))</f>
        <v/>
      </c>
      <c r="T273" s="15" t="n"/>
      <c r="U273" s="15" t="n"/>
      <c r="V273" s="15" t="n"/>
    </row>
    <row r="274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20" t="n"/>
      <c r="J274" s="20" t="n"/>
      <c r="K274" s="15" t="n"/>
      <c r="L274" s="15" t="n"/>
      <c r="M274" s="15" t="n"/>
      <c r="N274" s="15" t="n"/>
      <c r="O274" s="15" t="n"/>
      <c r="P274" s="15" t="n"/>
      <c r="Q274" s="15" t="n"/>
      <c r="R274" s="16">
        <f>IF(OR(L274="",Q274=""),"",IF(EXACT(LOWER(TRIM(L274)),LOWER(TRIM(Q274))),"Sim","NÃO"))</f>
        <v/>
      </c>
      <c r="S274" s="16">
        <f>IF(A274="","",IF(AND(R274="Sim",U274&lt;&gt;"",IF(F274="Processo judicial",V274&lt;&gt;"",AND(G274&lt;&gt;"",H274&lt;&gt;"")),J274&lt;&gt;"",K274&lt;&gt;"",N274&lt;&gt;"",O274&lt;&gt;""),"Sim","Pendente"))</f>
        <v/>
      </c>
      <c r="T274" s="15" t="n"/>
      <c r="U274" s="15" t="n"/>
      <c r="V274" s="15" t="n"/>
    </row>
    <row r="275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20" t="n"/>
      <c r="J275" s="20" t="n"/>
      <c r="K275" s="15" t="n"/>
      <c r="L275" s="15" t="n"/>
      <c r="M275" s="15" t="n"/>
      <c r="N275" s="15" t="n"/>
      <c r="O275" s="15" t="n"/>
      <c r="P275" s="15" t="n"/>
      <c r="Q275" s="15" t="n"/>
      <c r="R275" s="16">
        <f>IF(OR(L275="",Q275=""),"",IF(EXACT(LOWER(TRIM(L275)),LOWER(TRIM(Q275))),"Sim","NÃO"))</f>
        <v/>
      </c>
      <c r="S275" s="16">
        <f>IF(A275="","",IF(AND(R275="Sim",U275&lt;&gt;"",IF(F275="Processo judicial",V275&lt;&gt;"",AND(G275&lt;&gt;"",H275&lt;&gt;"")),J275&lt;&gt;"",K275&lt;&gt;"",N275&lt;&gt;"",O275&lt;&gt;""),"Sim","Pendente"))</f>
        <v/>
      </c>
      <c r="T275" s="15" t="n"/>
      <c r="U275" s="15" t="n"/>
      <c r="V275" s="15" t="n"/>
    </row>
    <row r="276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20" t="n"/>
      <c r="J276" s="20" t="n"/>
      <c r="K276" s="15" t="n"/>
      <c r="L276" s="15" t="n"/>
      <c r="M276" s="15" t="n"/>
      <c r="N276" s="15" t="n"/>
      <c r="O276" s="15" t="n"/>
      <c r="P276" s="15" t="n"/>
      <c r="Q276" s="15" t="n"/>
      <c r="R276" s="16">
        <f>IF(OR(L276="",Q276=""),"",IF(EXACT(LOWER(TRIM(L276)),LOWER(TRIM(Q276))),"Sim","NÃO"))</f>
        <v/>
      </c>
      <c r="S276" s="16">
        <f>IF(A276="","",IF(AND(R276="Sim",U276&lt;&gt;"",IF(F276="Processo judicial",V276&lt;&gt;"",AND(G276&lt;&gt;"",H276&lt;&gt;"")),J276&lt;&gt;"",K276&lt;&gt;"",N276&lt;&gt;"",O276&lt;&gt;""),"Sim","Pendente"))</f>
        <v/>
      </c>
      <c r="T276" s="15" t="n"/>
      <c r="U276" s="15" t="n"/>
      <c r="V276" s="15" t="n"/>
    </row>
    <row r="277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20" t="n"/>
      <c r="J277" s="20" t="n"/>
      <c r="K277" s="15" t="n"/>
      <c r="L277" s="15" t="n"/>
      <c r="M277" s="15" t="n"/>
      <c r="N277" s="15" t="n"/>
      <c r="O277" s="15" t="n"/>
      <c r="P277" s="15" t="n"/>
      <c r="Q277" s="15" t="n"/>
      <c r="R277" s="16">
        <f>IF(OR(L277="",Q277=""),"",IF(EXACT(LOWER(TRIM(L277)),LOWER(TRIM(Q277))),"Sim","NÃO"))</f>
        <v/>
      </c>
      <c r="S277" s="16">
        <f>IF(A277="","",IF(AND(R277="Sim",U277&lt;&gt;"",IF(F277="Processo judicial",V277&lt;&gt;"",AND(G277&lt;&gt;"",H277&lt;&gt;"")),J277&lt;&gt;"",K277&lt;&gt;"",N277&lt;&gt;"",O277&lt;&gt;""),"Sim","Pendente"))</f>
        <v/>
      </c>
      <c r="T277" s="15" t="n"/>
      <c r="U277" s="15" t="n"/>
      <c r="V277" s="15" t="n"/>
    </row>
    <row r="278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20" t="n"/>
      <c r="J278" s="20" t="n"/>
      <c r="K278" s="15" t="n"/>
      <c r="L278" s="15" t="n"/>
      <c r="M278" s="15" t="n"/>
      <c r="N278" s="15" t="n"/>
      <c r="O278" s="15" t="n"/>
      <c r="P278" s="15" t="n"/>
      <c r="Q278" s="15" t="n"/>
      <c r="R278" s="16">
        <f>IF(OR(L278="",Q278=""),"",IF(EXACT(LOWER(TRIM(L278)),LOWER(TRIM(Q278))),"Sim","NÃO"))</f>
        <v/>
      </c>
      <c r="S278" s="16">
        <f>IF(A278="","",IF(AND(R278="Sim",U278&lt;&gt;"",IF(F278="Processo judicial",V278&lt;&gt;"",AND(G278&lt;&gt;"",H278&lt;&gt;"")),J278&lt;&gt;"",K278&lt;&gt;"",N278&lt;&gt;"",O278&lt;&gt;""),"Sim","Pendente"))</f>
        <v/>
      </c>
      <c r="T278" s="15" t="n"/>
      <c r="U278" s="15" t="n"/>
      <c r="V278" s="15" t="n"/>
    </row>
    <row r="279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20" t="n"/>
      <c r="J279" s="20" t="n"/>
      <c r="K279" s="15" t="n"/>
      <c r="L279" s="15" t="n"/>
      <c r="M279" s="15" t="n"/>
      <c r="N279" s="15" t="n"/>
      <c r="O279" s="15" t="n"/>
      <c r="P279" s="15" t="n"/>
      <c r="Q279" s="15" t="n"/>
      <c r="R279" s="16">
        <f>IF(OR(L279="",Q279=""),"",IF(EXACT(LOWER(TRIM(L279)),LOWER(TRIM(Q279))),"Sim","NÃO"))</f>
        <v/>
      </c>
      <c r="S279" s="16">
        <f>IF(A279="","",IF(AND(R279="Sim",U279&lt;&gt;"",IF(F279="Processo judicial",V279&lt;&gt;"",AND(G279&lt;&gt;"",H279&lt;&gt;"")),J279&lt;&gt;"",K279&lt;&gt;"",N279&lt;&gt;"",O279&lt;&gt;""),"Sim","Pendente"))</f>
        <v/>
      </c>
      <c r="T279" s="15" t="n"/>
      <c r="U279" s="15" t="n"/>
      <c r="V279" s="15" t="n"/>
    </row>
    <row r="280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20" t="n"/>
      <c r="J280" s="20" t="n"/>
      <c r="K280" s="15" t="n"/>
      <c r="L280" s="15" t="n"/>
      <c r="M280" s="15" t="n"/>
      <c r="N280" s="15" t="n"/>
      <c r="O280" s="15" t="n"/>
      <c r="P280" s="15" t="n"/>
      <c r="Q280" s="15" t="n"/>
      <c r="R280" s="16">
        <f>IF(OR(L280="",Q280=""),"",IF(EXACT(LOWER(TRIM(L280)),LOWER(TRIM(Q280))),"Sim","NÃO"))</f>
        <v/>
      </c>
      <c r="S280" s="16">
        <f>IF(A280="","",IF(AND(R280="Sim",U280&lt;&gt;"",IF(F280="Processo judicial",V280&lt;&gt;"",AND(G280&lt;&gt;"",H280&lt;&gt;"")),J280&lt;&gt;"",K280&lt;&gt;"",N280&lt;&gt;"",O280&lt;&gt;""),"Sim","Pendente"))</f>
        <v/>
      </c>
      <c r="T280" s="15" t="n"/>
      <c r="U280" s="15" t="n"/>
      <c r="V280" s="15" t="n"/>
    </row>
    <row r="28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20" t="n"/>
      <c r="J281" s="20" t="n"/>
      <c r="K281" s="15" t="n"/>
      <c r="L281" s="15" t="n"/>
      <c r="M281" s="15" t="n"/>
      <c r="N281" s="15" t="n"/>
      <c r="O281" s="15" t="n"/>
      <c r="P281" s="15" t="n"/>
      <c r="Q281" s="15" t="n"/>
      <c r="R281" s="16">
        <f>IF(OR(L281="",Q281=""),"",IF(EXACT(LOWER(TRIM(L281)),LOWER(TRIM(Q281))),"Sim","NÃO"))</f>
        <v/>
      </c>
      <c r="S281" s="16">
        <f>IF(A281="","",IF(AND(R281="Sim",U281&lt;&gt;"",IF(F281="Processo judicial",V281&lt;&gt;"",AND(G281&lt;&gt;"",H281&lt;&gt;"")),J281&lt;&gt;"",K281&lt;&gt;"",N281&lt;&gt;"",O281&lt;&gt;""),"Sim","Pendente"))</f>
        <v/>
      </c>
      <c r="T281" s="15" t="n"/>
      <c r="U281" s="15" t="n"/>
      <c r="V281" s="15" t="n"/>
    </row>
    <row r="282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20" t="n"/>
      <c r="J282" s="20" t="n"/>
      <c r="K282" s="15" t="n"/>
      <c r="L282" s="15" t="n"/>
      <c r="M282" s="15" t="n"/>
      <c r="N282" s="15" t="n"/>
      <c r="O282" s="15" t="n"/>
      <c r="P282" s="15" t="n"/>
      <c r="Q282" s="15" t="n"/>
      <c r="R282" s="16">
        <f>IF(OR(L282="",Q282=""),"",IF(EXACT(LOWER(TRIM(L282)),LOWER(TRIM(Q282))),"Sim","NÃO"))</f>
        <v/>
      </c>
      <c r="S282" s="16">
        <f>IF(A282="","",IF(AND(R282="Sim",U282&lt;&gt;"",IF(F282="Processo judicial",V282&lt;&gt;"",AND(G282&lt;&gt;"",H282&lt;&gt;"")),J282&lt;&gt;"",K282&lt;&gt;"",N282&lt;&gt;"",O282&lt;&gt;""),"Sim","Pendente"))</f>
        <v/>
      </c>
      <c r="T282" s="15" t="n"/>
      <c r="U282" s="15" t="n"/>
      <c r="V282" s="15" t="n"/>
    </row>
    <row r="283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20" t="n"/>
      <c r="J283" s="20" t="n"/>
      <c r="K283" s="15" t="n"/>
      <c r="L283" s="15" t="n"/>
      <c r="M283" s="15" t="n"/>
      <c r="N283" s="15" t="n"/>
      <c r="O283" s="15" t="n"/>
      <c r="P283" s="15" t="n"/>
      <c r="Q283" s="15" t="n"/>
      <c r="R283" s="16">
        <f>IF(OR(L283="",Q283=""),"",IF(EXACT(LOWER(TRIM(L283)),LOWER(TRIM(Q283))),"Sim","NÃO"))</f>
        <v/>
      </c>
      <c r="S283" s="16">
        <f>IF(A283="","",IF(AND(R283="Sim",U283&lt;&gt;"",IF(F283="Processo judicial",V283&lt;&gt;"",AND(G283&lt;&gt;"",H283&lt;&gt;"")),J283&lt;&gt;"",K283&lt;&gt;"",N283&lt;&gt;"",O283&lt;&gt;""),"Sim","Pendente"))</f>
        <v/>
      </c>
      <c r="T283" s="15" t="n"/>
      <c r="U283" s="15" t="n"/>
      <c r="V283" s="15" t="n"/>
    </row>
    <row r="284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20" t="n"/>
      <c r="J284" s="20" t="n"/>
      <c r="K284" s="15" t="n"/>
      <c r="L284" s="15" t="n"/>
      <c r="M284" s="15" t="n"/>
      <c r="N284" s="15" t="n"/>
      <c r="O284" s="15" t="n"/>
      <c r="P284" s="15" t="n"/>
      <c r="Q284" s="15" t="n"/>
      <c r="R284" s="16">
        <f>IF(OR(L284="",Q284=""),"",IF(EXACT(LOWER(TRIM(L284)),LOWER(TRIM(Q284))),"Sim","NÃO"))</f>
        <v/>
      </c>
      <c r="S284" s="16">
        <f>IF(A284="","",IF(AND(R284="Sim",U284&lt;&gt;"",IF(F284="Processo judicial",V284&lt;&gt;"",AND(G284&lt;&gt;"",H284&lt;&gt;"")),J284&lt;&gt;"",K284&lt;&gt;"",N284&lt;&gt;"",O284&lt;&gt;""),"Sim","Pendente"))</f>
        <v/>
      </c>
      <c r="T284" s="15" t="n"/>
      <c r="U284" s="15" t="n"/>
      <c r="V284" s="15" t="n"/>
    </row>
    <row r="285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20" t="n"/>
      <c r="J285" s="20" t="n"/>
      <c r="K285" s="15" t="n"/>
      <c r="L285" s="15" t="n"/>
      <c r="M285" s="15" t="n"/>
      <c r="N285" s="15" t="n"/>
      <c r="O285" s="15" t="n"/>
      <c r="P285" s="15" t="n"/>
      <c r="Q285" s="15" t="n"/>
      <c r="R285" s="16">
        <f>IF(OR(L285="",Q285=""),"",IF(EXACT(LOWER(TRIM(L285)),LOWER(TRIM(Q285))),"Sim","NÃO"))</f>
        <v/>
      </c>
      <c r="S285" s="16">
        <f>IF(A285="","",IF(AND(R285="Sim",U285&lt;&gt;"",IF(F285="Processo judicial",V285&lt;&gt;"",AND(G285&lt;&gt;"",H285&lt;&gt;"")),J285&lt;&gt;"",K285&lt;&gt;"",N285&lt;&gt;"",O285&lt;&gt;""),"Sim","Pendente"))</f>
        <v/>
      </c>
      <c r="T285" s="15" t="n"/>
      <c r="U285" s="15" t="n"/>
      <c r="V285" s="15" t="n"/>
    </row>
    <row r="286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20" t="n"/>
      <c r="J286" s="20" t="n"/>
      <c r="K286" s="15" t="n"/>
      <c r="L286" s="15" t="n"/>
      <c r="M286" s="15" t="n"/>
      <c r="N286" s="15" t="n"/>
      <c r="O286" s="15" t="n"/>
      <c r="P286" s="15" t="n"/>
      <c r="Q286" s="15" t="n"/>
      <c r="R286" s="16">
        <f>IF(OR(L286="",Q286=""),"",IF(EXACT(LOWER(TRIM(L286)),LOWER(TRIM(Q286))),"Sim","NÃO"))</f>
        <v/>
      </c>
      <c r="S286" s="16">
        <f>IF(A286="","",IF(AND(R286="Sim",U286&lt;&gt;"",IF(F286="Processo judicial",V286&lt;&gt;"",AND(G286&lt;&gt;"",H286&lt;&gt;"")),J286&lt;&gt;"",K286&lt;&gt;"",N286&lt;&gt;"",O286&lt;&gt;""),"Sim","Pendente"))</f>
        <v/>
      </c>
      <c r="T286" s="15" t="n"/>
      <c r="U286" s="15" t="n"/>
      <c r="V286" s="15" t="n"/>
    </row>
    <row r="287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20" t="n"/>
      <c r="J287" s="20" t="n"/>
      <c r="K287" s="15" t="n"/>
      <c r="L287" s="15" t="n"/>
      <c r="M287" s="15" t="n"/>
      <c r="N287" s="15" t="n"/>
      <c r="O287" s="15" t="n"/>
      <c r="P287" s="15" t="n"/>
      <c r="Q287" s="15" t="n"/>
      <c r="R287" s="16">
        <f>IF(OR(L287="",Q287=""),"",IF(EXACT(LOWER(TRIM(L287)),LOWER(TRIM(Q287))),"Sim","NÃO"))</f>
        <v/>
      </c>
      <c r="S287" s="16">
        <f>IF(A287="","",IF(AND(R287="Sim",U287&lt;&gt;"",IF(F287="Processo judicial",V287&lt;&gt;"",AND(G287&lt;&gt;"",H287&lt;&gt;"")),J287&lt;&gt;"",K287&lt;&gt;"",N287&lt;&gt;"",O287&lt;&gt;""),"Sim","Pendente"))</f>
        <v/>
      </c>
      <c r="T287" s="15" t="n"/>
      <c r="U287" s="15" t="n"/>
      <c r="V287" s="15" t="n"/>
    </row>
    <row r="288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20" t="n"/>
      <c r="J288" s="20" t="n"/>
      <c r="K288" s="15" t="n"/>
      <c r="L288" s="15" t="n"/>
      <c r="M288" s="15" t="n"/>
      <c r="N288" s="15" t="n"/>
      <c r="O288" s="15" t="n"/>
      <c r="P288" s="15" t="n"/>
      <c r="Q288" s="15" t="n"/>
      <c r="R288" s="16">
        <f>IF(OR(L288="",Q288=""),"",IF(EXACT(LOWER(TRIM(L288)),LOWER(TRIM(Q288))),"Sim","NÃO"))</f>
        <v/>
      </c>
      <c r="S288" s="16">
        <f>IF(A288="","",IF(AND(R288="Sim",U288&lt;&gt;"",IF(F288="Processo judicial",V288&lt;&gt;"",AND(G288&lt;&gt;"",H288&lt;&gt;"")),J288&lt;&gt;"",K288&lt;&gt;"",N288&lt;&gt;"",O288&lt;&gt;""),"Sim","Pendente"))</f>
        <v/>
      </c>
      <c r="T288" s="15" t="n"/>
      <c r="U288" s="15" t="n"/>
      <c r="V288" s="15" t="n"/>
    </row>
    <row r="289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20" t="n"/>
      <c r="J289" s="20" t="n"/>
      <c r="K289" s="15" t="n"/>
      <c r="L289" s="15" t="n"/>
      <c r="M289" s="15" t="n"/>
      <c r="N289" s="15" t="n"/>
      <c r="O289" s="15" t="n"/>
      <c r="P289" s="15" t="n"/>
      <c r="Q289" s="15" t="n"/>
      <c r="R289" s="16">
        <f>IF(OR(L289="",Q289=""),"",IF(EXACT(LOWER(TRIM(L289)),LOWER(TRIM(Q289))),"Sim","NÃO"))</f>
        <v/>
      </c>
      <c r="S289" s="16">
        <f>IF(A289="","",IF(AND(R289="Sim",U289&lt;&gt;"",IF(F289="Processo judicial",V289&lt;&gt;"",AND(G289&lt;&gt;"",H289&lt;&gt;"")),J289&lt;&gt;"",K289&lt;&gt;"",N289&lt;&gt;"",O289&lt;&gt;""),"Sim","Pendente"))</f>
        <v/>
      </c>
      <c r="T289" s="15" t="n"/>
      <c r="U289" s="15" t="n"/>
      <c r="V289" s="15" t="n"/>
    </row>
    <row r="290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20" t="n"/>
      <c r="J290" s="20" t="n"/>
      <c r="K290" s="15" t="n"/>
      <c r="L290" s="15" t="n"/>
      <c r="M290" s="15" t="n"/>
      <c r="N290" s="15" t="n"/>
      <c r="O290" s="15" t="n"/>
      <c r="P290" s="15" t="n"/>
      <c r="Q290" s="15" t="n"/>
      <c r="R290" s="16">
        <f>IF(OR(L290="",Q290=""),"",IF(EXACT(LOWER(TRIM(L290)),LOWER(TRIM(Q290))),"Sim","NÃO"))</f>
        <v/>
      </c>
      <c r="S290" s="16">
        <f>IF(A290="","",IF(AND(R290="Sim",U290&lt;&gt;"",IF(F290="Processo judicial",V290&lt;&gt;"",AND(G290&lt;&gt;"",H290&lt;&gt;"")),J290&lt;&gt;"",K290&lt;&gt;"",N290&lt;&gt;"",O290&lt;&gt;""),"Sim","Pendente"))</f>
        <v/>
      </c>
      <c r="T290" s="15" t="n"/>
      <c r="U290" s="15" t="n"/>
      <c r="V290" s="15" t="n"/>
    </row>
    <row r="29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20" t="n"/>
      <c r="J291" s="20" t="n"/>
      <c r="K291" s="15" t="n"/>
      <c r="L291" s="15" t="n"/>
      <c r="M291" s="15" t="n"/>
      <c r="N291" s="15" t="n"/>
      <c r="O291" s="15" t="n"/>
      <c r="P291" s="15" t="n"/>
      <c r="Q291" s="15" t="n"/>
      <c r="R291" s="16">
        <f>IF(OR(L291="",Q291=""),"",IF(EXACT(LOWER(TRIM(L291)),LOWER(TRIM(Q291))),"Sim","NÃO"))</f>
        <v/>
      </c>
      <c r="S291" s="16">
        <f>IF(A291="","",IF(AND(R291="Sim",U291&lt;&gt;"",IF(F291="Processo judicial",V291&lt;&gt;"",AND(G291&lt;&gt;"",H291&lt;&gt;"")),J291&lt;&gt;"",K291&lt;&gt;"",N291&lt;&gt;"",O291&lt;&gt;""),"Sim","Pendente"))</f>
        <v/>
      </c>
      <c r="T291" s="15" t="n"/>
      <c r="U291" s="15" t="n"/>
      <c r="V291" s="15" t="n"/>
    </row>
    <row r="292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20" t="n"/>
      <c r="J292" s="20" t="n"/>
      <c r="K292" s="15" t="n"/>
      <c r="L292" s="15" t="n"/>
      <c r="M292" s="15" t="n"/>
      <c r="N292" s="15" t="n"/>
      <c r="O292" s="15" t="n"/>
      <c r="P292" s="15" t="n"/>
      <c r="Q292" s="15" t="n"/>
      <c r="R292" s="16">
        <f>IF(OR(L292="",Q292=""),"",IF(EXACT(LOWER(TRIM(L292)),LOWER(TRIM(Q292))),"Sim","NÃO"))</f>
        <v/>
      </c>
      <c r="S292" s="16">
        <f>IF(A292="","",IF(AND(R292="Sim",U292&lt;&gt;"",IF(F292="Processo judicial",V292&lt;&gt;"",AND(G292&lt;&gt;"",H292&lt;&gt;"")),J292&lt;&gt;"",K292&lt;&gt;"",N292&lt;&gt;"",O292&lt;&gt;""),"Sim","Pendente"))</f>
        <v/>
      </c>
      <c r="T292" s="15" t="n"/>
      <c r="U292" s="15" t="n"/>
      <c r="V292" s="15" t="n"/>
    </row>
    <row r="293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20" t="n"/>
      <c r="J293" s="20" t="n"/>
      <c r="K293" s="15" t="n"/>
      <c r="L293" s="15" t="n"/>
      <c r="M293" s="15" t="n"/>
      <c r="N293" s="15" t="n"/>
      <c r="O293" s="15" t="n"/>
      <c r="P293" s="15" t="n"/>
      <c r="Q293" s="15" t="n"/>
      <c r="R293" s="16">
        <f>IF(OR(L293="",Q293=""),"",IF(EXACT(LOWER(TRIM(L293)),LOWER(TRIM(Q293))),"Sim","NÃO"))</f>
        <v/>
      </c>
      <c r="S293" s="16">
        <f>IF(A293="","",IF(AND(R293="Sim",U293&lt;&gt;"",IF(F293="Processo judicial",V293&lt;&gt;"",AND(G293&lt;&gt;"",H293&lt;&gt;"")),J293&lt;&gt;"",K293&lt;&gt;"",N293&lt;&gt;"",O293&lt;&gt;""),"Sim","Pendente"))</f>
        <v/>
      </c>
      <c r="T293" s="15" t="n"/>
      <c r="U293" s="15" t="n"/>
      <c r="V293" s="15" t="n"/>
    </row>
    <row r="294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20" t="n"/>
      <c r="J294" s="20" t="n"/>
      <c r="K294" s="15" t="n"/>
      <c r="L294" s="15" t="n"/>
      <c r="M294" s="15" t="n"/>
      <c r="N294" s="15" t="n"/>
      <c r="O294" s="15" t="n"/>
      <c r="P294" s="15" t="n"/>
      <c r="Q294" s="15" t="n"/>
      <c r="R294" s="16">
        <f>IF(OR(L294="",Q294=""),"",IF(EXACT(LOWER(TRIM(L294)),LOWER(TRIM(Q294))),"Sim","NÃO"))</f>
        <v/>
      </c>
      <c r="S294" s="16">
        <f>IF(A294="","",IF(AND(R294="Sim",U294&lt;&gt;"",IF(F294="Processo judicial",V294&lt;&gt;"",AND(G294&lt;&gt;"",H294&lt;&gt;"")),J294&lt;&gt;"",K294&lt;&gt;"",N294&lt;&gt;"",O294&lt;&gt;""),"Sim","Pendente"))</f>
        <v/>
      </c>
      <c r="T294" s="15" t="n"/>
      <c r="U294" s="15" t="n"/>
      <c r="V294" s="15" t="n"/>
    </row>
    <row r="295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20" t="n"/>
      <c r="J295" s="20" t="n"/>
      <c r="K295" s="15" t="n"/>
      <c r="L295" s="15" t="n"/>
      <c r="M295" s="15" t="n"/>
      <c r="N295" s="15" t="n"/>
      <c r="O295" s="15" t="n"/>
      <c r="P295" s="15" t="n"/>
      <c r="Q295" s="15" t="n"/>
      <c r="R295" s="16">
        <f>IF(OR(L295="",Q295=""),"",IF(EXACT(LOWER(TRIM(L295)),LOWER(TRIM(Q295))),"Sim","NÃO"))</f>
        <v/>
      </c>
      <c r="S295" s="16">
        <f>IF(A295="","",IF(AND(R295="Sim",U295&lt;&gt;"",IF(F295="Processo judicial",V295&lt;&gt;"",AND(G295&lt;&gt;"",H295&lt;&gt;"")),J295&lt;&gt;"",K295&lt;&gt;"",N295&lt;&gt;"",O295&lt;&gt;""),"Sim","Pendente"))</f>
        <v/>
      </c>
      <c r="T295" s="15" t="n"/>
      <c r="U295" s="15" t="n"/>
      <c r="V295" s="15" t="n"/>
    </row>
    <row r="296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20" t="n"/>
      <c r="J296" s="20" t="n"/>
      <c r="K296" s="15" t="n"/>
      <c r="L296" s="15" t="n"/>
      <c r="M296" s="15" t="n"/>
      <c r="N296" s="15" t="n"/>
      <c r="O296" s="15" t="n"/>
      <c r="P296" s="15" t="n"/>
      <c r="Q296" s="15" t="n"/>
      <c r="R296" s="16">
        <f>IF(OR(L296="",Q296=""),"",IF(EXACT(LOWER(TRIM(L296)),LOWER(TRIM(Q296))),"Sim","NÃO"))</f>
        <v/>
      </c>
      <c r="S296" s="16">
        <f>IF(A296="","",IF(AND(R296="Sim",U296&lt;&gt;"",IF(F296="Processo judicial",V296&lt;&gt;"",AND(G296&lt;&gt;"",H296&lt;&gt;"")),J296&lt;&gt;"",K296&lt;&gt;"",N296&lt;&gt;"",O296&lt;&gt;""),"Sim","Pendente"))</f>
        <v/>
      </c>
      <c r="T296" s="15" t="n"/>
      <c r="U296" s="15" t="n"/>
      <c r="V296" s="15" t="n"/>
    </row>
    <row r="297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20" t="n"/>
      <c r="J297" s="20" t="n"/>
      <c r="K297" s="15" t="n"/>
      <c r="L297" s="15" t="n"/>
      <c r="M297" s="15" t="n"/>
      <c r="N297" s="15" t="n"/>
      <c r="O297" s="15" t="n"/>
      <c r="P297" s="15" t="n"/>
      <c r="Q297" s="15" t="n"/>
      <c r="R297" s="16">
        <f>IF(OR(L297="",Q297=""),"",IF(EXACT(LOWER(TRIM(L297)),LOWER(TRIM(Q297))),"Sim","NÃO"))</f>
        <v/>
      </c>
      <c r="S297" s="16">
        <f>IF(A297="","",IF(AND(R297="Sim",U297&lt;&gt;"",IF(F297="Processo judicial",V297&lt;&gt;"",AND(G297&lt;&gt;"",H297&lt;&gt;"")),J297&lt;&gt;"",K297&lt;&gt;"",N297&lt;&gt;"",O297&lt;&gt;""),"Sim","Pendente"))</f>
        <v/>
      </c>
      <c r="T297" s="15" t="n"/>
      <c r="U297" s="15" t="n"/>
      <c r="V297" s="15" t="n"/>
    </row>
    <row r="298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20" t="n"/>
      <c r="J298" s="20" t="n"/>
      <c r="K298" s="15" t="n"/>
      <c r="L298" s="15" t="n"/>
      <c r="M298" s="15" t="n"/>
      <c r="N298" s="15" t="n"/>
      <c r="O298" s="15" t="n"/>
      <c r="P298" s="15" t="n"/>
      <c r="Q298" s="15" t="n"/>
      <c r="R298" s="16">
        <f>IF(OR(L298="",Q298=""),"",IF(EXACT(LOWER(TRIM(L298)),LOWER(TRIM(Q298))),"Sim","NÃO"))</f>
        <v/>
      </c>
      <c r="S298" s="16">
        <f>IF(A298="","",IF(AND(R298="Sim",U298&lt;&gt;"",IF(F298="Processo judicial",V298&lt;&gt;"",AND(G298&lt;&gt;"",H298&lt;&gt;"")),J298&lt;&gt;"",K298&lt;&gt;"",N298&lt;&gt;"",O298&lt;&gt;""),"Sim","Pendente"))</f>
        <v/>
      </c>
      <c r="T298" s="15" t="n"/>
      <c r="U298" s="15" t="n"/>
      <c r="V298" s="15" t="n"/>
    </row>
    <row r="299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20" t="n"/>
      <c r="J299" s="20" t="n"/>
      <c r="K299" s="15" t="n"/>
      <c r="L299" s="15" t="n"/>
      <c r="M299" s="15" t="n"/>
      <c r="N299" s="15" t="n"/>
      <c r="O299" s="15" t="n"/>
      <c r="P299" s="15" t="n"/>
      <c r="Q299" s="15" t="n"/>
      <c r="R299" s="16">
        <f>IF(OR(L299="",Q299=""),"",IF(EXACT(LOWER(TRIM(L299)),LOWER(TRIM(Q299))),"Sim","NÃO"))</f>
        <v/>
      </c>
      <c r="S299" s="16">
        <f>IF(A299="","",IF(AND(R299="Sim",U299&lt;&gt;"",IF(F299="Processo judicial",V299&lt;&gt;"",AND(G299&lt;&gt;"",H299&lt;&gt;"")),J299&lt;&gt;"",K299&lt;&gt;"",N299&lt;&gt;"",O299&lt;&gt;""),"Sim","Pendente"))</f>
        <v/>
      </c>
      <c r="T299" s="15" t="n"/>
      <c r="U299" s="15" t="n"/>
      <c r="V299" s="15" t="n"/>
    </row>
    <row r="300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20" t="n"/>
      <c r="J300" s="20" t="n"/>
      <c r="K300" s="15" t="n"/>
      <c r="L300" s="15" t="n"/>
      <c r="M300" s="15" t="n"/>
      <c r="N300" s="15" t="n"/>
      <c r="O300" s="15" t="n"/>
      <c r="P300" s="15" t="n"/>
      <c r="Q300" s="15" t="n"/>
      <c r="R300" s="16">
        <f>IF(OR(L300="",Q300=""),"",IF(EXACT(LOWER(TRIM(L300)),LOWER(TRIM(Q300))),"Sim","NÃO"))</f>
        <v/>
      </c>
      <c r="S300" s="16">
        <f>IF(A300="","",IF(AND(R300="Sim",U300&lt;&gt;"",IF(F300="Processo judicial",V300&lt;&gt;"",AND(G300&lt;&gt;"",H300&lt;&gt;"")),J300&lt;&gt;"",K300&lt;&gt;"",N300&lt;&gt;"",O300&lt;&gt;""),"Sim","Pendente"))</f>
        <v/>
      </c>
      <c r="T300" s="15" t="n"/>
      <c r="U300" s="15" t="n"/>
      <c r="V300" s="15" t="n"/>
    </row>
    <row r="30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20" t="n"/>
      <c r="J301" s="20" t="n"/>
      <c r="K301" s="15" t="n"/>
      <c r="L301" s="15" t="n"/>
      <c r="M301" s="15" t="n"/>
      <c r="N301" s="15" t="n"/>
      <c r="O301" s="15" t="n"/>
      <c r="P301" s="15" t="n"/>
      <c r="Q301" s="15" t="n"/>
      <c r="R301" s="16">
        <f>IF(OR(L301="",Q301=""),"",IF(EXACT(LOWER(TRIM(L301)),LOWER(TRIM(Q301))),"Sim","NÃO"))</f>
        <v/>
      </c>
      <c r="S301" s="16">
        <f>IF(A301="","",IF(AND(R301="Sim",U301&lt;&gt;"",IF(F301="Processo judicial",V301&lt;&gt;"",AND(G301&lt;&gt;"",H301&lt;&gt;"")),J301&lt;&gt;"",K301&lt;&gt;"",N301&lt;&gt;"",O301&lt;&gt;""),"Sim","Pendente"))</f>
        <v/>
      </c>
      <c r="T301" s="15" t="n"/>
      <c r="U301" s="15" t="n"/>
      <c r="V301" s="15" t="n"/>
    </row>
  </sheetData>
  <autoFilter ref="A1:V301"/>
  <conditionalFormatting sqref="R2:R301">
    <cfRule type="expression" priority="1" dxfId="1">
      <formula>LEFT(R2,3)="NÃO"</formula>
    </cfRule>
    <cfRule type="expression" priority="2" dxfId="1">
      <formula>LEFT(R2,7)="DIVERGE"</formula>
    </cfRule>
  </conditionalFormatting>
  <dataValidations count="3">
    <dataValidation sqref="C2:C301" showDropDown="0" showInputMessage="0" showErrorMessage="0" allowBlank="1" errorTitle="Valor inválido" error="Escolha um valor da lista." type="list">
      <formula1>Listas!$C$2:$C$14</formula1>
    </dataValidation>
    <dataValidation sqref="F2:F301" showDropDown="0" showInputMessage="0" showErrorMessage="0" allowBlank="1" errorTitle="Valor inválido" error="Escolha um valor da lista." type="list">
      <formula1>Listas!$D$2:$D$8</formula1>
    </dataValidation>
    <dataValidation sqref="U2:U301" showDropDown="0" showInputMessage="0" showErrorMessage="0" allowBlank="1" errorTitle="Valor inválido" error="Escolha um valor da lista." type="list">
      <formula1>Listas!$I$2:$I$4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8" customWidth="1" min="4" max="4"/>
    <col width="34" customWidth="1" min="5" max="5"/>
    <col width="12" customWidth="1" min="6" max="6"/>
    <col width="12" customWidth="1" min="7" max="7"/>
    <col width="14" customWidth="1" min="8" max="8"/>
    <col width="26" customWidth="1" min="9" max="9"/>
    <col width="32" customWidth="1" min="10" max="10"/>
    <col width="32" customWidth="1" min="11" max="11"/>
    <col width="12" customWidth="1" min="12" max="12"/>
    <col width="14" customWidth="1" min="13" max="13"/>
    <col width="14" customWidth="1" min="14" max="14"/>
    <col width="12" customWidth="1" min="15" max="15"/>
  </cols>
  <sheetData>
    <row r="1" ht="36" customHeight="1">
      <c r="A1" s="10" t="inlineStr">
        <is>
          <t>ID teste</t>
        </is>
      </c>
      <c r="B1" s="10" t="inlineStr">
        <is>
          <t>ID item</t>
        </is>
      </c>
      <c r="C1" s="10" t="inlineStr">
        <is>
          <t>Fase</t>
        </is>
      </c>
      <c r="D1" s="10" t="inlineStr">
        <is>
          <t>Teste</t>
        </is>
      </c>
      <c r="E1" s="10" t="inlineStr">
        <is>
          <t>Ferramenta / comando</t>
        </is>
      </c>
      <c r="F1" s="10" t="inlineStr">
        <is>
          <t>Executor (codinome)</t>
        </is>
      </c>
      <c r="G1" s="10" t="inlineStr">
        <is>
          <t>Data</t>
        </is>
      </c>
      <c r="H1" s="10" t="inlineStr">
        <is>
          <t>Resultado</t>
        </is>
      </c>
      <c r="I1" s="10" t="inlineStr">
        <is>
          <t>Arquivo com saída bruta</t>
        </is>
      </c>
      <c r="J1" s="10" t="inlineStr">
        <is>
          <t>Observação</t>
        </is>
      </c>
      <c r="K1" s="10" t="inlineStr">
        <is>
          <t>Explicação alternativa considerada</t>
        </is>
      </c>
      <c r="L1" s="10" t="inlineStr">
        <is>
          <t>Revisor cego (codinome)</t>
        </is>
      </c>
      <c r="M1" s="10" t="inlineStr">
        <is>
          <t>Resultado da revisão</t>
        </is>
      </c>
      <c r="N1" s="10" t="inlineStr">
        <is>
          <t>Concordância</t>
        </is>
      </c>
      <c r="O1" s="10" t="inlineStr">
        <is>
          <t>Revisor ≠ executor?</t>
        </is>
      </c>
    </row>
    <row r="2">
      <c r="A2" s="14" t="inlineStr">
        <is>
          <t>T-001</t>
        </is>
      </c>
      <c r="B2" s="14" t="inlineStr">
        <is>
          <t>DOC-001</t>
        </is>
      </c>
      <c r="C2" s="14" t="inlineStr">
        <is>
          <t>F4.3 Estrutural</t>
        </is>
      </c>
      <c r="D2" s="14" t="inlineStr">
        <is>
          <t>Contagem de seções xref (edição incremental)</t>
        </is>
      </c>
      <c r="E2" s="14" t="inlineStr">
        <is>
          <t>qpdf --show-xref DOC-001.pdf</t>
        </is>
      </c>
      <c r="F2" s="14" t="inlineStr">
        <is>
          <t>M01</t>
        </is>
      </c>
      <c r="G2" s="17" t="n">
        <v>46318</v>
      </c>
      <c r="H2" s="14" t="inlineStr">
        <is>
          <t>Conforme</t>
        </is>
      </c>
      <c r="I2" s="14" t="inlineStr">
        <is>
          <t>laudos/DOC-001/T-001_xref.txt</t>
        </is>
      </c>
      <c r="J2" s="14" t="inlineStr">
        <is>
          <t>Uma única tabela xref (EXEMPLO – substituir)</t>
        </is>
      </c>
      <c r="K2" s="14" t="inlineStr">
        <is>
          <t>n/a</t>
        </is>
      </c>
      <c r="L2" s="14" t="inlineStr">
        <is>
          <t>M03</t>
        </is>
      </c>
      <c r="M2" s="14" t="inlineStr">
        <is>
          <t>Conforme</t>
        </is>
      </c>
      <c r="N2" s="16">
        <f>IF(OR(H2="",M2=""),"",IF(H2=M2,"Concorda","DIVERGE → Comitê"))</f>
        <v/>
      </c>
      <c r="O2" s="16">
        <f>IF(L2="","",IF(L2&lt;&gt;F2,"Sim","NÃO"))</f>
        <v/>
      </c>
    </row>
    <row r="3">
      <c r="A3" s="15" t="n"/>
      <c r="B3" s="15" t="n"/>
      <c r="C3" s="15" t="n"/>
      <c r="D3" s="15" t="n"/>
      <c r="E3" s="15" t="n"/>
      <c r="F3" s="15" t="n"/>
      <c r="G3" s="18" t="n"/>
      <c r="H3" s="15" t="n"/>
      <c r="I3" s="15" t="n"/>
      <c r="J3" s="15" t="n"/>
      <c r="K3" s="15" t="n"/>
      <c r="L3" s="15" t="n"/>
      <c r="M3" s="15" t="n"/>
      <c r="N3" s="16">
        <f>IF(OR(H3="",M3=""),"",IF(H3=M3,"Concorda","DIVERGE → Comitê"))</f>
        <v/>
      </c>
      <c r="O3" s="16">
        <f>IF(L3="","",IF(L3&lt;&gt;F3,"Sim","NÃO"))</f>
        <v/>
      </c>
    </row>
    <row r="4">
      <c r="A4" s="15" t="n"/>
      <c r="B4" s="15" t="n"/>
      <c r="C4" s="15" t="n"/>
      <c r="D4" s="15" t="n"/>
      <c r="E4" s="15" t="n"/>
      <c r="F4" s="15" t="n"/>
      <c r="G4" s="18" t="n"/>
      <c r="H4" s="15" t="n"/>
      <c r="I4" s="15" t="n"/>
      <c r="J4" s="15" t="n"/>
      <c r="K4" s="15" t="n"/>
      <c r="L4" s="15" t="n"/>
      <c r="M4" s="15" t="n"/>
      <c r="N4" s="16">
        <f>IF(OR(H4="",M4=""),"",IF(H4=M4,"Concorda","DIVERGE → Comitê"))</f>
        <v/>
      </c>
      <c r="O4" s="16">
        <f>IF(L4="","",IF(L4&lt;&gt;F4,"Sim","NÃO"))</f>
        <v/>
      </c>
    </row>
    <row r="5">
      <c r="A5" s="15" t="n"/>
      <c r="B5" s="15" t="n"/>
      <c r="C5" s="15" t="n"/>
      <c r="D5" s="15" t="n"/>
      <c r="E5" s="15" t="n"/>
      <c r="F5" s="15" t="n"/>
      <c r="G5" s="18" t="n"/>
      <c r="H5" s="15" t="n"/>
      <c r="I5" s="15" t="n"/>
      <c r="J5" s="15" t="n"/>
      <c r="K5" s="15" t="n"/>
      <c r="L5" s="15" t="n"/>
      <c r="M5" s="15" t="n"/>
      <c r="N5" s="16">
        <f>IF(OR(H5="",M5=""),"",IF(H5=M5,"Concorda","DIVERGE → Comitê"))</f>
        <v/>
      </c>
      <c r="O5" s="16">
        <f>IF(L5="","",IF(L5&lt;&gt;F5,"Sim","NÃO"))</f>
        <v/>
      </c>
    </row>
    <row r="6">
      <c r="A6" s="15" t="n"/>
      <c r="B6" s="15" t="n"/>
      <c r="C6" s="15" t="n"/>
      <c r="D6" s="15" t="n"/>
      <c r="E6" s="15" t="n"/>
      <c r="F6" s="15" t="n"/>
      <c r="G6" s="18" t="n"/>
      <c r="H6" s="15" t="n"/>
      <c r="I6" s="15" t="n"/>
      <c r="J6" s="15" t="n"/>
      <c r="K6" s="15" t="n"/>
      <c r="L6" s="15" t="n"/>
      <c r="M6" s="15" t="n"/>
      <c r="N6" s="16">
        <f>IF(OR(H6="",M6=""),"",IF(H6=M6,"Concorda","DIVERGE → Comitê"))</f>
        <v/>
      </c>
      <c r="O6" s="16">
        <f>IF(L6="","",IF(L6&lt;&gt;F6,"Sim","NÃO"))</f>
        <v/>
      </c>
    </row>
    <row r="7">
      <c r="A7" s="15" t="n"/>
      <c r="B7" s="15" t="n"/>
      <c r="C7" s="15" t="n"/>
      <c r="D7" s="15" t="n"/>
      <c r="E7" s="15" t="n"/>
      <c r="F7" s="15" t="n"/>
      <c r="G7" s="18" t="n"/>
      <c r="H7" s="15" t="n"/>
      <c r="I7" s="15" t="n"/>
      <c r="J7" s="15" t="n"/>
      <c r="K7" s="15" t="n"/>
      <c r="L7" s="15" t="n"/>
      <c r="M7" s="15" t="n"/>
      <c r="N7" s="16">
        <f>IF(OR(H7="",M7=""),"",IF(H7=M7,"Concorda","DIVERGE → Comitê"))</f>
        <v/>
      </c>
      <c r="O7" s="16">
        <f>IF(L7="","",IF(L7&lt;&gt;F7,"Sim","NÃO"))</f>
        <v/>
      </c>
    </row>
    <row r="8">
      <c r="A8" s="15" t="n"/>
      <c r="B8" s="15" t="n"/>
      <c r="C8" s="15" t="n"/>
      <c r="D8" s="15" t="n"/>
      <c r="E8" s="15" t="n"/>
      <c r="F8" s="15" t="n"/>
      <c r="G8" s="18" t="n"/>
      <c r="H8" s="15" t="n"/>
      <c r="I8" s="15" t="n"/>
      <c r="J8" s="15" t="n"/>
      <c r="K8" s="15" t="n"/>
      <c r="L8" s="15" t="n"/>
      <c r="M8" s="15" t="n"/>
      <c r="N8" s="16">
        <f>IF(OR(H8="",M8=""),"",IF(H8=M8,"Concorda","DIVERGE → Comitê"))</f>
        <v/>
      </c>
      <c r="O8" s="16">
        <f>IF(L8="","",IF(L8&lt;&gt;F8,"Sim","NÃO"))</f>
        <v/>
      </c>
    </row>
    <row r="9">
      <c r="A9" s="15" t="n"/>
      <c r="B9" s="15" t="n"/>
      <c r="C9" s="15" t="n"/>
      <c r="D9" s="15" t="n"/>
      <c r="E9" s="15" t="n"/>
      <c r="F9" s="15" t="n"/>
      <c r="G9" s="18" t="n"/>
      <c r="H9" s="15" t="n"/>
      <c r="I9" s="15" t="n"/>
      <c r="J9" s="15" t="n"/>
      <c r="K9" s="15" t="n"/>
      <c r="L9" s="15" t="n"/>
      <c r="M9" s="15" t="n"/>
      <c r="N9" s="16">
        <f>IF(OR(H9="",M9=""),"",IF(H9=M9,"Concorda","DIVERGE → Comitê"))</f>
        <v/>
      </c>
      <c r="O9" s="16">
        <f>IF(L9="","",IF(L9&lt;&gt;F9,"Sim","NÃO"))</f>
        <v/>
      </c>
    </row>
    <row r="10">
      <c r="A10" s="15" t="n"/>
      <c r="B10" s="15" t="n"/>
      <c r="C10" s="15" t="n"/>
      <c r="D10" s="15" t="n"/>
      <c r="E10" s="15" t="n"/>
      <c r="F10" s="15" t="n"/>
      <c r="G10" s="18" t="n"/>
      <c r="H10" s="15" t="n"/>
      <c r="I10" s="15" t="n"/>
      <c r="J10" s="15" t="n"/>
      <c r="K10" s="15" t="n"/>
      <c r="L10" s="15" t="n"/>
      <c r="M10" s="15" t="n"/>
      <c r="N10" s="16">
        <f>IF(OR(H10="",M10=""),"",IF(H10=M10,"Concorda","DIVERGE → Comitê"))</f>
        <v/>
      </c>
      <c r="O10" s="16">
        <f>IF(L10="","",IF(L10&lt;&gt;F10,"Sim","NÃO"))</f>
        <v/>
      </c>
    </row>
    <row r="11">
      <c r="A11" s="15" t="n"/>
      <c r="B11" s="15" t="n"/>
      <c r="C11" s="15" t="n"/>
      <c r="D11" s="15" t="n"/>
      <c r="E11" s="15" t="n"/>
      <c r="F11" s="15" t="n"/>
      <c r="G11" s="18" t="n"/>
      <c r="H11" s="15" t="n"/>
      <c r="I11" s="15" t="n"/>
      <c r="J11" s="15" t="n"/>
      <c r="K11" s="15" t="n"/>
      <c r="L11" s="15" t="n"/>
      <c r="M11" s="15" t="n"/>
      <c r="N11" s="16">
        <f>IF(OR(H11="",M11=""),"",IF(H11=M11,"Concorda","DIVERGE → Comitê"))</f>
        <v/>
      </c>
      <c r="O11" s="16">
        <f>IF(L11="","",IF(L11&lt;&gt;F11,"Sim","NÃO"))</f>
        <v/>
      </c>
    </row>
    <row r="12">
      <c r="A12" s="15" t="n"/>
      <c r="B12" s="15" t="n"/>
      <c r="C12" s="15" t="n"/>
      <c r="D12" s="15" t="n"/>
      <c r="E12" s="15" t="n"/>
      <c r="F12" s="15" t="n"/>
      <c r="G12" s="18" t="n"/>
      <c r="H12" s="15" t="n"/>
      <c r="I12" s="15" t="n"/>
      <c r="J12" s="15" t="n"/>
      <c r="K12" s="15" t="n"/>
      <c r="L12" s="15" t="n"/>
      <c r="M12" s="15" t="n"/>
      <c r="N12" s="16">
        <f>IF(OR(H12="",M12=""),"",IF(H12=M12,"Concorda","DIVERGE → Comitê"))</f>
        <v/>
      </c>
      <c r="O12" s="16">
        <f>IF(L12="","",IF(L12&lt;&gt;F12,"Sim","NÃO"))</f>
        <v/>
      </c>
    </row>
    <row r="13">
      <c r="A13" s="15" t="n"/>
      <c r="B13" s="15" t="n"/>
      <c r="C13" s="15" t="n"/>
      <c r="D13" s="15" t="n"/>
      <c r="E13" s="15" t="n"/>
      <c r="F13" s="15" t="n"/>
      <c r="G13" s="18" t="n"/>
      <c r="H13" s="15" t="n"/>
      <c r="I13" s="15" t="n"/>
      <c r="J13" s="15" t="n"/>
      <c r="K13" s="15" t="n"/>
      <c r="L13" s="15" t="n"/>
      <c r="M13" s="15" t="n"/>
      <c r="N13" s="16">
        <f>IF(OR(H13="",M13=""),"",IF(H13=M13,"Concorda","DIVERGE → Comitê"))</f>
        <v/>
      </c>
      <c r="O13" s="16">
        <f>IF(L13="","",IF(L13&lt;&gt;F13,"Sim","NÃO"))</f>
        <v/>
      </c>
    </row>
    <row r="14">
      <c r="A14" s="15" t="n"/>
      <c r="B14" s="15" t="n"/>
      <c r="C14" s="15" t="n"/>
      <c r="D14" s="15" t="n"/>
      <c r="E14" s="15" t="n"/>
      <c r="F14" s="15" t="n"/>
      <c r="G14" s="18" t="n"/>
      <c r="H14" s="15" t="n"/>
      <c r="I14" s="15" t="n"/>
      <c r="J14" s="15" t="n"/>
      <c r="K14" s="15" t="n"/>
      <c r="L14" s="15" t="n"/>
      <c r="M14" s="15" t="n"/>
      <c r="N14" s="16">
        <f>IF(OR(H14="",M14=""),"",IF(H14=M14,"Concorda","DIVERGE → Comitê"))</f>
        <v/>
      </c>
      <c r="O14" s="16">
        <f>IF(L14="","",IF(L14&lt;&gt;F14,"Sim","NÃO"))</f>
        <v/>
      </c>
    </row>
    <row r="15">
      <c r="A15" s="15" t="n"/>
      <c r="B15" s="15" t="n"/>
      <c r="C15" s="15" t="n"/>
      <c r="D15" s="15" t="n"/>
      <c r="E15" s="15" t="n"/>
      <c r="F15" s="15" t="n"/>
      <c r="G15" s="18" t="n"/>
      <c r="H15" s="15" t="n"/>
      <c r="I15" s="15" t="n"/>
      <c r="J15" s="15" t="n"/>
      <c r="K15" s="15" t="n"/>
      <c r="L15" s="15" t="n"/>
      <c r="M15" s="15" t="n"/>
      <c r="N15" s="16">
        <f>IF(OR(H15="",M15=""),"",IF(H15=M15,"Concorda","DIVERGE → Comitê"))</f>
        <v/>
      </c>
      <c r="O15" s="16">
        <f>IF(L15="","",IF(L15&lt;&gt;F15,"Sim","NÃO"))</f>
        <v/>
      </c>
    </row>
    <row r="16">
      <c r="A16" s="15" t="n"/>
      <c r="B16" s="15" t="n"/>
      <c r="C16" s="15" t="n"/>
      <c r="D16" s="15" t="n"/>
      <c r="E16" s="15" t="n"/>
      <c r="F16" s="15" t="n"/>
      <c r="G16" s="18" t="n"/>
      <c r="H16" s="15" t="n"/>
      <c r="I16" s="15" t="n"/>
      <c r="J16" s="15" t="n"/>
      <c r="K16" s="15" t="n"/>
      <c r="L16" s="15" t="n"/>
      <c r="M16" s="15" t="n"/>
      <c r="N16" s="16">
        <f>IF(OR(H16="",M16=""),"",IF(H16=M16,"Concorda","DIVERGE → Comitê"))</f>
        <v/>
      </c>
      <c r="O16" s="16">
        <f>IF(L16="","",IF(L16&lt;&gt;F16,"Sim","NÃO"))</f>
        <v/>
      </c>
    </row>
    <row r="17">
      <c r="A17" s="15" t="n"/>
      <c r="B17" s="15" t="n"/>
      <c r="C17" s="15" t="n"/>
      <c r="D17" s="15" t="n"/>
      <c r="E17" s="15" t="n"/>
      <c r="F17" s="15" t="n"/>
      <c r="G17" s="18" t="n"/>
      <c r="H17" s="15" t="n"/>
      <c r="I17" s="15" t="n"/>
      <c r="J17" s="15" t="n"/>
      <c r="K17" s="15" t="n"/>
      <c r="L17" s="15" t="n"/>
      <c r="M17" s="15" t="n"/>
      <c r="N17" s="16">
        <f>IF(OR(H17="",M17=""),"",IF(H17=M17,"Concorda","DIVERGE → Comitê"))</f>
        <v/>
      </c>
      <c r="O17" s="16">
        <f>IF(L17="","",IF(L17&lt;&gt;F17,"Sim","NÃO"))</f>
        <v/>
      </c>
    </row>
    <row r="18">
      <c r="A18" s="15" t="n"/>
      <c r="B18" s="15" t="n"/>
      <c r="C18" s="15" t="n"/>
      <c r="D18" s="15" t="n"/>
      <c r="E18" s="15" t="n"/>
      <c r="F18" s="15" t="n"/>
      <c r="G18" s="18" t="n"/>
      <c r="H18" s="15" t="n"/>
      <c r="I18" s="15" t="n"/>
      <c r="J18" s="15" t="n"/>
      <c r="K18" s="15" t="n"/>
      <c r="L18" s="15" t="n"/>
      <c r="M18" s="15" t="n"/>
      <c r="N18" s="16">
        <f>IF(OR(H18="",M18=""),"",IF(H18=M18,"Concorda","DIVERGE → Comitê"))</f>
        <v/>
      </c>
      <c r="O18" s="16">
        <f>IF(L18="","",IF(L18&lt;&gt;F18,"Sim","NÃO"))</f>
        <v/>
      </c>
    </row>
    <row r="19">
      <c r="A19" s="15" t="n"/>
      <c r="B19" s="15" t="n"/>
      <c r="C19" s="15" t="n"/>
      <c r="D19" s="15" t="n"/>
      <c r="E19" s="15" t="n"/>
      <c r="F19" s="15" t="n"/>
      <c r="G19" s="18" t="n"/>
      <c r="H19" s="15" t="n"/>
      <c r="I19" s="15" t="n"/>
      <c r="J19" s="15" t="n"/>
      <c r="K19" s="15" t="n"/>
      <c r="L19" s="15" t="n"/>
      <c r="M19" s="15" t="n"/>
      <c r="N19" s="16">
        <f>IF(OR(H19="",M19=""),"",IF(H19=M19,"Concorda","DIVERGE → Comitê"))</f>
        <v/>
      </c>
      <c r="O19" s="16">
        <f>IF(L19="","",IF(L19&lt;&gt;F19,"Sim","NÃO"))</f>
        <v/>
      </c>
    </row>
    <row r="20">
      <c r="A20" s="15" t="n"/>
      <c r="B20" s="15" t="n"/>
      <c r="C20" s="15" t="n"/>
      <c r="D20" s="15" t="n"/>
      <c r="E20" s="15" t="n"/>
      <c r="F20" s="15" t="n"/>
      <c r="G20" s="18" t="n"/>
      <c r="H20" s="15" t="n"/>
      <c r="I20" s="15" t="n"/>
      <c r="J20" s="15" t="n"/>
      <c r="K20" s="15" t="n"/>
      <c r="L20" s="15" t="n"/>
      <c r="M20" s="15" t="n"/>
      <c r="N20" s="16">
        <f>IF(OR(H20="",M20=""),"",IF(H20=M20,"Concorda","DIVERGE → Comitê"))</f>
        <v/>
      </c>
      <c r="O20" s="16">
        <f>IF(L20="","",IF(L20&lt;&gt;F20,"Sim","NÃO"))</f>
        <v/>
      </c>
    </row>
    <row r="21">
      <c r="A21" s="15" t="n"/>
      <c r="B21" s="15" t="n"/>
      <c r="C21" s="15" t="n"/>
      <c r="D21" s="15" t="n"/>
      <c r="E21" s="15" t="n"/>
      <c r="F21" s="15" t="n"/>
      <c r="G21" s="18" t="n"/>
      <c r="H21" s="15" t="n"/>
      <c r="I21" s="15" t="n"/>
      <c r="J21" s="15" t="n"/>
      <c r="K21" s="15" t="n"/>
      <c r="L21" s="15" t="n"/>
      <c r="M21" s="15" t="n"/>
      <c r="N21" s="16">
        <f>IF(OR(H21="",M21=""),"",IF(H21=M21,"Concorda","DIVERGE → Comitê"))</f>
        <v/>
      </c>
      <c r="O21" s="16">
        <f>IF(L21="","",IF(L21&lt;&gt;F21,"Sim","NÃO"))</f>
        <v/>
      </c>
    </row>
    <row r="22">
      <c r="A22" s="15" t="n"/>
      <c r="B22" s="15" t="n"/>
      <c r="C22" s="15" t="n"/>
      <c r="D22" s="15" t="n"/>
      <c r="E22" s="15" t="n"/>
      <c r="F22" s="15" t="n"/>
      <c r="G22" s="18" t="n"/>
      <c r="H22" s="15" t="n"/>
      <c r="I22" s="15" t="n"/>
      <c r="J22" s="15" t="n"/>
      <c r="K22" s="15" t="n"/>
      <c r="L22" s="15" t="n"/>
      <c r="M22" s="15" t="n"/>
      <c r="N22" s="16">
        <f>IF(OR(H22="",M22=""),"",IF(H22=M22,"Concorda","DIVERGE → Comitê"))</f>
        <v/>
      </c>
      <c r="O22" s="16">
        <f>IF(L22="","",IF(L22&lt;&gt;F22,"Sim","NÃO"))</f>
        <v/>
      </c>
    </row>
    <row r="23">
      <c r="A23" s="15" t="n"/>
      <c r="B23" s="15" t="n"/>
      <c r="C23" s="15" t="n"/>
      <c r="D23" s="15" t="n"/>
      <c r="E23" s="15" t="n"/>
      <c r="F23" s="15" t="n"/>
      <c r="G23" s="18" t="n"/>
      <c r="H23" s="15" t="n"/>
      <c r="I23" s="15" t="n"/>
      <c r="J23" s="15" t="n"/>
      <c r="K23" s="15" t="n"/>
      <c r="L23" s="15" t="n"/>
      <c r="M23" s="15" t="n"/>
      <c r="N23" s="16">
        <f>IF(OR(H23="",M23=""),"",IF(H23=M23,"Concorda","DIVERGE → Comitê"))</f>
        <v/>
      </c>
      <c r="O23" s="16">
        <f>IF(L23="","",IF(L23&lt;&gt;F23,"Sim","NÃO"))</f>
        <v/>
      </c>
    </row>
    <row r="24">
      <c r="A24" s="15" t="n"/>
      <c r="B24" s="15" t="n"/>
      <c r="C24" s="15" t="n"/>
      <c r="D24" s="15" t="n"/>
      <c r="E24" s="15" t="n"/>
      <c r="F24" s="15" t="n"/>
      <c r="G24" s="18" t="n"/>
      <c r="H24" s="15" t="n"/>
      <c r="I24" s="15" t="n"/>
      <c r="J24" s="15" t="n"/>
      <c r="K24" s="15" t="n"/>
      <c r="L24" s="15" t="n"/>
      <c r="M24" s="15" t="n"/>
      <c r="N24" s="16">
        <f>IF(OR(H24="",M24=""),"",IF(H24=M24,"Concorda","DIVERGE → Comitê"))</f>
        <v/>
      </c>
      <c r="O24" s="16">
        <f>IF(L24="","",IF(L24&lt;&gt;F24,"Sim","NÃO"))</f>
        <v/>
      </c>
    </row>
    <row r="25">
      <c r="A25" s="15" t="n"/>
      <c r="B25" s="15" t="n"/>
      <c r="C25" s="15" t="n"/>
      <c r="D25" s="15" t="n"/>
      <c r="E25" s="15" t="n"/>
      <c r="F25" s="15" t="n"/>
      <c r="G25" s="18" t="n"/>
      <c r="H25" s="15" t="n"/>
      <c r="I25" s="15" t="n"/>
      <c r="J25" s="15" t="n"/>
      <c r="K25" s="15" t="n"/>
      <c r="L25" s="15" t="n"/>
      <c r="M25" s="15" t="n"/>
      <c r="N25" s="16">
        <f>IF(OR(H25="",M25=""),"",IF(H25=M25,"Concorda","DIVERGE → Comitê"))</f>
        <v/>
      </c>
      <c r="O25" s="16">
        <f>IF(L25="","",IF(L25&lt;&gt;F25,"Sim","NÃO"))</f>
        <v/>
      </c>
    </row>
    <row r="26">
      <c r="A26" s="15" t="n"/>
      <c r="B26" s="15" t="n"/>
      <c r="C26" s="15" t="n"/>
      <c r="D26" s="15" t="n"/>
      <c r="E26" s="15" t="n"/>
      <c r="F26" s="15" t="n"/>
      <c r="G26" s="18" t="n"/>
      <c r="H26" s="15" t="n"/>
      <c r="I26" s="15" t="n"/>
      <c r="J26" s="15" t="n"/>
      <c r="K26" s="15" t="n"/>
      <c r="L26" s="15" t="n"/>
      <c r="M26" s="15" t="n"/>
      <c r="N26" s="16">
        <f>IF(OR(H26="",M26=""),"",IF(H26=M26,"Concorda","DIVERGE → Comitê"))</f>
        <v/>
      </c>
      <c r="O26" s="16">
        <f>IF(L26="","",IF(L26&lt;&gt;F26,"Sim","NÃO"))</f>
        <v/>
      </c>
    </row>
    <row r="27">
      <c r="A27" s="15" t="n"/>
      <c r="B27" s="15" t="n"/>
      <c r="C27" s="15" t="n"/>
      <c r="D27" s="15" t="n"/>
      <c r="E27" s="15" t="n"/>
      <c r="F27" s="15" t="n"/>
      <c r="G27" s="18" t="n"/>
      <c r="H27" s="15" t="n"/>
      <c r="I27" s="15" t="n"/>
      <c r="J27" s="15" t="n"/>
      <c r="K27" s="15" t="n"/>
      <c r="L27" s="15" t="n"/>
      <c r="M27" s="15" t="n"/>
      <c r="N27" s="16">
        <f>IF(OR(H27="",M27=""),"",IF(H27=M27,"Concorda","DIVERGE → Comitê"))</f>
        <v/>
      </c>
      <c r="O27" s="16">
        <f>IF(L27="","",IF(L27&lt;&gt;F27,"Sim","NÃO"))</f>
        <v/>
      </c>
    </row>
    <row r="28">
      <c r="A28" s="15" t="n"/>
      <c r="B28" s="15" t="n"/>
      <c r="C28" s="15" t="n"/>
      <c r="D28" s="15" t="n"/>
      <c r="E28" s="15" t="n"/>
      <c r="F28" s="15" t="n"/>
      <c r="G28" s="18" t="n"/>
      <c r="H28" s="15" t="n"/>
      <c r="I28" s="15" t="n"/>
      <c r="J28" s="15" t="n"/>
      <c r="K28" s="15" t="n"/>
      <c r="L28" s="15" t="n"/>
      <c r="M28" s="15" t="n"/>
      <c r="N28" s="16">
        <f>IF(OR(H28="",M28=""),"",IF(H28=M28,"Concorda","DIVERGE → Comitê"))</f>
        <v/>
      </c>
      <c r="O28" s="16">
        <f>IF(L28="","",IF(L28&lt;&gt;F28,"Sim","NÃO"))</f>
        <v/>
      </c>
    </row>
    <row r="29">
      <c r="A29" s="15" t="n"/>
      <c r="B29" s="15" t="n"/>
      <c r="C29" s="15" t="n"/>
      <c r="D29" s="15" t="n"/>
      <c r="E29" s="15" t="n"/>
      <c r="F29" s="15" t="n"/>
      <c r="G29" s="18" t="n"/>
      <c r="H29" s="15" t="n"/>
      <c r="I29" s="15" t="n"/>
      <c r="J29" s="15" t="n"/>
      <c r="K29" s="15" t="n"/>
      <c r="L29" s="15" t="n"/>
      <c r="M29" s="15" t="n"/>
      <c r="N29" s="16">
        <f>IF(OR(H29="",M29=""),"",IF(H29=M29,"Concorda","DIVERGE → Comitê"))</f>
        <v/>
      </c>
      <c r="O29" s="16">
        <f>IF(L29="","",IF(L29&lt;&gt;F29,"Sim","NÃO"))</f>
        <v/>
      </c>
    </row>
    <row r="30">
      <c r="A30" s="15" t="n"/>
      <c r="B30" s="15" t="n"/>
      <c r="C30" s="15" t="n"/>
      <c r="D30" s="15" t="n"/>
      <c r="E30" s="15" t="n"/>
      <c r="F30" s="15" t="n"/>
      <c r="G30" s="18" t="n"/>
      <c r="H30" s="15" t="n"/>
      <c r="I30" s="15" t="n"/>
      <c r="J30" s="15" t="n"/>
      <c r="K30" s="15" t="n"/>
      <c r="L30" s="15" t="n"/>
      <c r="M30" s="15" t="n"/>
      <c r="N30" s="16">
        <f>IF(OR(H30="",M30=""),"",IF(H30=M30,"Concorda","DIVERGE → Comitê"))</f>
        <v/>
      </c>
      <c r="O30" s="16">
        <f>IF(L30="","",IF(L30&lt;&gt;F30,"Sim","NÃO"))</f>
        <v/>
      </c>
    </row>
    <row r="31">
      <c r="A31" s="15" t="n"/>
      <c r="B31" s="15" t="n"/>
      <c r="C31" s="15" t="n"/>
      <c r="D31" s="15" t="n"/>
      <c r="E31" s="15" t="n"/>
      <c r="F31" s="15" t="n"/>
      <c r="G31" s="18" t="n"/>
      <c r="H31" s="15" t="n"/>
      <c r="I31" s="15" t="n"/>
      <c r="J31" s="15" t="n"/>
      <c r="K31" s="15" t="n"/>
      <c r="L31" s="15" t="n"/>
      <c r="M31" s="15" t="n"/>
      <c r="N31" s="16">
        <f>IF(OR(H31="",M31=""),"",IF(H31=M31,"Concorda","DIVERGE → Comitê"))</f>
        <v/>
      </c>
      <c r="O31" s="16">
        <f>IF(L31="","",IF(L31&lt;&gt;F31,"Sim","NÃO"))</f>
        <v/>
      </c>
    </row>
    <row r="32">
      <c r="A32" s="15" t="n"/>
      <c r="B32" s="15" t="n"/>
      <c r="C32" s="15" t="n"/>
      <c r="D32" s="15" t="n"/>
      <c r="E32" s="15" t="n"/>
      <c r="F32" s="15" t="n"/>
      <c r="G32" s="18" t="n"/>
      <c r="H32" s="15" t="n"/>
      <c r="I32" s="15" t="n"/>
      <c r="J32" s="15" t="n"/>
      <c r="K32" s="15" t="n"/>
      <c r="L32" s="15" t="n"/>
      <c r="M32" s="15" t="n"/>
      <c r="N32" s="16">
        <f>IF(OR(H32="",M32=""),"",IF(H32=M32,"Concorda","DIVERGE → Comitê"))</f>
        <v/>
      </c>
      <c r="O32" s="16">
        <f>IF(L32="","",IF(L32&lt;&gt;F32,"Sim","NÃO"))</f>
        <v/>
      </c>
    </row>
    <row r="33">
      <c r="A33" s="15" t="n"/>
      <c r="B33" s="15" t="n"/>
      <c r="C33" s="15" t="n"/>
      <c r="D33" s="15" t="n"/>
      <c r="E33" s="15" t="n"/>
      <c r="F33" s="15" t="n"/>
      <c r="G33" s="18" t="n"/>
      <c r="H33" s="15" t="n"/>
      <c r="I33" s="15" t="n"/>
      <c r="J33" s="15" t="n"/>
      <c r="K33" s="15" t="n"/>
      <c r="L33" s="15" t="n"/>
      <c r="M33" s="15" t="n"/>
      <c r="N33" s="16">
        <f>IF(OR(H33="",M33=""),"",IF(H33=M33,"Concorda","DIVERGE → Comitê"))</f>
        <v/>
      </c>
      <c r="O33" s="16">
        <f>IF(L33="","",IF(L33&lt;&gt;F33,"Sim","NÃO"))</f>
        <v/>
      </c>
    </row>
    <row r="34">
      <c r="A34" s="15" t="n"/>
      <c r="B34" s="15" t="n"/>
      <c r="C34" s="15" t="n"/>
      <c r="D34" s="15" t="n"/>
      <c r="E34" s="15" t="n"/>
      <c r="F34" s="15" t="n"/>
      <c r="G34" s="18" t="n"/>
      <c r="H34" s="15" t="n"/>
      <c r="I34" s="15" t="n"/>
      <c r="J34" s="15" t="n"/>
      <c r="K34" s="15" t="n"/>
      <c r="L34" s="15" t="n"/>
      <c r="M34" s="15" t="n"/>
      <c r="N34" s="16">
        <f>IF(OR(H34="",M34=""),"",IF(H34=M34,"Concorda","DIVERGE → Comitê"))</f>
        <v/>
      </c>
      <c r="O34" s="16">
        <f>IF(L34="","",IF(L34&lt;&gt;F34,"Sim","NÃO"))</f>
        <v/>
      </c>
    </row>
    <row r="35">
      <c r="A35" s="15" t="n"/>
      <c r="B35" s="15" t="n"/>
      <c r="C35" s="15" t="n"/>
      <c r="D35" s="15" t="n"/>
      <c r="E35" s="15" t="n"/>
      <c r="F35" s="15" t="n"/>
      <c r="G35" s="18" t="n"/>
      <c r="H35" s="15" t="n"/>
      <c r="I35" s="15" t="n"/>
      <c r="J35" s="15" t="n"/>
      <c r="K35" s="15" t="n"/>
      <c r="L35" s="15" t="n"/>
      <c r="M35" s="15" t="n"/>
      <c r="N35" s="16">
        <f>IF(OR(H35="",M35=""),"",IF(H35=M35,"Concorda","DIVERGE → Comitê"))</f>
        <v/>
      </c>
      <c r="O35" s="16">
        <f>IF(L35="","",IF(L35&lt;&gt;F35,"Sim","NÃO"))</f>
        <v/>
      </c>
    </row>
    <row r="36">
      <c r="A36" s="15" t="n"/>
      <c r="B36" s="15" t="n"/>
      <c r="C36" s="15" t="n"/>
      <c r="D36" s="15" t="n"/>
      <c r="E36" s="15" t="n"/>
      <c r="F36" s="15" t="n"/>
      <c r="G36" s="18" t="n"/>
      <c r="H36" s="15" t="n"/>
      <c r="I36" s="15" t="n"/>
      <c r="J36" s="15" t="n"/>
      <c r="K36" s="15" t="n"/>
      <c r="L36" s="15" t="n"/>
      <c r="M36" s="15" t="n"/>
      <c r="N36" s="16">
        <f>IF(OR(H36="",M36=""),"",IF(H36=M36,"Concorda","DIVERGE → Comitê"))</f>
        <v/>
      </c>
      <c r="O36" s="16">
        <f>IF(L36="","",IF(L36&lt;&gt;F36,"Sim","NÃO"))</f>
        <v/>
      </c>
    </row>
    <row r="37">
      <c r="A37" s="15" t="n"/>
      <c r="B37" s="15" t="n"/>
      <c r="C37" s="15" t="n"/>
      <c r="D37" s="15" t="n"/>
      <c r="E37" s="15" t="n"/>
      <c r="F37" s="15" t="n"/>
      <c r="G37" s="18" t="n"/>
      <c r="H37" s="15" t="n"/>
      <c r="I37" s="15" t="n"/>
      <c r="J37" s="15" t="n"/>
      <c r="K37" s="15" t="n"/>
      <c r="L37" s="15" t="n"/>
      <c r="M37" s="15" t="n"/>
      <c r="N37" s="16">
        <f>IF(OR(H37="",M37=""),"",IF(H37=M37,"Concorda","DIVERGE → Comitê"))</f>
        <v/>
      </c>
      <c r="O37" s="16">
        <f>IF(L37="","",IF(L37&lt;&gt;F37,"Sim","NÃO"))</f>
        <v/>
      </c>
    </row>
    <row r="38">
      <c r="A38" s="15" t="n"/>
      <c r="B38" s="15" t="n"/>
      <c r="C38" s="15" t="n"/>
      <c r="D38" s="15" t="n"/>
      <c r="E38" s="15" t="n"/>
      <c r="F38" s="15" t="n"/>
      <c r="G38" s="18" t="n"/>
      <c r="H38" s="15" t="n"/>
      <c r="I38" s="15" t="n"/>
      <c r="J38" s="15" t="n"/>
      <c r="K38" s="15" t="n"/>
      <c r="L38" s="15" t="n"/>
      <c r="M38" s="15" t="n"/>
      <c r="N38" s="16">
        <f>IF(OR(H38="",M38=""),"",IF(H38=M38,"Concorda","DIVERGE → Comitê"))</f>
        <v/>
      </c>
      <c r="O38" s="16">
        <f>IF(L38="","",IF(L38&lt;&gt;F38,"Sim","NÃO"))</f>
        <v/>
      </c>
    </row>
    <row r="39">
      <c r="A39" s="15" t="n"/>
      <c r="B39" s="15" t="n"/>
      <c r="C39" s="15" t="n"/>
      <c r="D39" s="15" t="n"/>
      <c r="E39" s="15" t="n"/>
      <c r="F39" s="15" t="n"/>
      <c r="G39" s="18" t="n"/>
      <c r="H39" s="15" t="n"/>
      <c r="I39" s="15" t="n"/>
      <c r="J39" s="15" t="n"/>
      <c r="K39" s="15" t="n"/>
      <c r="L39" s="15" t="n"/>
      <c r="M39" s="15" t="n"/>
      <c r="N39" s="16">
        <f>IF(OR(H39="",M39=""),"",IF(H39=M39,"Concorda","DIVERGE → Comitê"))</f>
        <v/>
      </c>
      <c r="O39" s="16">
        <f>IF(L39="","",IF(L39&lt;&gt;F39,"Sim","NÃO"))</f>
        <v/>
      </c>
    </row>
    <row r="40">
      <c r="A40" s="15" t="n"/>
      <c r="B40" s="15" t="n"/>
      <c r="C40" s="15" t="n"/>
      <c r="D40" s="15" t="n"/>
      <c r="E40" s="15" t="n"/>
      <c r="F40" s="15" t="n"/>
      <c r="G40" s="18" t="n"/>
      <c r="H40" s="15" t="n"/>
      <c r="I40" s="15" t="n"/>
      <c r="J40" s="15" t="n"/>
      <c r="K40" s="15" t="n"/>
      <c r="L40" s="15" t="n"/>
      <c r="M40" s="15" t="n"/>
      <c r="N40" s="16">
        <f>IF(OR(H40="",M40=""),"",IF(H40=M40,"Concorda","DIVERGE → Comitê"))</f>
        <v/>
      </c>
      <c r="O40" s="16">
        <f>IF(L40="","",IF(L40&lt;&gt;F40,"Sim","NÃO"))</f>
        <v/>
      </c>
    </row>
    <row r="41">
      <c r="A41" s="15" t="n"/>
      <c r="B41" s="15" t="n"/>
      <c r="C41" s="15" t="n"/>
      <c r="D41" s="15" t="n"/>
      <c r="E41" s="15" t="n"/>
      <c r="F41" s="15" t="n"/>
      <c r="G41" s="18" t="n"/>
      <c r="H41" s="15" t="n"/>
      <c r="I41" s="15" t="n"/>
      <c r="J41" s="15" t="n"/>
      <c r="K41" s="15" t="n"/>
      <c r="L41" s="15" t="n"/>
      <c r="M41" s="15" t="n"/>
      <c r="N41" s="16">
        <f>IF(OR(H41="",M41=""),"",IF(H41=M41,"Concorda","DIVERGE → Comitê"))</f>
        <v/>
      </c>
      <c r="O41" s="16">
        <f>IF(L41="","",IF(L41&lt;&gt;F41,"Sim","NÃO"))</f>
        <v/>
      </c>
    </row>
    <row r="42">
      <c r="A42" s="15" t="n"/>
      <c r="B42" s="15" t="n"/>
      <c r="C42" s="15" t="n"/>
      <c r="D42" s="15" t="n"/>
      <c r="E42" s="15" t="n"/>
      <c r="F42" s="15" t="n"/>
      <c r="G42" s="18" t="n"/>
      <c r="H42" s="15" t="n"/>
      <c r="I42" s="15" t="n"/>
      <c r="J42" s="15" t="n"/>
      <c r="K42" s="15" t="n"/>
      <c r="L42" s="15" t="n"/>
      <c r="M42" s="15" t="n"/>
      <c r="N42" s="16">
        <f>IF(OR(H42="",M42=""),"",IF(H42=M42,"Concorda","DIVERGE → Comitê"))</f>
        <v/>
      </c>
      <c r="O42" s="16">
        <f>IF(L42="","",IF(L42&lt;&gt;F42,"Sim","NÃO"))</f>
        <v/>
      </c>
    </row>
    <row r="43">
      <c r="A43" s="15" t="n"/>
      <c r="B43" s="15" t="n"/>
      <c r="C43" s="15" t="n"/>
      <c r="D43" s="15" t="n"/>
      <c r="E43" s="15" t="n"/>
      <c r="F43" s="15" t="n"/>
      <c r="G43" s="18" t="n"/>
      <c r="H43" s="15" t="n"/>
      <c r="I43" s="15" t="n"/>
      <c r="J43" s="15" t="n"/>
      <c r="K43" s="15" t="n"/>
      <c r="L43" s="15" t="n"/>
      <c r="M43" s="15" t="n"/>
      <c r="N43" s="16">
        <f>IF(OR(H43="",M43=""),"",IF(H43=M43,"Concorda","DIVERGE → Comitê"))</f>
        <v/>
      </c>
      <c r="O43" s="16">
        <f>IF(L43="","",IF(L43&lt;&gt;F43,"Sim","NÃO"))</f>
        <v/>
      </c>
    </row>
    <row r="44">
      <c r="A44" s="15" t="n"/>
      <c r="B44" s="15" t="n"/>
      <c r="C44" s="15" t="n"/>
      <c r="D44" s="15" t="n"/>
      <c r="E44" s="15" t="n"/>
      <c r="F44" s="15" t="n"/>
      <c r="G44" s="18" t="n"/>
      <c r="H44" s="15" t="n"/>
      <c r="I44" s="15" t="n"/>
      <c r="J44" s="15" t="n"/>
      <c r="K44" s="15" t="n"/>
      <c r="L44" s="15" t="n"/>
      <c r="M44" s="15" t="n"/>
      <c r="N44" s="16">
        <f>IF(OR(H44="",M44=""),"",IF(H44=M44,"Concorda","DIVERGE → Comitê"))</f>
        <v/>
      </c>
      <c r="O44" s="16">
        <f>IF(L44="","",IF(L44&lt;&gt;F44,"Sim","NÃO"))</f>
        <v/>
      </c>
    </row>
    <row r="45">
      <c r="A45" s="15" t="n"/>
      <c r="B45" s="15" t="n"/>
      <c r="C45" s="15" t="n"/>
      <c r="D45" s="15" t="n"/>
      <c r="E45" s="15" t="n"/>
      <c r="F45" s="15" t="n"/>
      <c r="G45" s="18" t="n"/>
      <c r="H45" s="15" t="n"/>
      <c r="I45" s="15" t="n"/>
      <c r="J45" s="15" t="n"/>
      <c r="K45" s="15" t="n"/>
      <c r="L45" s="15" t="n"/>
      <c r="M45" s="15" t="n"/>
      <c r="N45" s="16">
        <f>IF(OR(H45="",M45=""),"",IF(H45=M45,"Concorda","DIVERGE → Comitê"))</f>
        <v/>
      </c>
      <c r="O45" s="16">
        <f>IF(L45="","",IF(L45&lt;&gt;F45,"Sim","NÃO"))</f>
        <v/>
      </c>
    </row>
    <row r="46">
      <c r="A46" s="15" t="n"/>
      <c r="B46" s="15" t="n"/>
      <c r="C46" s="15" t="n"/>
      <c r="D46" s="15" t="n"/>
      <c r="E46" s="15" t="n"/>
      <c r="F46" s="15" t="n"/>
      <c r="G46" s="18" t="n"/>
      <c r="H46" s="15" t="n"/>
      <c r="I46" s="15" t="n"/>
      <c r="J46" s="15" t="n"/>
      <c r="K46" s="15" t="n"/>
      <c r="L46" s="15" t="n"/>
      <c r="M46" s="15" t="n"/>
      <c r="N46" s="16">
        <f>IF(OR(H46="",M46=""),"",IF(H46=M46,"Concorda","DIVERGE → Comitê"))</f>
        <v/>
      </c>
      <c r="O46" s="16">
        <f>IF(L46="","",IF(L46&lt;&gt;F46,"Sim","NÃO"))</f>
        <v/>
      </c>
    </row>
    <row r="47">
      <c r="A47" s="15" t="n"/>
      <c r="B47" s="15" t="n"/>
      <c r="C47" s="15" t="n"/>
      <c r="D47" s="15" t="n"/>
      <c r="E47" s="15" t="n"/>
      <c r="F47" s="15" t="n"/>
      <c r="G47" s="18" t="n"/>
      <c r="H47" s="15" t="n"/>
      <c r="I47" s="15" t="n"/>
      <c r="J47" s="15" t="n"/>
      <c r="K47" s="15" t="n"/>
      <c r="L47" s="15" t="n"/>
      <c r="M47" s="15" t="n"/>
      <c r="N47" s="16">
        <f>IF(OR(H47="",M47=""),"",IF(H47=M47,"Concorda","DIVERGE → Comitê"))</f>
        <v/>
      </c>
      <c r="O47" s="16">
        <f>IF(L47="","",IF(L47&lt;&gt;F47,"Sim","NÃO"))</f>
        <v/>
      </c>
    </row>
    <row r="48">
      <c r="A48" s="15" t="n"/>
      <c r="B48" s="15" t="n"/>
      <c r="C48" s="15" t="n"/>
      <c r="D48" s="15" t="n"/>
      <c r="E48" s="15" t="n"/>
      <c r="F48" s="15" t="n"/>
      <c r="G48" s="18" t="n"/>
      <c r="H48" s="15" t="n"/>
      <c r="I48" s="15" t="n"/>
      <c r="J48" s="15" t="n"/>
      <c r="K48" s="15" t="n"/>
      <c r="L48" s="15" t="n"/>
      <c r="M48" s="15" t="n"/>
      <c r="N48" s="16">
        <f>IF(OR(H48="",M48=""),"",IF(H48=M48,"Concorda","DIVERGE → Comitê"))</f>
        <v/>
      </c>
      <c r="O48" s="16">
        <f>IF(L48="","",IF(L48&lt;&gt;F48,"Sim","NÃO"))</f>
        <v/>
      </c>
    </row>
    <row r="49">
      <c r="A49" s="15" t="n"/>
      <c r="B49" s="15" t="n"/>
      <c r="C49" s="15" t="n"/>
      <c r="D49" s="15" t="n"/>
      <c r="E49" s="15" t="n"/>
      <c r="F49" s="15" t="n"/>
      <c r="G49" s="18" t="n"/>
      <c r="H49" s="15" t="n"/>
      <c r="I49" s="15" t="n"/>
      <c r="J49" s="15" t="n"/>
      <c r="K49" s="15" t="n"/>
      <c r="L49" s="15" t="n"/>
      <c r="M49" s="15" t="n"/>
      <c r="N49" s="16">
        <f>IF(OR(H49="",M49=""),"",IF(H49=M49,"Concorda","DIVERGE → Comitê"))</f>
        <v/>
      </c>
      <c r="O49" s="16">
        <f>IF(L49="","",IF(L49&lt;&gt;F49,"Sim","NÃO"))</f>
        <v/>
      </c>
    </row>
    <row r="50">
      <c r="A50" s="15" t="n"/>
      <c r="B50" s="15" t="n"/>
      <c r="C50" s="15" t="n"/>
      <c r="D50" s="15" t="n"/>
      <c r="E50" s="15" t="n"/>
      <c r="F50" s="15" t="n"/>
      <c r="G50" s="18" t="n"/>
      <c r="H50" s="15" t="n"/>
      <c r="I50" s="15" t="n"/>
      <c r="J50" s="15" t="n"/>
      <c r="K50" s="15" t="n"/>
      <c r="L50" s="15" t="n"/>
      <c r="M50" s="15" t="n"/>
      <c r="N50" s="16">
        <f>IF(OR(H50="",M50=""),"",IF(H50=M50,"Concorda","DIVERGE → Comitê"))</f>
        <v/>
      </c>
      <c r="O50" s="16">
        <f>IF(L50="","",IF(L50&lt;&gt;F50,"Sim","NÃO"))</f>
        <v/>
      </c>
    </row>
    <row r="51">
      <c r="A51" s="15" t="n"/>
      <c r="B51" s="15" t="n"/>
      <c r="C51" s="15" t="n"/>
      <c r="D51" s="15" t="n"/>
      <c r="E51" s="15" t="n"/>
      <c r="F51" s="15" t="n"/>
      <c r="G51" s="18" t="n"/>
      <c r="H51" s="15" t="n"/>
      <c r="I51" s="15" t="n"/>
      <c r="J51" s="15" t="n"/>
      <c r="K51" s="15" t="n"/>
      <c r="L51" s="15" t="n"/>
      <c r="M51" s="15" t="n"/>
      <c r="N51" s="16">
        <f>IF(OR(H51="",M51=""),"",IF(H51=M51,"Concorda","DIVERGE → Comitê"))</f>
        <v/>
      </c>
      <c r="O51" s="16">
        <f>IF(L51="","",IF(L51&lt;&gt;F51,"Sim","NÃO"))</f>
        <v/>
      </c>
    </row>
    <row r="52">
      <c r="A52" s="15" t="n"/>
      <c r="B52" s="15" t="n"/>
      <c r="C52" s="15" t="n"/>
      <c r="D52" s="15" t="n"/>
      <c r="E52" s="15" t="n"/>
      <c r="F52" s="15" t="n"/>
      <c r="G52" s="18" t="n"/>
      <c r="H52" s="15" t="n"/>
      <c r="I52" s="15" t="n"/>
      <c r="J52" s="15" t="n"/>
      <c r="K52" s="15" t="n"/>
      <c r="L52" s="15" t="n"/>
      <c r="M52" s="15" t="n"/>
      <c r="N52" s="16">
        <f>IF(OR(H52="",M52=""),"",IF(H52=M52,"Concorda","DIVERGE → Comitê"))</f>
        <v/>
      </c>
      <c r="O52" s="16">
        <f>IF(L52="","",IF(L52&lt;&gt;F52,"Sim","NÃO"))</f>
        <v/>
      </c>
    </row>
    <row r="53">
      <c r="A53" s="15" t="n"/>
      <c r="B53" s="15" t="n"/>
      <c r="C53" s="15" t="n"/>
      <c r="D53" s="15" t="n"/>
      <c r="E53" s="15" t="n"/>
      <c r="F53" s="15" t="n"/>
      <c r="G53" s="18" t="n"/>
      <c r="H53" s="15" t="n"/>
      <c r="I53" s="15" t="n"/>
      <c r="J53" s="15" t="n"/>
      <c r="K53" s="15" t="n"/>
      <c r="L53" s="15" t="n"/>
      <c r="M53" s="15" t="n"/>
      <c r="N53" s="16">
        <f>IF(OR(H53="",M53=""),"",IF(H53=M53,"Concorda","DIVERGE → Comitê"))</f>
        <v/>
      </c>
      <c r="O53" s="16">
        <f>IF(L53="","",IF(L53&lt;&gt;F53,"Sim","NÃO"))</f>
        <v/>
      </c>
    </row>
    <row r="54">
      <c r="A54" s="15" t="n"/>
      <c r="B54" s="15" t="n"/>
      <c r="C54" s="15" t="n"/>
      <c r="D54" s="15" t="n"/>
      <c r="E54" s="15" t="n"/>
      <c r="F54" s="15" t="n"/>
      <c r="G54" s="18" t="n"/>
      <c r="H54" s="15" t="n"/>
      <c r="I54" s="15" t="n"/>
      <c r="J54" s="15" t="n"/>
      <c r="K54" s="15" t="n"/>
      <c r="L54" s="15" t="n"/>
      <c r="M54" s="15" t="n"/>
      <c r="N54" s="16">
        <f>IF(OR(H54="",M54=""),"",IF(H54=M54,"Concorda","DIVERGE → Comitê"))</f>
        <v/>
      </c>
      <c r="O54" s="16">
        <f>IF(L54="","",IF(L54&lt;&gt;F54,"Sim","NÃO"))</f>
        <v/>
      </c>
    </row>
    <row r="55">
      <c r="A55" s="15" t="n"/>
      <c r="B55" s="15" t="n"/>
      <c r="C55" s="15" t="n"/>
      <c r="D55" s="15" t="n"/>
      <c r="E55" s="15" t="n"/>
      <c r="F55" s="15" t="n"/>
      <c r="G55" s="18" t="n"/>
      <c r="H55" s="15" t="n"/>
      <c r="I55" s="15" t="n"/>
      <c r="J55" s="15" t="n"/>
      <c r="K55" s="15" t="n"/>
      <c r="L55" s="15" t="n"/>
      <c r="M55" s="15" t="n"/>
      <c r="N55" s="16">
        <f>IF(OR(H55="",M55=""),"",IF(H55=M55,"Concorda","DIVERGE → Comitê"))</f>
        <v/>
      </c>
      <c r="O55" s="16">
        <f>IF(L55="","",IF(L55&lt;&gt;F55,"Sim","NÃO"))</f>
        <v/>
      </c>
    </row>
    <row r="56">
      <c r="A56" s="15" t="n"/>
      <c r="B56" s="15" t="n"/>
      <c r="C56" s="15" t="n"/>
      <c r="D56" s="15" t="n"/>
      <c r="E56" s="15" t="n"/>
      <c r="F56" s="15" t="n"/>
      <c r="G56" s="18" t="n"/>
      <c r="H56" s="15" t="n"/>
      <c r="I56" s="15" t="n"/>
      <c r="J56" s="15" t="n"/>
      <c r="K56" s="15" t="n"/>
      <c r="L56" s="15" t="n"/>
      <c r="M56" s="15" t="n"/>
      <c r="N56" s="16">
        <f>IF(OR(H56="",M56=""),"",IF(H56=M56,"Concorda","DIVERGE → Comitê"))</f>
        <v/>
      </c>
      <c r="O56" s="16">
        <f>IF(L56="","",IF(L56&lt;&gt;F56,"Sim","NÃO"))</f>
        <v/>
      </c>
    </row>
    <row r="57">
      <c r="A57" s="15" t="n"/>
      <c r="B57" s="15" t="n"/>
      <c r="C57" s="15" t="n"/>
      <c r="D57" s="15" t="n"/>
      <c r="E57" s="15" t="n"/>
      <c r="F57" s="15" t="n"/>
      <c r="G57" s="18" t="n"/>
      <c r="H57" s="15" t="n"/>
      <c r="I57" s="15" t="n"/>
      <c r="J57" s="15" t="n"/>
      <c r="K57" s="15" t="n"/>
      <c r="L57" s="15" t="n"/>
      <c r="M57" s="15" t="n"/>
      <c r="N57" s="16">
        <f>IF(OR(H57="",M57=""),"",IF(H57=M57,"Concorda","DIVERGE → Comitê"))</f>
        <v/>
      </c>
      <c r="O57" s="16">
        <f>IF(L57="","",IF(L57&lt;&gt;F57,"Sim","NÃO"))</f>
        <v/>
      </c>
    </row>
    <row r="58">
      <c r="A58" s="15" t="n"/>
      <c r="B58" s="15" t="n"/>
      <c r="C58" s="15" t="n"/>
      <c r="D58" s="15" t="n"/>
      <c r="E58" s="15" t="n"/>
      <c r="F58" s="15" t="n"/>
      <c r="G58" s="18" t="n"/>
      <c r="H58" s="15" t="n"/>
      <c r="I58" s="15" t="n"/>
      <c r="J58" s="15" t="n"/>
      <c r="K58" s="15" t="n"/>
      <c r="L58" s="15" t="n"/>
      <c r="M58" s="15" t="n"/>
      <c r="N58" s="16">
        <f>IF(OR(H58="",M58=""),"",IF(H58=M58,"Concorda","DIVERGE → Comitê"))</f>
        <v/>
      </c>
      <c r="O58" s="16">
        <f>IF(L58="","",IF(L58&lt;&gt;F58,"Sim","NÃO"))</f>
        <v/>
      </c>
    </row>
    <row r="59">
      <c r="A59" s="15" t="n"/>
      <c r="B59" s="15" t="n"/>
      <c r="C59" s="15" t="n"/>
      <c r="D59" s="15" t="n"/>
      <c r="E59" s="15" t="n"/>
      <c r="F59" s="15" t="n"/>
      <c r="G59" s="18" t="n"/>
      <c r="H59" s="15" t="n"/>
      <c r="I59" s="15" t="n"/>
      <c r="J59" s="15" t="n"/>
      <c r="K59" s="15" t="n"/>
      <c r="L59" s="15" t="n"/>
      <c r="M59" s="15" t="n"/>
      <c r="N59" s="16">
        <f>IF(OR(H59="",M59=""),"",IF(H59=M59,"Concorda","DIVERGE → Comitê"))</f>
        <v/>
      </c>
      <c r="O59" s="16">
        <f>IF(L59="","",IF(L59&lt;&gt;F59,"Sim","NÃO"))</f>
        <v/>
      </c>
    </row>
    <row r="60">
      <c r="A60" s="15" t="n"/>
      <c r="B60" s="15" t="n"/>
      <c r="C60" s="15" t="n"/>
      <c r="D60" s="15" t="n"/>
      <c r="E60" s="15" t="n"/>
      <c r="F60" s="15" t="n"/>
      <c r="G60" s="18" t="n"/>
      <c r="H60" s="15" t="n"/>
      <c r="I60" s="15" t="n"/>
      <c r="J60" s="15" t="n"/>
      <c r="K60" s="15" t="n"/>
      <c r="L60" s="15" t="n"/>
      <c r="M60" s="15" t="n"/>
      <c r="N60" s="16">
        <f>IF(OR(H60="",M60=""),"",IF(H60=M60,"Concorda","DIVERGE → Comitê"))</f>
        <v/>
      </c>
      <c r="O60" s="16">
        <f>IF(L60="","",IF(L60&lt;&gt;F60,"Sim","NÃO"))</f>
        <v/>
      </c>
    </row>
    <row r="61">
      <c r="A61" s="15" t="n"/>
      <c r="B61" s="15" t="n"/>
      <c r="C61" s="15" t="n"/>
      <c r="D61" s="15" t="n"/>
      <c r="E61" s="15" t="n"/>
      <c r="F61" s="15" t="n"/>
      <c r="G61" s="18" t="n"/>
      <c r="H61" s="15" t="n"/>
      <c r="I61" s="15" t="n"/>
      <c r="J61" s="15" t="n"/>
      <c r="K61" s="15" t="n"/>
      <c r="L61" s="15" t="n"/>
      <c r="M61" s="15" t="n"/>
      <c r="N61" s="16">
        <f>IF(OR(H61="",M61=""),"",IF(H61=M61,"Concorda","DIVERGE → Comitê"))</f>
        <v/>
      </c>
      <c r="O61" s="16">
        <f>IF(L61="","",IF(L61&lt;&gt;F61,"Sim","NÃO"))</f>
        <v/>
      </c>
    </row>
    <row r="62">
      <c r="A62" s="15" t="n"/>
      <c r="B62" s="15" t="n"/>
      <c r="C62" s="15" t="n"/>
      <c r="D62" s="15" t="n"/>
      <c r="E62" s="15" t="n"/>
      <c r="F62" s="15" t="n"/>
      <c r="G62" s="18" t="n"/>
      <c r="H62" s="15" t="n"/>
      <c r="I62" s="15" t="n"/>
      <c r="J62" s="15" t="n"/>
      <c r="K62" s="15" t="n"/>
      <c r="L62" s="15" t="n"/>
      <c r="M62" s="15" t="n"/>
      <c r="N62" s="16">
        <f>IF(OR(H62="",M62=""),"",IF(H62=M62,"Concorda","DIVERGE → Comitê"))</f>
        <v/>
      </c>
      <c r="O62" s="16">
        <f>IF(L62="","",IF(L62&lt;&gt;F62,"Sim","NÃO"))</f>
        <v/>
      </c>
    </row>
    <row r="63">
      <c r="A63" s="15" t="n"/>
      <c r="B63" s="15" t="n"/>
      <c r="C63" s="15" t="n"/>
      <c r="D63" s="15" t="n"/>
      <c r="E63" s="15" t="n"/>
      <c r="F63" s="15" t="n"/>
      <c r="G63" s="18" t="n"/>
      <c r="H63" s="15" t="n"/>
      <c r="I63" s="15" t="n"/>
      <c r="J63" s="15" t="n"/>
      <c r="K63" s="15" t="n"/>
      <c r="L63" s="15" t="n"/>
      <c r="M63" s="15" t="n"/>
      <c r="N63" s="16">
        <f>IF(OR(H63="",M63=""),"",IF(H63=M63,"Concorda","DIVERGE → Comitê"))</f>
        <v/>
      </c>
      <c r="O63" s="16">
        <f>IF(L63="","",IF(L63&lt;&gt;F63,"Sim","NÃO"))</f>
        <v/>
      </c>
    </row>
    <row r="64">
      <c r="A64" s="15" t="n"/>
      <c r="B64" s="15" t="n"/>
      <c r="C64" s="15" t="n"/>
      <c r="D64" s="15" t="n"/>
      <c r="E64" s="15" t="n"/>
      <c r="F64" s="15" t="n"/>
      <c r="G64" s="18" t="n"/>
      <c r="H64" s="15" t="n"/>
      <c r="I64" s="15" t="n"/>
      <c r="J64" s="15" t="n"/>
      <c r="K64" s="15" t="n"/>
      <c r="L64" s="15" t="n"/>
      <c r="M64" s="15" t="n"/>
      <c r="N64" s="16">
        <f>IF(OR(H64="",M64=""),"",IF(H64=M64,"Concorda","DIVERGE → Comitê"))</f>
        <v/>
      </c>
      <c r="O64" s="16">
        <f>IF(L64="","",IF(L64&lt;&gt;F64,"Sim","NÃO"))</f>
        <v/>
      </c>
    </row>
    <row r="65">
      <c r="A65" s="15" t="n"/>
      <c r="B65" s="15" t="n"/>
      <c r="C65" s="15" t="n"/>
      <c r="D65" s="15" t="n"/>
      <c r="E65" s="15" t="n"/>
      <c r="F65" s="15" t="n"/>
      <c r="G65" s="18" t="n"/>
      <c r="H65" s="15" t="n"/>
      <c r="I65" s="15" t="n"/>
      <c r="J65" s="15" t="n"/>
      <c r="K65" s="15" t="n"/>
      <c r="L65" s="15" t="n"/>
      <c r="M65" s="15" t="n"/>
      <c r="N65" s="16">
        <f>IF(OR(H65="",M65=""),"",IF(H65=M65,"Concorda","DIVERGE → Comitê"))</f>
        <v/>
      </c>
      <c r="O65" s="16">
        <f>IF(L65="","",IF(L65&lt;&gt;F65,"Sim","NÃO"))</f>
        <v/>
      </c>
    </row>
    <row r="66">
      <c r="A66" s="15" t="n"/>
      <c r="B66" s="15" t="n"/>
      <c r="C66" s="15" t="n"/>
      <c r="D66" s="15" t="n"/>
      <c r="E66" s="15" t="n"/>
      <c r="F66" s="15" t="n"/>
      <c r="G66" s="18" t="n"/>
      <c r="H66" s="15" t="n"/>
      <c r="I66" s="15" t="n"/>
      <c r="J66" s="15" t="n"/>
      <c r="K66" s="15" t="n"/>
      <c r="L66" s="15" t="n"/>
      <c r="M66" s="15" t="n"/>
      <c r="N66" s="16">
        <f>IF(OR(H66="",M66=""),"",IF(H66=M66,"Concorda","DIVERGE → Comitê"))</f>
        <v/>
      </c>
      <c r="O66" s="16">
        <f>IF(L66="","",IF(L66&lt;&gt;F66,"Sim","NÃO"))</f>
        <v/>
      </c>
    </row>
    <row r="67">
      <c r="A67" s="15" t="n"/>
      <c r="B67" s="15" t="n"/>
      <c r="C67" s="15" t="n"/>
      <c r="D67" s="15" t="n"/>
      <c r="E67" s="15" t="n"/>
      <c r="F67" s="15" t="n"/>
      <c r="G67" s="18" t="n"/>
      <c r="H67" s="15" t="n"/>
      <c r="I67" s="15" t="n"/>
      <c r="J67" s="15" t="n"/>
      <c r="K67" s="15" t="n"/>
      <c r="L67" s="15" t="n"/>
      <c r="M67" s="15" t="n"/>
      <c r="N67" s="16">
        <f>IF(OR(H67="",M67=""),"",IF(H67=M67,"Concorda","DIVERGE → Comitê"))</f>
        <v/>
      </c>
      <c r="O67" s="16">
        <f>IF(L67="","",IF(L67&lt;&gt;F67,"Sim","NÃO"))</f>
        <v/>
      </c>
    </row>
    <row r="68">
      <c r="A68" s="15" t="n"/>
      <c r="B68" s="15" t="n"/>
      <c r="C68" s="15" t="n"/>
      <c r="D68" s="15" t="n"/>
      <c r="E68" s="15" t="n"/>
      <c r="F68" s="15" t="n"/>
      <c r="G68" s="18" t="n"/>
      <c r="H68" s="15" t="n"/>
      <c r="I68" s="15" t="n"/>
      <c r="J68" s="15" t="n"/>
      <c r="K68" s="15" t="n"/>
      <c r="L68" s="15" t="n"/>
      <c r="M68" s="15" t="n"/>
      <c r="N68" s="16">
        <f>IF(OR(H68="",M68=""),"",IF(H68=M68,"Concorda","DIVERGE → Comitê"))</f>
        <v/>
      </c>
      <c r="O68" s="16">
        <f>IF(L68="","",IF(L68&lt;&gt;F68,"Sim","NÃO"))</f>
        <v/>
      </c>
    </row>
    <row r="69">
      <c r="A69" s="15" t="n"/>
      <c r="B69" s="15" t="n"/>
      <c r="C69" s="15" t="n"/>
      <c r="D69" s="15" t="n"/>
      <c r="E69" s="15" t="n"/>
      <c r="F69" s="15" t="n"/>
      <c r="G69" s="18" t="n"/>
      <c r="H69" s="15" t="n"/>
      <c r="I69" s="15" t="n"/>
      <c r="J69" s="15" t="n"/>
      <c r="K69" s="15" t="n"/>
      <c r="L69" s="15" t="n"/>
      <c r="M69" s="15" t="n"/>
      <c r="N69" s="16">
        <f>IF(OR(H69="",M69=""),"",IF(H69=M69,"Concorda","DIVERGE → Comitê"))</f>
        <v/>
      </c>
      <c r="O69" s="16">
        <f>IF(L69="","",IF(L69&lt;&gt;F69,"Sim","NÃO"))</f>
        <v/>
      </c>
    </row>
    <row r="70">
      <c r="A70" s="15" t="n"/>
      <c r="B70" s="15" t="n"/>
      <c r="C70" s="15" t="n"/>
      <c r="D70" s="15" t="n"/>
      <c r="E70" s="15" t="n"/>
      <c r="F70" s="15" t="n"/>
      <c r="G70" s="18" t="n"/>
      <c r="H70" s="15" t="n"/>
      <c r="I70" s="15" t="n"/>
      <c r="J70" s="15" t="n"/>
      <c r="K70" s="15" t="n"/>
      <c r="L70" s="15" t="n"/>
      <c r="M70" s="15" t="n"/>
      <c r="N70" s="16">
        <f>IF(OR(H70="",M70=""),"",IF(H70=M70,"Concorda","DIVERGE → Comitê"))</f>
        <v/>
      </c>
      <c r="O70" s="16">
        <f>IF(L70="","",IF(L70&lt;&gt;F70,"Sim","NÃO"))</f>
        <v/>
      </c>
    </row>
    <row r="71">
      <c r="A71" s="15" t="n"/>
      <c r="B71" s="15" t="n"/>
      <c r="C71" s="15" t="n"/>
      <c r="D71" s="15" t="n"/>
      <c r="E71" s="15" t="n"/>
      <c r="F71" s="15" t="n"/>
      <c r="G71" s="18" t="n"/>
      <c r="H71" s="15" t="n"/>
      <c r="I71" s="15" t="n"/>
      <c r="J71" s="15" t="n"/>
      <c r="K71" s="15" t="n"/>
      <c r="L71" s="15" t="n"/>
      <c r="M71" s="15" t="n"/>
      <c r="N71" s="16">
        <f>IF(OR(H71="",M71=""),"",IF(H71=M71,"Concorda","DIVERGE → Comitê"))</f>
        <v/>
      </c>
      <c r="O71" s="16">
        <f>IF(L71="","",IF(L71&lt;&gt;F71,"Sim","NÃO"))</f>
        <v/>
      </c>
    </row>
    <row r="72">
      <c r="A72" s="15" t="n"/>
      <c r="B72" s="15" t="n"/>
      <c r="C72" s="15" t="n"/>
      <c r="D72" s="15" t="n"/>
      <c r="E72" s="15" t="n"/>
      <c r="F72" s="15" t="n"/>
      <c r="G72" s="18" t="n"/>
      <c r="H72" s="15" t="n"/>
      <c r="I72" s="15" t="n"/>
      <c r="J72" s="15" t="n"/>
      <c r="K72" s="15" t="n"/>
      <c r="L72" s="15" t="n"/>
      <c r="M72" s="15" t="n"/>
      <c r="N72" s="16">
        <f>IF(OR(H72="",M72=""),"",IF(H72=M72,"Concorda","DIVERGE → Comitê"))</f>
        <v/>
      </c>
      <c r="O72" s="16">
        <f>IF(L72="","",IF(L72&lt;&gt;F72,"Sim","NÃO"))</f>
        <v/>
      </c>
    </row>
    <row r="73">
      <c r="A73" s="15" t="n"/>
      <c r="B73" s="15" t="n"/>
      <c r="C73" s="15" t="n"/>
      <c r="D73" s="15" t="n"/>
      <c r="E73" s="15" t="n"/>
      <c r="F73" s="15" t="n"/>
      <c r="G73" s="18" t="n"/>
      <c r="H73" s="15" t="n"/>
      <c r="I73" s="15" t="n"/>
      <c r="J73" s="15" t="n"/>
      <c r="K73" s="15" t="n"/>
      <c r="L73" s="15" t="n"/>
      <c r="M73" s="15" t="n"/>
      <c r="N73" s="16">
        <f>IF(OR(H73="",M73=""),"",IF(H73=M73,"Concorda","DIVERGE → Comitê"))</f>
        <v/>
      </c>
      <c r="O73" s="16">
        <f>IF(L73="","",IF(L73&lt;&gt;F73,"Sim","NÃO"))</f>
        <v/>
      </c>
    </row>
    <row r="74">
      <c r="A74" s="15" t="n"/>
      <c r="B74" s="15" t="n"/>
      <c r="C74" s="15" t="n"/>
      <c r="D74" s="15" t="n"/>
      <c r="E74" s="15" t="n"/>
      <c r="F74" s="15" t="n"/>
      <c r="G74" s="18" t="n"/>
      <c r="H74" s="15" t="n"/>
      <c r="I74" s="15" t="n"/>
      <c r="J74" s="15" t="n"/>
      <c r="K74" s="15" t="n"/>
      <c r="L74" s="15" t="n"/>
      <c r="M74" s="15" t="n"/>
      <c r="N74" s="16">
        <f>IF(OR(H74="",M74=""),"",IF(H74=M74,"Concorda","DIVERGE → Comitê"))</f>
        <v/>
      </c>
      <c r="O74" s="16">
        <f>IF(L74="","",IF(L74&lt;&gt;F74,"Sim","NÃO"))</f>
        <v/>
      </c>
    </row>
    <row r="75">
      <c r="A75" s="15" t="n"/>
      <c r="B75" s="15" t="n"/>
      <c r="C75" s="15" t="n"/>
      <c r="D75" s="15" t="n"/>
      <c r="E75" s="15" t="n"/>
      <c r="F75" s="15" t="n"/>
      <c r="G75" s="18" t="n"/>
      <c r="H75" s="15" t="n"/>
      <c r="I75" s="15" t="n"/>
      <c r="J75" s="15" t="n"/>
      <c r="K75" s="15" t="n"/>
      <c r="L75" s="15" t="n"/>
      <c r="M75" s="15" t="n"/>
      <c r="N75" s="16">
        <f>IF(OR(H75="",M75=""),"",IF(H75=M75,"Concorda","DIVERGE → Comitê"))</f>
        <v/>
      </c>
      <c r="O75" s="16">
        <f>IF(L75="","",IF(L75&lt;&gt;F75,"Sim","NÃO"))</f>
        <v/>
      </c>
    </row>
    <row r="76">
      <c r="A76" s="15" t="n"/>
      <c r="B76" s="15" t="n"/>
      <c r="C76" s="15" t="n"/>
      <c r="D76" s="15" t="n"/>
      <c r="E76" s="15" t="n"/>
      <c r="F76" s="15" t="n"/>
      <c r="G76" s="18" t="n"/>
      <c r="H76" s="15" t="n"/>
      <c r="I76" s="15" t="n"/>
      <c r="J76" s="15" t="n"/>
      <c r="K76" s="15" t="n"/>
      <c r="L76" s="15" t="n"/>
      <c r="M76" s="15" t="n"/>
      <c r="N76" s="16">
        <f>IF(OR(H76="",M76=""),"",IF(H76=M76,"Concorda","DIVERGE → Comitê"))</f>
        <v/>
      </c>
      <c r="O76" s="16">
        <f>IF(L76="","",IF(L76&lt;&gt;F76,"Sim","NÃO"))</f>
        <v/>
      </c>
    </row>
    <row r="77">
      <c r="A77" s="15" t="n"/>
      <c r="B77" s="15" t="n"/>
      <c r="C77" s="15" t="n"/>
      <c r="D77" s="15" t="n"/>
      <c r="E77" s="15" t="n"/>
      <c r="F77" s="15" t="n"/>
      <c r="G77" s="18" t="n"/>
      <c r="H77" s="15" t="n"/>
      <c r="I77" s="15" t="n"/>
      <c r="J77" s="15" t="n"/>
      <c r="K77" s="15" t="n"/>
      <c r="L77" s="15" t="n"/>
      <c r="M77" s="15" t="n"/>
      <c r="N77" s="16">
        <f>IF(OR(H77="",M77=""),"",IF(H77=M77,"Concorda","DIVERGE → Comitê"))</f>
        <v/>
      </c>
      <c r="O77" s="16">
        <f>IF(L77="","",IF(L77&lt;&gt;F77,"Sim","NÃO"))</f>
        <v/>
      </c>
    </row>
    <row r="78">
      <c r="A78" s="15" t="n"/>
      <c r="B78" s="15" t="n"/>
      <c r="C78" s="15" t="n"/>
      <c r="D78" s="15" t="n"/>
      <c r="E78" s="15" t="n"/>
      <c r="F78" s="15" t="n"/>
      <c r="G78" s="18" t="n"/>
      <c r="H78" s="15" t="n"/>
      <c r="I78" s="15" t="n"/>
      <c r="J78" s="15" t="n"/>
      <c r="K78" s="15" t="n"/>
      <c r="L78" s="15" t="n"/>
      <c r="M78" s="15" t="n"/>
      <c r="N78" s="16">
        <f>IF(OR(H78="",M78=""),"",IF(H78=M78,"Concorda","DIVERGE → Comitê"))</f>
        <v/>
      </c>
      <c r="O78" s="16">
        <f>IF(L78="","",IF(L78&lt;&gt;F78,"Sim","NÃO"))</f>
        <v/>
      </c>
    </row>
    <row r="79">
      <c r="A79" s="15" t="n"/>
      <c r="B79" s="15" t="n"/>
      <c r="C79" s="15" t="n"/>
      <c r="D79" s="15" t="n"/>
      <c r="E79" s="15" t="n"/>
      <c r="F79" s="15" t="n"/>
      <c r="G79" s="18" t="n"/>
      <c r="H79" s="15" t="n"/>
      <c r="I79" s="15" t="n"/>
      <c r="J79" s="15" t="n"/>
      <c r="K79" s="15" t="n"/>
      <c r="L79" s="15" t="n"/>
      <c r="M79" s="15" t="n"/>
      <c r="N79" s="16">
        <f>IF(OR(H79="",M79=""),"",IF(H79=M79,"Concorda","DIVERGE → Comitê"))</f>
        <v/>
      </c>
      <c r="O79" s="16">
        <f>IF(L79="","",IF(L79&lt;&gt;F79,"Sim","NÃO"))</f>
        <v/>
      </c>
    </row>
    <row r="80">
      <c r="A80" s="15" t="n"/>
      <c r="B80" s="15" t="n"/>
      <c r="C80" s="15" t="n"/>
      <c r="D80" s="15" t="n"/>
      <c r="E80" s="15" t="n"/>
      <c r="F80" s="15" t="n"/>
      <c r="G80" s="18" t="n"/>
      <c r="H80" s="15" t="n"/>
      <c r="I80" s="15" t="n"/>
      <c r="J80" s="15" t="n"/>
      <c r="K80" s="15" t="n"/>
      <c r="L80" s="15" t="n"/>
      <c r="M80" s="15" t="n"/>
      <c r="N80" s="16">
        <f>IF(OR(H80="",M80=""),"",IF(H80=M80,"Concorda","DIVERGE → Comitê"))</f>
        <v/>
      </c>
      <c r="O80" s="16">
        <f>IF(L80="","",IF(L80&lt;&gt;F80,"Sim","NÃO"))</f>
        <v/>
      </c>
    </row>
    <row r="81">
      <c r="A81" s="15" t="n"/>
      <c r="B81" s="15" t="n"/>
      <c r="C81" s="15" t="n"/>
      <c r="D81" s="15" t="n"/>
      <c r="E81" s="15" t="n"/>
      <c r="F81" s="15" t="n"/>
      <c r="G81" s="18" t="n"/>
      <c r="H81" s="15" t="n"/>
      <c r="I81" s="15" t="n"/>
      <c r="J81" s="15" t="n"/>
      <c r="K81" s="15" t="n"/>
      <c r="L81" s="15" t="n"/>
      <c r="M81" s="15" t="n"/>
      <c r="N81" s="16">
        <f>IF(OR(H81="",M81=""),"",IF(H81=M81,"Concorda","DIVERGE → Comitê"))</f>
        <v/>
      </c>
      <c r="O81" s="16">
        <f>IF(L81="","",IF(L81&lt;&gt;F81,"Sim","NÃO"))</f>
        <v/>
      </c>
    </row>
    <row r="82">
      <c r="A82" s="15" t="n"/>
      <c r="B82" s="15" t="n"/>
      <c r="C82" s="15" t="n"/>
      <c r="D82" s="15" t="n"/>
      <c r="E82" s="15" t="n"/>
      <c r="F82" s="15" t="n"/>
      <c r="G82" s="18" t="n"/>
      <c r="H82" s="15" t="n"/>
      <c r="I82" s="15" t="n"/>
      <c r="J82" s="15" t="n"/>
      <c r="K82" s="15" t="n"/>
      <c r="L82" s="15" t="n"/>
      <c r="M82" s="15" t="n"/>
      <c r="N82" s="16">
        <f>IF(OR(H82="",M82=""),"",IF(H82=M82,"Concorda","DIVERGE → Comitê"))</f>
        <v/>
      </c>
      <c r="O82" s="16">
        <f>IF(L82="","",IF(L82&lt;&gt;F82,"Sim","NÃO"))</f>
        <v/>
      </c>
    </row>
    <row r="83">
      <c r="A83" s="15" t="n"/>
      <c r="B83" s="15" t="n"/>
      <c r="C83" s="15" t="n"/>
      <c r="D83" s="15" t="n"/>
      <c r="E83" s="15" t="n"/>
      <c r="F83" s="15" t="n"/>
      <c r="G83" s="18" t="n"/>
      <c r="H83" s="15" t="n"/>
      <c r="I83" s="15" t="n"/>
      <c r="J83" s="15" t="n"/>
      <c r="K83" s="15" t="n"/>
      <c r="L83" s="15" t="n"/>
      <c r="M83" s="15" t="n"/>
      <c r="N83" s="16">
        <f>IF(OR(H83="",M83=""),"",IF(H83=M83,"Concorda","DIVERGE → Comitê"))</f>
        <v/>
      </c>
      <c r="O83" s="16">
        <f>IF(L83="","",IF(L83&lt;&gt;F83,"Sim","NÃO"))</f>
        <v/>
      </c>
    </row>
    <row r="84">
      <c r="A84" s="15" t="n"/>
      <c r="B84" s="15" t="n"/>
      <c r="C84" s="15" t="n"/>
      <c r="D84" s="15" t="n"/>
      <c r="E84" s="15" t="n"/>
      <c r="F84" s="15" t="n"/>
      <c r="G84" s="18" t="n"/>
      <c r="H84" s="15" t="n"/>
      <c r="I84" s="15" t="n"/>
      <c r="J84" s="15" t="n"/>
      <c r="K84" s="15" t="n"/>
      <c r="L84" s="15" t="n"/>
      <c r="M84" s="15" t="n"/>
      <c r="N84" s="16">
        <f>IF(OR(H84="",M84=""),"",IF(H84=M84,"Concorda","DIVERGE → Comitê"))</f>
        <v/>
      </c>
      <c r="O84" s="16">
        <f>IF(L84="","",IF(L84&lt;&gt;F84,"Sim","NÃO"))</f>
        <v/>
      </c>
    </row>
    <row r="85">
      <c r="A85" s="15" t="n"/>
      <c r="B85" s="15" t="n"/>
      <c r="C85" s="15" t="n"/>
      <c r="D85" s="15" t="n"/>
      <c r="E85" s="15" t="n"/>
      <c r="F85" s="15" t="n"/>
      <c r="G85" s="18" t="n"/>
      <c r="H85" s="15" t="n"/>
      <c r="I85" s="15" t="n"/>
      <c r="J85" s="15" t="n"/>
      <c r="K85" s="15" t="n"/>
      <c r="L85" s="15" t="n"/>
      <c r="M85" s="15" t="n"/>
      <c r="N85" s="16">
        <f>IF(OR(H85="",M85=""),"",IF(H85=M85,"Concorda","DIVERGE → Comitê"))</f>
        <v/>
      </c>
      <c r="O85" s="16">
        <f>IF(L85="","",IF(L85&lt;&gt;F85,"Sim","NÃO"))</f>
        <v/>
      </c>
    </row>
    <row r="86">
      <c r="A86" s="15" t="n"/>
      <c r="B86" s="15" t="n"/>
      <c r="C86" s="15" t="n"/>
      <c r="D86" s="15" t="n"/>
      <c r="E86" s="15" t="n"/>
      <c r="F86" s="15" t="n"/>
      <c r="G86" s="18" t="n"/>
      <c r="H86" s="15" t="n"/>
      <c r="I86" s="15" t="n"/>
      <c r="J86" s="15" t="n"/>
      <c r="K86" s="15" t="n"/>
      <c r="L86" s="15" t="n"/>
      <c r="M86" s="15" t="n"/>
      <c r="N86" s="16">
        <f>IF(OR(H86="",M86=""),"",IF(H86=M86,"Concorda","DIVERGE → Comitê"))</f>
        <v/>
      </c>
      <c r="O86" s="16">
        <f>IF(L86="","",IF(L86&lt;&gt;F86,"Sim","NÃO"))</f>
        <v/>
      </c>
    </row>
    <row r="87">
      <c r="A87" s="15" t="n"/>
      <c r="B87" s="15" t="n"/>
      <c r="C87" s="15" t="n"/>
      <c r="D87" s="15" t="n"/>
      <c r="E87" s="15" t="n"/>
      <c r="F87" s="15" t="n"/>
      <c r="G87" s="18" t="n"/>
      <c r="H87" s="15" t="n"/>
      <c r="I87" s="15" t="n"/>
      <c r="J87" s="15" t="n"/>
      <c r="K87" s="15" t="n"/>
      <c r="L87" s="15" t="n"/>
      <c r="M87" s="15" t="n"/>
      <c r="N87" s="16">
        <f>IF(OR(H87="",M87=""),"",IF(H87=M87,"Concorda","DIVERGE → Comitê"))</f>
        <v/>
      </c>
      <c r="O87" s="16">
        <f>IF(L87="","",IF(L87&lt;&gt;F87,"Sim","NÃO"))</f>
        <v/>
      </c>
    </row>
    <row r="88">
      <c r="A88" s="15" t="n"/>
      <c r="B88" s="15" t="n"/>
      <c r="C88" s="15" t="n"/>
      <c r="D88" s="15" t="n"/>
      <c r="E88" s="15" t="n"/>
      <c r="F88" s="15" t="n"/>
      <c r="G88" s="18" t="n"/>
      <c r="H88" s="15" t="n"/>
      <c r="I88" s="15" t="n"/>
      <c r="J88" s="15" t="n"/>
      <c r="K88" s="15" t="n"/>
      <c r="L88" s="15" t="n"/>
      <c r="M88" s="15" t="n"/>
      <c r="N88" s="16">
        <f>IF(OR(H88="",M88=""),"",IF(H88=M88,"Concorda","DIVERGE → Comitê"))</f>
        <v/>
      </c>
      <c r="O88" s="16">
        <f>IF(L88="","",IF(L88&lt;&gt;F88,"Sim","NÃO"))</f>
        <v/>
      </c>
    </row>
    <row r="89">
      <c r="A89" s="15" t="n"/>
      <c r="B89" s="15" t="n"/>
      <c r="C89" s="15" t="n"/>
      <c r="D89" s="15" t="n"/>
      <c r="E89" s="15" t="n"/>
      <c r="F89" s="15" t="n"/>
      <c r="G89" s="18" t="n"/>
      <c r="H89" s="15" t="n"/>
      <c r="I89" s="15" t="n"/>
      <c r="J89" s="15" t="n"/>
      <c r="K89" s="15" t="n"/>
      <c r="L89" s="15" t="n"/>
      <c r="M89" s="15" t="n"/>
      <c r="N89" s="16">
        <f>IF(OR(H89="",M89=""),"",IF(H89=M89,"Concorda","DIVERGE → Comitê"))</f>
        <v/>
      </c>
      <c r="O89" s="16">
        <f>IF(L89="","",IF(L89&lt;&gt;F89,"Sim","NÃO"))</f>
        <v/>
      </c>
    </row>
    <row r="90">
      <c r="A90" s="15" t="n"/>
      <c r="B90" s="15" t="n"/>
      <c r="C90" s="15" t="n"/>
      <c r="D90" s="15" t="n"/>
      <c r="E90" s="15" t="n"/>
      <c r="F90" s="15" t="n"/>
      <c r="G90" s="18" t="n"/>
      <c r="H90" s="15" t="n"/>
      <c r="I90" s="15" t="n"/>
      <c r="J90" s="15" t="n"/>
      <c r="K90" s="15" t="n"/>
      <c r="L90" s="15" t="n"/>
      <c r="M90" s="15" t="n"/>
      <c r="N90" s="16">
        <f>IF(OR(H90="",M90=""),"",IF(H90=M90,"Concorda","DIVERGE → Comitê"))</f>
        <v/>
      </c>
      <c r="O90" s="16">
        <f>IF(L90="","",IF(L90&lt;&gt;F90,"Sim","NÃO"))</f>
        <v/>
      </c>
    </row>
    <row r="91">
      <c r="A91" s="15" t="n"/>
      <c r="B91" s="15" t="n"/>
      <c r="C91" s="15" t="n"/>
      <c r="D91" s="15" t="n"/>
      <c r="E91" s="15" t="n"/>
      <c r="F91" s="15" t="n"/>
      <c r="G91" s="18" t="n"/>
      <c r="H91" s="15" t="n"/>
      <c r="I91" s="15" t="n"/>
      <c r="J91" s="15" t="n"/>
      <c r="K91" s="15" t="n"/>
      <c r="L91" s="15" t="n"/>
      <c r="M91" s="15" t="n"/>
      <c r="N91" s="16">
        <f>IF(OR(H91="",M91=""),"",IF(H91=M91,"Concorda","DIVERGE → Comitê"))</f>
        <v/>
      </c>
      <c r="O91" s="16">
        <f>IF(L91="","",IF(L91&lt;&gt;F91,"Sim","NÃO"))</f>
        <v/>
      </c>
    </row>
    <row r="92">
      <c r="A92" s="15" t="n"/>
      <c r="B92" s="15" t="n"/>
      <c r="C92" s="15" t="n"/>
      <c r="D92" s="15" t="n"/>
      <c r="E92" s="15" t="n"/>
      <c r="F92" s="15" t="n"/>
      <c r="G92" s="18" t="n"/>
      <c r="H92" s="15" t="n"/>
      <c r="I92" s="15" t="n"/>
      <c r="J92" s="15" t="n"/>
      <c r="K92" s="15" t="n"/>
      <c r="L92" s="15" t="n"/>
      <c r="M92" s="15" t="n"/>
      <c r="N92" s="16">
        <f>IF(OR(H92="",M92=""),"",IF(H92=M92,"Concorda","DIVERGE → Comitê"))</f>
        <v/>
      </c>
      <c r="O92" s="16">
        <f>IF(L92="","",IF(L92&lt;&gt;F92,"Sim","NÃO"))</f>
        <v/>
      </c>
    </row>
    <row r="93">
      <c r="A93" s="15" t="n"/>
      <c r="B93" s="15" t="n"/>
      <c r="C93" s="15" t="n"/>
      <c r="D93" s="15" t="n"/>
      <c r="E93" s="15" t="n"/>
      <c r="F93" s="15" t="n"/>
      <c r="G93" s="18" t="n"/>
      <c r="H93" s="15" t="n"/>
      <c r="I93" s="15" t="n"/>
      <c r="J93" s="15" t="n"/>
      <c r="K93" s="15" t="n"/>
      <c r="L93" s="15" t="n"/>
      <c r="M93" s="15" t="n"/>
      <c r="N93" s="16">
        <f>IF(OR(H93="",M93=""),"",IF(H93=M93,"Concorda","DIVERGE → Comitê"))</f>
        <v/>
      </c>
      <c r="O93" s="16">
        <f>IF(L93="","",IF(L93&lt;&gt;F93,"Sim","NÃO"))</f>
        <v/>
      </c>
    </row>
    <row r="94">
      <c r="A94" s="15" t="n"/>
      <c r="B94" s="15" t="n"/>
      <c r="C94" s="15" t="n"/>
      <c r="D94" s="15" t="n"/>
      <c r="E94" s="15" t="n"/>
      <c r="F94" s="15" t="n"/>
      <c r="G94" s="18" t="n"/>
      <c r="H94" s="15" t="n"/>
      <c r="I94" s="15" t="n"/>
      <c r="J94" s="15" t="n"/>
      <c r="K94" s="15" t="n"/>
      <c r="L94" s="15" t="n"/>
      <c r="M94" s="15" t="n"/>
      <c r="N94" s="16">
        <f>IF(OR(H94="",M94=""),"",IF(H94=M94,"Concorda","DIVERGE → Comitê"))</f>
        <v/>
      </c>
      <c r="O94" s="16">
        <f>IF(L94="","",IF(L94&lt;&gt;F94,"Sim","NÃO"))</f>
        <v/>
      </c>
    </row>
    <row r="95">
      <c r="A95" s="15" t="n"/>
      <c r="B95" s="15" t="n"/>
      <c r="C95" s="15" t="n"/>
      <c r="D95" s="15" t="n"/>
      <c r="E95" s="15" t="n"/>
      <c r="F95" s="15" t="n"/>
      <c r="G95" s="18" t="n"/>
      <c r="H95" s="15" t="n"/>
      <c r="I95" s="15" t="n"/>
      <c r="J95" s="15" t="n"/>
      <c r="K95" s="15" t="n"/>
      <c r="L95" s="15" t="n"/>
      <c r="M95" s="15" t="n"/>
      <c r="N95" s="16">
        <f>IF(OR(H95="",M95=""),"",IF(H95=M95,"Concorda","DIVERGE → Comitê"))</f>
        <v/>
      </c>
      <c r="O95" s="16">
        <f>IF(L95="","",IF(L95&lt;&gt;F95,"Sim","NÃO"))</f>
        <v/>
      </c>
    </row>
    <row r="96">
      <c r="A96" s="15" t="n"/>
      <c r="B96" s="15" t="n"/>
      <c r="C96" s="15" t="n"/>
      <c r="D96" s="15" t="n"/>
      <c r="E96" s="15" t="n"/>
      <c r="F96" s="15" t="n"/>
      <c r="G96" s="18" t="n"/>
      <c r="H96" s="15" t="n"/>
      <c r="I96" s="15" t="n"/>
      <c r="J96" s="15" t="n"/>
      <c r="K96" s="15" t="n"/>
      <c r="L96" s="15" t="n"/>
      <c r="M96" s="15" t="n"/>
      <c r="N96" s="16">
        <f>IF(OR(H96="",M96=""),"",IF(H96=M96,"Concorda","DIVERGE → Comitê"))</f>
        <v/>
      </c>
      <c r="O96" s="16">
        <f>IF(L96="","",IF(L96&lt;&gt;F96,"Sim","NÃO"))</f>
        <v/>
      </c>
    </row>
    <row r="97">
      <c r="A97" s="15" t="n"/>
      <c r="B97" s="15" t="n"/>
      <c r="C97" s="15" t="n"/>
      <c r="D97" s="15" t="n"/>
      <c r="E97" s="15" t="n"/>
      <c r="F97" s="15" t="n"/>
      <c r="G97" s="18" t="n"/>
      <c r="H97" s="15" t="n"/>
      <c r="I97" s="15" t="n"/>
      <c r="J97" s="15" t="n"/>
      <c r="K97" s="15" t="n"/>
      <c r="L97" s="15" t="n"/>
      <c r="M97" s="15" t="n"/>
      <c r="N97" s="16">
        <f>IF(OR(H97="",M97=""),"",IF(H97=M97,"Concorda","DIVERGE → Comitê"))</f>
        <v/>
      </c>
      <c r="O97" s="16">
        <f>IF(L97="","",IF(L97&lt;&gt;F97,"Sim","NÃO"))</f>
        <v/>
      </c>
    </row>
    <row r="98">
      <c r="A98" s="15" t="n"/>
      <c r="B98" s="15" t="n"/>
      <c r="C98" s="15" t="n"/>
      <c r="D98" s="15" t="n"/>
      <c r="E98" s="15" t="n"/>
      <c r="F98" s="15" t="n"/>
      <c r="G98" s="18" t="n"/>
      <c r="H98" s="15" t="n"/>
      <c r="I98" s="15" t="n"/>
      <c r="J98" s="15" t="n"/>
      <c r="K98" s="15" t="n"/>
      <c r="L98" s="15" t="n"/>
      <c r="M98" s="15" t="n"/>
      <c r="N98" s="16">
        <f>IF(OR(H98="",M98=""),"",IF(H98=M98,"Concorda","DIVERGE → Comitê"))</f>
        <v/>
      </c>
      <c r="O98" s="16">
        <f>IF(L98="","",IF(L98&lt;&gt;F98,"Sim","NÃO"))</f>
        <v/>
      </c>
    </row>
    <row r="99">
      <c r="A99" s="15" t="n"/>
      <c r="B99" s="15" t="n"/>
      <c r="C99" s="15" t="n"/>
      <c r="D99" s="15" t="n"/>
      <c r="E99" s="15" t="n"/>
      <c r="F99" s="15" t="n"/>
      <c r="G99" s="18" t="n"/>
      <c r="H99" s="15" t="n"/>
      <c r="I99" s="15" t="n"/>
      <c r="J99" s="15" t="n"/>
      <c r="K99" s="15" t="n"/>
      <c r="L99" s="15" t="n"/>
      <c r="M99" s="15" t="n"/>
      <c r="N99" s="16">
        <f>IF(OR(H99="",M99=""),"",IF(H99=M99,"Concorda","DIVERGE → Comitê"))</f>
        <v/>
      </c>
      <c r="O99" s="16">
        <f>IF(L99="","",IF(L99&lt;&gt;F99,"Sim","NÃO"))</f>
        <v/>
      </c>
    </row>
    <row r="100">
      <c r="A100" s="15" t="n"/>
      <c r="B100" s="15" t="n"/>
      <c r="C100" s="15" t="n"/>
      <c r="D100" s="15" t="n"/>
      <c r="E100" s="15" t="n"/>
      <c r="F100" s="15" t="n"/>
      <c r="G100" s="18" t="n"/>
      <c r="H100" s="15" t="n"/>
      <c r="I100" s="15" t="n"/>
      <c r="J100" s="15" t="n"/>
      <c r="K100" s="15" t="n"/>
      <c r="L100" s="15" t="n"/>
      <c r="M100" s="15" t="n"/>
      <c r="N100" s="16">
        <f>IF(OR(H100="",M100=""),"",IF(H100=M100,"Concorda","DIVERGE → Comitê"))</f>
        <v/>
      </c>
      <c r="O100" s="16">
        <f>IF(L100="","",IF(L100&lt;&gt;F100,"Sim","NÃO"))</f>
        <v/>
      </c>
    </row>
    <row r="101">
      <c r="A101" s="15" t="n"/>
      <c r="B101" s="15" t="n"/>
      <c r="C101" s="15" t="n"/>
      <c r="D101" s="15" t="n"/>
      <c r="E101" s="15" t="n"/>
      <c r="F101" s="15" t="n"/>
      <c r="G101" s="18" t="n"/>
      <c r="H101" s="15" t="n"/>
      <c r="I101" s="15" t="n"/>
      <c r="J101" s="15" t="n"/>
      <c r="K101" s="15" t="n"/>
      <c r="L101" s="15" t="n"/>
      <c r="M101" s="15" t="n"/>
      <c r="N101" s="16">
        <f>IF(OR(H101="",M101=""),"",IF(H101=M101,"Concorda","DIVERGE → Comitê"))</f>
        <v/>
      </c>
      <c r="O101" s="16">
        <f>IF(L101="","",IF(L101&lt;&gt;F101,"Sim","NÃO"))</f>
        <v/>
      </c>
    </row>
    <row r="102">
      <c r="A102" s="15" t="n"/>
      <c r="B102" s="15" t="n"/>
      <c r="C102" s="15" t="n"/>
      <c r="D102" s="15" t="n"/>
      <c r="E102" s="15" t="n"/>
      <c r="F102" s="15" t="n"/>
      <c r="G102" s="18" t="n"/>
      <c r="H102" s="15" t="n"/>
      <c r="I102" s="15" t="n"/>
      <c r="J102" s="15" t="n"/>
      <c r="K102" s="15" t="n"/>
      <c r="L102" s="15" t="n"/>
      <c r="M102" s="15" t="n"/>
      <c r="N102" s="16">
        <f>IF(OR(H102="",M102=""),"",IF(H102=M102,"Concorda","DIVERGE → Comitê"))</f>
        <v/>
      </c>
      <c r="O102" s="16">
        <f>IF(L102="","",IF(L102&lt;&gt;F102,"Sim","NÃO"))</f>
        <v/>
      </c>
    </row>
    <row r="103">
      <c r="A103" s="15" t="n"/>
      <c r="B103" s="15" t="n"/>
      <c r="C103" s="15" t="n"/>
      <c r="D103" s="15" t="n"/>
      <c r="E103" s="15" t="n"/>
      <c r="F103" s="15" t="n"/>
      <c r="G103" s="18" t="n"/>
      <c r="H103" s="15" t="n"/>
      <c r="I103" s="15" t="n"/>
      <c r="J103" s="15" t="n"/>
      <c r="K103" s="15" t="n"/>
      <c r="L103" s="15" t="n"/>
      <c r="M103" s="15" t="n"/>
      <c r="N103" s="16">
        <f>IF(OR(H103="",M103=""),"",IF(H103=M103,"Concorda","DIVERGE → Comitê"))</f>
        <v/>
      </c>
      <c r="O103" s="16">
        <f>IF(L103="","",IF(L103&lt;&gt;F103,"Sim","NÃO"))</f>
        <v/>
      </c>
    </row>
    <row r="104">
      <c r="A104" s="15" t="n"/>
      <c r="B104" s="15" t="n"/>
      <c r="C104" s="15" t="n"/>
      <c r="D104" s="15" t="n"/>
      <c r="E104" s="15" t="n"/>
      <c r="F104" s="15" t="n"/>
      <c r="G104" s="18" t="n"/>
      <c r="H104" s="15" t="n"/>
      <c r="I104" s="15" t="n"/>
      <c r="J104" s="15" t="n"/>
      <c r="K104" s="15" t="n"/>
      <c r="L104" s="15" t="n"/>
      <c r="M104" s="15" t="n"/>
      <c r="N104" s="16">
        <f>IF(OR(H104="",M104=""),"",IF(H104=M104,"Concorda","DIVERGE → Comitê"))</f>
        <v/>
      </c>
      <c r="O104" s="16">
        <f>IF(L104="","",IF(L104&lt;&gt;F104,"Sim","NÃO"))</f>
        <v/>
      </c>
    </row>
    <row r="105">
      <c r="A105" s="15" t="n"/>
      <c r="B105" s="15" t="n"/>
      <c r="C105" s="15" t="n"/>
      <c r="D105" s="15" t="n"/>
      <c r="E105" s="15" t="n"/>
      <c r="F105" s="15" t="n"/>
      <c r="G105" s="18" t="n"/>
      <c r="H105" s="15" t="n"/>
      <c r="I105" s="15" t="n"/>
      <c r="J105" s="15" t="n"/>
      <c r="K105" s="15" t="n"/>
      <c r="L105" s="15" t="n"/>
      <c r="M105" s="15" t="n"/>
      <c r="N105" s="16">
        <f>IF(OR(H105="",M105=""),"",IF(H105=M105,"Concorda","DIVERGE → Comitê"))</f>
        <v/>
      </c>
      <c r="O105" s="16">
        <f>IF(L105="","",IF(L105&lt;&gt;F105,"Sim","NÃO"))</f>
        <v/>
      </c>
    </row>
    <row r="106">
      <c r="A106" s="15" t="n"/>
      <c r="B106" s="15" t="n"/>
      <c r="C106" s="15" t="n"/>
      <c r="D106" s="15" t="n"/>
      <c r="E106" s="15" t="n"/>
      <c r="F106" s="15" t="n"/>
      <c r="G106" s="18" t="n"/>
      <c r="H106" s="15" t="n"/>
      <c r="I106" s="15" t="n"/>
      <c r="J106" s="15" t="n"/>
      <c r="K106" s="15" t="n"/>
      <c r="L106" s="15" t="n"/>
      <c r="M106" s="15" t="n"/>
      <c r="N106" s="16">
        <f>IF(OR(H106="",M106=""),"",IF(H106=M106,"Concorda","DIVERGE → Comitê"))</f>
        <v/>
      </c>
      <c r="O106" s="16">
        <f>IF(L106="","",IF(L106&lt;&gt;F106,"Sim","NÃO"))</f>
        <v/>
      </c>
    </row>
    <row r="107">
      <c r="A107" s="15" t="n"/>
      <c r="B107" s="15" t="n"/>
      <c r="C107" s="15" t="n"/>
      <c r="D107" s="15" t="n"/>
      <c r="E107" s="15" t="n"/>
      <c r="F107" s="15" t="n"/>
      <c r="G107" s="18" t="n"/>
      <c r="H107" s="15" t="n"/>
      <c r="I107" s="15" t="n"/>
      <c r="J107" s="15" t="n"/>
      <c r="K107" s="15" t="n"/>
      <c r="L107" s="15" t="n"/>
      <c r="M107" s="15" t="n"/>
      <c r="N107" s="16">
        <f>IF(OR(H107="",M107=""),"",IF(H107=M107,"Concorda","DIVERGE → Comitê"))</f>
        <v/>
      </c>
      <c r="O107" s="16">
        <f>IF(L107="","",IF(L107&lt;&gt;F107,"Sim","NÃO"))</f>
        <v/>
      </c>
    </row>
    <row r="108">
      <c r="A108" s="15" t="n"/>
      <c r="B108" s="15" t="n"/>
      <c r="C108" s="15" t="n"/>
      <c r="D108" s="15" t="n"/>
      <c r="E108" s="15" t="n"/>
      <c r="F108" s="15" t="n"/>
      <c r="G108" s="18" t="n"/>
      <c r="H108" s="15" t="n"/>
      <c r="I108" s="15" t="n"/>
      <c r="J108" s="15" t="n"/>
      <c r="K108" s="15" t="n"/>
      <c r="L108" s="15" t="n"/>
      <c r="M108" s="15" t="n"/>
      <c r="N108" s="16">
        <f>IF(OR(H108="",M108=""),"",IF(H108=M108,"Concorda","DIVERGE → Comitê"))</f>
        <v/>
      </c>
      <c r="O108" s="16">
        <f>IF(L108="","",IF(L108&lt;&gt;F108,"Sim","NÃO"))</f>
        <v/>
      </c>
    </row>
    <row r="109">
      <c r="A109" s="15" t="n"/>
      <c r="B109" s="15" t="n"/>
      <c r="C109" s="15" t="n"/>
      <c r="D109" s="15" t="n"/>
      <c r="E109" s="15" t="n"/>
      <c r="F109" s="15" t="n"/>
      <c r="G109" s="18" t="n"/>
      <c r="H109" s="15" t="n"/>
      <c r="I109" s="15" t="n"/>
      <c r="J109" s="15" t="n"/>
      <c r="K109" s="15" t="n"/>
      <c r="L109" s="15" t="n"/>
      <c r="M109" s="15" t="n"/>
      <c r="N109" s="16">
        <f>IF(OR(H109="",M109=""),"",IF(H109=M109,"Concorda","DIVERGE → Comitê"))</f>
        <v/>
      </c>
      <c r="O109" s="16">
        <f>IF(L109="","",IF(L109&lt;&gt;F109,"Sim","NÃO"))</f>
        <v/>
      </c>
    </row>
    <row r="110">
      <c r="A110" s="15" t="n"/>
      <c r="B110" s="15" t="n"/>
      <c r="C110" s="15" t="n"/>
      <c r="D110" s="15" t="n"/>
      <c r="E110" s="15" t="n"/>
      <c r="F110" s="15" t="n"/>
      <c r="G110" s="18" t="n"/>
      <c r="H110" s="15" t="n"/>
      <c r="I110" s="15" t="n"/>
      <c r="J110" s="15" t="n"/>
      <c r="K110" s="15" t="n"/>
      <c r="L110" s="15" t="n"/>
      <c r="M110" s="15" t="n"/>
      <c r="N110" s="16">
        <f>IF(OR(H110="",M110=""),"",IF(H110=M110,"Concorda","DIVERGE → Comitê"))</f>
        <v/>
      </c>
      <c r="O110" s="16">
        <f>IF(L110="","",IF(L110&lt;&gt;F110,"Sim","NÃO"))</f>
        <v/>
      </c>
    </row>
    <row r="111">
      <c r="A111" s="15" t="n"/>
      <c r="B111" s="15" t="n"/>
      <c r="C111" s="15" t="n"/>
      <c r="D111" s="15" t="n"/>
      <c r="E111" s="15" t="n"/>
      <c r="F111" s="15" t="n"/>
      <c r="G111" s="18" t="n"/>
      <c r="H111" s="15" t="n"/>
      <c r="I111" s="15" t="n"/>
      <c r="J111" s="15" t="n"/>
      <c r="K111" s="15" t="n"/>
      <c r="L111" s="15" t="n"/>
      <c r="M111" s="15" t="n"/>
      <c r="N111" s="16">
        <f>IF(OR(H111="",M111=""),"",IF(H111=M111,"Concorda","DIVERGE → Comitê"))</f>
        <v/>
      </c>
      <c r="O111" s="16">
        <f>IF(L111="","",IF(L111&lt;&gt;F111,"Sim","NÃO"))</f>
        <v/>
      </c>
    </row>
    <row r="112">
      <c r="A112" s="15" t="n"/>
      <c r="B112" s="15" t="n"/>
      <c r="C112" s="15" t="n"/>
      <c r="D112" s="15" t="n"/>
      <c r="E112" s="15" t="n"/>
      <c r="F112" s="15" t="n"/>
      <c r="G112" s="18" t="n"/>
      <c r="H112" s="15" t="n"/>
      <c r="I112" s="15" t="n"/>
      <c r="J112" s="15" t="n"/>
      <c r="K112" s="15" t="n"/>
      <c r="L112" s="15" t="n"/>
      <c r="M112" s="15" t="n"/>
      <c r="N112" s="16">
        <f>IF(OR(H112="",M112=""),"",IF(H112=M112,"Concorda","DIVERGE → Comitê"))</f>
        <v/>
      </c>
      <c r="O112" s="16">
        <f>IF(L112="","",IF(L112&lt;&gt;F112,"Sim","NÃO"))</f>
        <v/>
      </c>
    </row>
    <row r="113">
      <c r="A113" s="15" t="n"/>
      <c r="B113" s="15" t="n"/>
      <c r="C113" s="15" t="n"/>
      <c r="D113" s="15" t="n"/>
      <c r="E113" s="15" t="n"/>
      <c r="F113" s="15" t="n"/>
      <c r="G113" s="18" t="n"/>
      <c r="H113" s="15" t="n"/>
      <c r="I113" s="15" t="n"/>
      <c r="J113" s="15" t="n"/>
      <c r="K113" s="15" t="n"/>
      <c r="L113" s="15" t="n"/>
      <c r="M113" s="15" t="n"/>
      <c r="N113" s="16">
        <f>IF(OR(H113="",M113=""),"",IF(H113=M113,"Concorda","DIVERGE → Comitê"))</f>
        <v/>
      </c>
      <c r="O113" s="16">
        <f>IF(L113="","",IF(L113&lt;&gt;F113,"Sim","NÃO"))</f>
        <v/>
      </c>
    </row>
    <row r="114">
      <c r="A114" s="15" t="n"/>
      <c r="B114" s="15" t="n"/>
      <c r="C114" s="15" t="n"/>
      <c r="D114" s="15" t="n"/>
      <c r="E114" s="15" t="n"/>
      <c r="F114" s="15" t="n"/>
      <c r="G114" s="18" t="n"/>
      <c r="H114" s="15" t="n"/>
      <c r="I114" s="15" t="n"/>
      <c r="J114" s="15" t="n"/>
      <c r="K114" s="15" t="n"/>
      <c r="L114" s="15" t="n"/>
      <c r="M114" s="15" t="n"/>
      <c r="N114" s="16">
        <f>IF(OR(H114="",M114=""),"",IF(H114=M114,"Concorda","DIVERGE → Comitê"))</f>
        <v/>
      </c>
      <c r="O114" s="16">
        <f>IF(L114="","",IF(L114&lt;&gt;F114,"Sim","NÃO"))</f>
        <v/>
      </c>
    </row>
    <row r="115">
      <c r="A115" s="15" t="n"/>
      <c r="B115" s="15" t="n"/>
      <c r="C115" s="15" t="n"/>
      <c r="D115" s="15" t="n"/>
      <c r="E115" s="15" t="n"/>
      <c r="F115" s="15" t="n"/>
      <c r="G115" s="18" t="n"/>
      <c r="H115" s="15" t="n"/>
      <c r="I115" s="15" t="n"/>
      <c r="J115" s="15" t="n"/>
      <c r="K115" s="15" t="n"/>
      <c r="L115" s="15" t="n"/>
      <c r="M115" s="15" t="n"/>
      <c r="N115" s="16">
        <f>IF(OR(H115="",M115=""),"",IF(H115=M115,"Concorda","DIVERGE → Comitê"))</f>
        <v/>
      </c>
      <c r="O115" s="16">
        <f>IF(L115="","",IF(L115&lt;&gt;F115,"Sim","NÃO"))</f>
        <v/>
      </c>
    </row>
    <row r="116">
      <c r="A116" s="15" t="n"/>
      <c r="B116" s="15" t="n"/>
      <c r="C116" s="15" t="n"/>
      <c r="D116" s="15" t="n"/>
      <c r="E116" s="15" t="n"/>
      <c r="F116" s="15" t="n"/>
      <c r="G116" s="18" t="n"/>
      <c r="H116" s="15" t="n"/>
      <c r="I116" s="15" t="n"/>
      <c r="J116" s="15" t="n"/>
      <c r="K116" s="15" t="n"/>
      <c r="L116" s="15" t="n"/>
      <c r="M116" s="15" t="n"/>
      <c r="N116" s="16">
        <f>IF(OR(H116="",M116=""),"",IF(H116=M116,"Concorda","DIVERGE → Comitê"))</f>
        <v/>
      </c>
      <c r="O116" s="16">
        <f>IF(L116="","",IF(L116&lt;&gt;F116,"Sim","NÃO"))</f>
        <v/>
      </c>
    </row>
    <row r="117">
      <c r="A117" s="15" t="n"/>
      <c r="B117" s="15" t="n"/>
      <c r="C117" s="15" t="n"/>
      <c r="D117" s="15" t="n"/>
      <c r="E117" s="15" t="n"/>
      <c r="F117" s="15" t="n"/>
      <c r="G117" s="18" t="n"/>
      <c r="H117" s="15" t="n"/>
      <c r="I117" s="15" t="n"/>
      <c r="J117" s="15" t="n"/>
      <c r="K117" s="15" t="n"/>
      <c r="L117" s="15" t="n"/>
      <c r="M117" s="15" t="n"/>
      <c r="N117" s="16">
        <f>IF(OR(H117="",M117=""),"",IF(H117=M117,"Concorda","DIVERGE → Comitê"))</f>
        <v/>
      </c>
      <c r="O117" s="16">
        <f>IF(L117="","",IF(L117&lt;&gt;F117,"Sim","NÃO"))</f>
        <v/>
      </c>
    </row>
    <row r="118">
      <c r="A118" s="15" t="n"/>
      <c r="B118" s="15" t="n"/>
      <c r="C118" s="15" t="n"/>
      <c r="D118" s="15" t="n"/>
      <c r="E118" s="15" t="n"/>
      <c r="F118" s="15" t="n"/>
      <c r="G118" s="18" t="n"/>
      <c r="H118" s="15" t="n"/>
      <c r="I118" s="15" t="n"/>
      <c r="J118" s="15" t="n"/>
      <c r="K118" s="15" t="n"/>
      <c r="L118" s="15" t="n"/>
      <c r="M118" s="15" t="n"/>
      <c r="N118" s="16">
        <f>IF(OR(H118="",M118=""),"",IF(H118=M118,"Concorda","DIVERGE → Comitê"))</f>
        <v/>
      </c>
      <c r="O118" s="16">
        <f>IF(L118="","",IF(L118&lt;&gt;F118,"Sim","NÃO"))</f>
        <v/>
      </c>
    </row>
    <row r="119">
      <c r="A119" s="15" t="n"/>
      <c r="B119" s="15" t="n"/>
      <c r="C119" s="15" t="n"/>
      <c r="D119" s="15" t="n"/>
      <c r="E119" s="15" t="n"/>
      <c r="F119" s="15" t="n"/>
      <c r="G119" s="18" t="n"/>
      <c r="H119" s="15" t="n"/>
      <c r="I119" s="15" t="n"/>
      <c r="J119" s="15" t="n"/>
      <c r="K119" s="15" t="n"/>
      <c r="L119" s="15" t="n"/>
      <c r="M119" s="15" t="n"/>
      <c r="N119" s="16">
        <f>IF(OR(H119="",M119=""),"",IF(H119=M119,"Concorda","DIVERGE → Comitê"))</f>
        <v/>
      </c>
      <c r="O119" s="16">
        <f>IF(L119="","",IF(L119&lt;&gt;F119,"Sim","NÃO"))</f>
        <v/>
      </c>
    </row>
    <row r="120">
      <c r="A120" s="15" t="n"/>
      <c r="B120" s="15" t="n"/>
      <c r="C120" s="15" t="n"/>
      <c r="D120" s="15" t="n"/>
      <c r="E120" s="15" t="n"/>
      <c r="F120" s="15" t="n"/>
      <c r="G120" s="18" t="n"/>
      <c r="H120" s="15" t="n"/>
      <c r="I120" s="15" t="n"/>
      <c r="J120" s="15" t="n"/>
      <c r="K120" s="15" t="n"/>
      <c r="L120" s="15" t="n"/>
      <c r="M120" s="15" t="n"/>
      <c r="N120" s="16">
        <f>IF(OR(H120="",M120=""),"",IF(H120=M120,"Concorda","DIVERGE → Comitê"))</f>
        <v/>
      </c>
      <c r="O120" s="16">
        <f>IF(L120="","",IF(L120&lt;&gt;F120,"Sim","NÃO"))</f>
        <v/>
      </c>
    </row>
    <row r="121">
      <c r="A121" s="15" t="n"/>
      <c r="B121" s="15" t="n"/>
      <c r="C121" s="15" t="n"/>
      <c r="D121" s="15" t="n"/>
      <c r="E121" s="15" t="n"/>
      <c r="F121" s="15" t="n"/>
      <c r="G121" s="18" t="n"/>
      <c r="H121" s="15" t="n"/>
      <c r="I121" s="15" t="n"/>
      <c r="J121" s="15" t="n"/>
      <c r="K121" s="15" t="n"/>
      <c r="L121" s="15" t="n"/>
      <c r="M121" s="15" t="n"/>
      <c r="N121" s="16">
        <f>IF(OR(H121="",M121=""),"",IF(H121=M121,"Concorda","DIVERGE → Comitê"))</f>
        <v/>
      </c>
      <c r="O121" s="16">
        <f>IF(L121="","",IF(L121&lt;&gt;F121,"Sim","NÃO"))</f>
        <v/>
      </c>
    </row>
    <row r="122">
      <c r="A122" s="15" t="n"/>
      <c r="B122" s="15" t="n"/>
      <c r="C122" s="15" t="n"/>
      <c r="D122" s="15" t="n"/>
      <c r="E122" s="15" t="n"/>
      <c r="F122" s="15" t="n"/>
      <c r="G122" s="18" t="n"/>
      <c r="H122" s="15" t="n"/>
      <c r="I122" s="15" t="n"/>
      <c r="J122" s="15" t="n"/>
      <c r="K122" s="15" t="n"/>
      <c r="L122" s="15" t="n"/>
      <c r="M122" s="15" t="n"/>
      <c r="N122" s="16">
        <f>IF(OR(H122="",M122=""),"",IF(H122=M122,"Concorda","DIVERGE → Comitê"))</f>
        <v/>
      </c>
      <c r="O122" s="16">
        <f>IF(L122="","",IF(L122&lt;&gt;F122,"Sim","NÃO"))</f>
        <v/>
      </c>
    </row>
    <row r="123">
      <c r="A123" s="15" t="n"/>
      <c r="B123" s="15" t="n"/>
      <c r="C123" s="15" t="n"/>
      <c r="D123" s="15" t="n"/>
      <c r="E123" s="15" t="n"/>
      <c r="F123" s="15" t="n"/>
      <c r="G123" s="18" t="n"/>
      <c r="H123" s="15" t="n"/>
      <c r="I123" s="15" t="n"/>
      <c r="J123" s="15" t="n"/>
      <c r="K123" s="15" t="n"/>
      <c r="L123" s="15" t="n"/>
      <c r="M123" s="15" t="n"/>
      <c r="N123" s="16">
        <f>IF(OR(H123="",M123=""),"",IF(H123=M123,"Concorda","DIVERGE → Comitê"))</f>
        <v/>
      </c>
      <c r="O123" s="16">
        <f>IF(L123="","",IF(L123&lt;&gt;F123,"Sim","NÃO"))</f>
        <v/>
      </c>
    </row>
    <row r="124">
      <c r="A124" s="15" t="n"/>
      <c r="B124" s="15" t="n"/>
      <c r="C124" s="15" t="n"/>
      <c r="D124" s="15" t="n"/>
      <c r="E124" s="15" t="n"/>
      <c r="F124" s="15" t="n"/>
      <c r="G124" s="18" t="n"/>
      <c r="H124" s="15" t="n"/>
      <c r="I124" s="15" t="n"/>
      <c r="J124" s="15" t="n"/>
      <c r="K124" s="15" t="n"/>
      <c r="L124" s="15" t="n"/>
      <c r="M124" s="15" t="n"/>
      <c r="N124" s="16">
        <f>IF(OR(H124="",M124=""),"",IF(H124=M124,"Concorda","DIVERGE → Comitê"))</f>
        <v/>
      </c>
      <c r="O124" s="16">
        <f>IF(L124="","",IF(L124&lt;&gt;F124,"Sim","NÃO"))</f>
        <v/>
      </c>
    </row>
    <row r="125">
      <c r="A125" s="15" t="n"/>
      <c r="B125" s="15" t="n"/>
      <c r="C125" s="15" t="n"/>
      <c r="D125" s="15" t="n"/>
      <c r="E125" s="15" t="n"/>
      <c r="F125" s="15" t="n"/>
      <c r="G125" s="18" t="n"/>
      <c r="H125" s="15" t="n"/>
      <c r="I125" s="15" t="n"/>
      <c r="J125" s="15" t="n"/>
      <c r="K125" s="15" t="n"/>
      <c r="L125" s="15" t="n"/>
      <c r="M125" s="15" t="n"/>
      <c r="N125" s="16">
        <f>IF(OR(H125="",M125=""),"",IF(H125=M125,"Concorda","DIVERGE → Comitê"))</f>
        <v/>
      </c>
      <c r="O125" s="16">
        <f>IF(L125="","",IF(L125&lt;&gt;F125,"Sim","NÃO"))</f>
        <v/>
      </c>
    </row>
    <row r="126">
      <c r="A126" s="15" t="n"/>
      <c r="B126" s="15" t="n"/>
      <c r="C126" s="15" t="n"/>
      <c r="D126" s="15" t="n"/>
      <c r="E126" s="15" t="n"/>
      <c r="F126" s="15" t="n"/>
      <c r="G126" s="18" t="n"/>
      <c r="H126" s="15" t="n"/>
      <c r="I126" s="15" t="n"/>
      <c r="J126" s="15" t="n"/>
      <c r="K126" s="15" t="n"/>
      <c r="L126" s="15" t="n"/>
      <c r="M126" s="15" t="n"/>
      <c r="N126" s="16">
        <f>IF(OR(H126="",M126=""),"",IF(H126=M126,"Concorda","DIVERGE → Comitê"))</f>
        <v/>
      </c>
      <c r="O126" s="16">
        <f>IF(L126="","",IF(L126&lt;&gt;F126,"Sim","NÃO"))</f>
        <v/>
      </c>
    </row>
    <row r="127">
      <c r="A127" s="15" t="n"/>
      <c r="B127" s="15" t="n"/>
      <c r="C127" s="15" t="n"/>
      <c r="D127" s="15" t="n"/>
      <c r="E127" s="15" t="n"/>
      <c r="F127" s="15" t="n"/>
      <c r="G127" s="18" t="n"/>
      <c r="H127" s="15" t="n"/>
      <c r="I127" s="15" t="n"/>
      <c r="J127" s="15" t="n"/>
      <c r="K127" s="15" t="n"/>
      <c r="L127" s="15" t="n"/>
      <c r="M127" s="15" t="n"/>
      <c r="N127" s="16">
        <f>IF(OR(H127="",M127=""),"",IF(H127=M127,"Concorda","DIVERGE → Comitê"))</f>
        <v/>
      </c>
      <c r="O127" s="16">
        <f>IF(L127="","",IF(L127&lt;&gt;F127,"Sim","NÃO"))</f>
        <v/>
      </c>
    </row>
    <row r="128">
      <c r="A128" s="15" t="n"/>
      <c r="B128" s="15" t="n"/>
      <c r="C128" s="15" t="n"/>
      <c r="D128" s="15" t="n"/>
      <c r="E128" s="15" t="n"/>
      <c r="F128" s="15" t="n"/>
      <c r="G128" s="18" t="n"/>
      <c r="H128" s="15" t="n"/>
      <c r="I128" s="15" t="n"/>
      <c r="J128" s="15" t="n"/>
      <c r="K128" s="15" t="n"/>
      <c r="L128" s="15" t="n"/>
      <c r="M128" s="15" t="n"/>
      <c r="N128" s="16">
        <f>IF(OR(H128="",M128=""),"",IF(H128=M128,"Concorda","DIVERGE → Comitê"))</f>
        <v/>
      </c>
      <c r="O128" s="16">
        <f>IF(L128="","",IF(L128&lt;&gt;F128,"Sim","NÃO"))</f>
        <v/>
      </c>
    </row>
    <row r="129">
      <c r="A129" s="15" t="n"/>
      <c r="B129" s="15" t="n"/>
      <c r="C129" s="15" t="n"/>
      <c r="D129" s="15" t="n"/>
      <c r="E129" s="15" t="n"/>
      <c r="F129" s="15" t="n"/>
      <c r="G129" s="18" t="n"/>
      <c r="H129" s="15" t="n"/>
      <c r="I129" s="15" t="n"/>
      <c r="J129" s="15" t="n"/>
      <c r="K129" s="15" t="n"/>
      <c r="L129" s="15" t="n"/>
      <c r="M129" s="15" t="n"/>
      <c r="N129" s="16">
        <f>IF(OR(H129="",M129=""),"",IF(H129=M129,"Concorda","DIVERGE → Comitê"))</f>
        <v/>
      </c>
      <c r="O129" s="16">
        <f>IF(L129="","",IF(L129&lt;&gt;F129,"Sim","NÃO"))</f>
        <v/>
      </c>
    </row>
    <row r="130">
      <c r="A130" s="15" t="n"/>
      <c r="B130" s="15" t="n"/>
      <c r="C130" s="15" t="n"/>
      <c r="D130" s="15" t="n"/>
      <c r="E130" s="15" t="n"/>
      <c r="F130" s="15" t="n"/>
      <c r="G130" s="18" t="n"/>
      <c r="H130" s="15" t="n"/>
      <c r="I130" s="15" t="n"/>
      <c r="J130" s="15" t="n"/>
      <c r="K130" s="15" t="n"/>
      <c r="L130" s="15" t="n"/>
      <c r="M130" s="15" t="n"/>
      <c r="N130" s="16">
        <f>IF(OR(H130="",M130=""),"",IF(H130=M130,"Concorda","DIVERGE → Comitê"))</f>
        <v/>
      </c>
      <c r="O130" s="16">
        <f>IF(L130="","",IF(L130&lt;&gt;F130,"Sim","NÃO"))</f>
        <v/>
      </c>
    </row>
    <row r="131">
      <c r="A131" s="15" t="n"/>
      <c r="B131" s="15" t="n"/>
      <c r="C131" s="15" t="n"/>
      <c r="D131" s="15" t="n"/>
      <c r="E131" s="15" t="n"/>
      <c r="F131" s="15" t="n"/>
      <c r="G131" s="18" t="n"/>
      <c r="H131" s="15" t="n"/>
      <c r="I131" s="15" t="n"/>
      <c r="J131" s="15" t="n"/>
      <c r="K131" s="15" t="n"/>
      <c r="L131" s="15" t="n"/>
      <c r="M131" s="15" t="n"/>
      <c r="N131" s="16">
        <f>IF(OR(H131="",M131=""),"",IF(H131=M131,"Concorda","DIVERGE → Comitê"))</f>
        <v/>
      </c>
      <c r="O131" s="16">
        <f>IF(L131="","",IF(L131&lt;&gt;F131,"Sim","NÃO"))</f>
        <v/>
      </c>
    </row>
    <row r="132">
      <c r="A132" s="15" t="n"/>
      <c r="B132" s="15" t="n"/>
      <c r="C132" s="15" t="n"/>
      <c r="D132" s="15" t="n"/>
      <c r="E132" s="15" t="n"/>
      <c r="F132" s="15" t="n"/>
      <c r="G132" s="18" t="n"/>
      <c r="H132" s="15" t="n"/>
      <c r="I132" s="15" t="n"/>
      <c r="J132" s="15" t="n"/>
      <c r="K132" s="15" t="n"/>
      <c r="L132" s="15" t="n"/>
      <c r="M132" s="15" t="n"/>
      <c r="N132" s="16">
        <f>IF(OR(H132="",M132=""),"",IF(H132=M132,"Concorda","DIVERGE → Comitê"))</f>
        <v/>
      </c>
      <c r="O132" s="16">
        <f>IF(L132="","",IF(L132&lt;&gt;F132,"Sim","NÃO"))</f>
        <v/>
      </c>
    </row>
    <row r="133">
      <c r="A133" s="15" t="n"/>
      <c r="B133" s="15" t="n"/>
      <c r="C133" s="15" t="n"/>
      <c r="D133" s="15" t="n"/>
      <c r="E133" s="15" t="n"/>
      <c r="F133" s="15" t="n"/>
      <c r="G133" s="18" t="n"/>
      <c r="H133" s="15" t="n"/>
      <c r="I133" s="15" t="n"/>
      <c r="J133" s="15" t="n"/>
      <c r="K133" s="15" t="n"/>
      <c r="L133" s="15" t="n"/>
      <c r="M133" s="15" t="n"/>
      <c r="N133" s="16">
        <f>IF(OR(H133="",M133=""),"",IF(H133=M133,"Concorda","DIVERGE → Comitê"))</f>
        <v/>
      </c>
      <c r="O133" s="16">
        <f>IF(L133="","",IF(L133&lt;&gt;F133,"Sim","NÃO"))</f>
        <v/>
      </c>
    </row>
    <row r="134">
      <c r="A134" s="15" t="n"/>
      <c r="B134" s="15" t="n"/>
      <c r="C134" s="15" t="n"/>
      <c r="D134" s="15" t="n"/>
      <c r="E134" s="15" t="n"/>
      <c r="F134" s="15" t="n"/>
      <c r="G134" s="18" t="n"/>
      <c r="H134" s="15" t="n"/>
      <c r="I134" s="15" t="n"/>
      <c r="J134" s="15" t="n"/>
      <c r="K134" s="15" t="n"/>
      <c r="L134" s="15" t="n"/>
      <c r="M134" s="15" t="n"/>
      <c r="N134" s="16">
        <f>IF(OR(H134="",M134=""),"",IF(H134=M134,"Concorda","DIVERGE → Comitê"))</f>
        <v/>
      </c>
      <c r="O134" s="16">
        <f>IF(L134="","",IF(L134&lt;&gt;F134,"Sim","NÃO"))</f>
        <v/>
      </c>
    </row>
    <row r="135">
      <c r="A135" s="15" t="n"/>
      <c r="B135" s="15" t="n"/>
      <c r="C135" s="15" t="n"/>
      <c r="D135" s="15" t="n"/>
      <c r="E135" s="15" t="n"/>
      <c r="F135" s="15" t="n"/>
      <c r="G135" s="18" t="n"/>
      <c r="H135" s="15" t="n"/>
      <c r="I135" s="15" t="n"/>
      <c r="J135" s="15" t="n"/>
      <c r="K135" s="15" t="n"/>
      <c r="L135" s="15" t="n"/>
      <c r="M135" s="15" t="n"/>
      <c r="N135" s="16">
        <f>IF(OR(H135="",M135=""),"",IF(H135=M135,"Concorda","DIVERGE → Comitê"))</f>
        <v/>
      </c>
      <c r="O135" s="16">
        <f>IF(L135="","",IF(L135&lt;&gt;F135,"Sim","NÃO"))</f>
        <v/>
      </c>
    </row>
    <row r="136">
      <c r="A136" s="15" t="n"/>
      <c r="B136" s="15" t="n"/>
      <c r="C136" s="15" t="n"/>
      <c r="D136" s="15" t="n"/>
      <c r="E136" s="15" t="n"/>
      <c r="F136" s="15" t="n"/>
      <c r="G136" s="18" t="n"/>
      <c r="H136" s="15" t="n"/>
      <c r="I136" s="15" t="n"/>
      <c r="J136" s="15" t="n"/>
      <c r="K136" s="15" t="n"/>
      <c r="L136" s="15" t="n"/>
      <c r="M136" s="15" t="n"/>
      <c r="N136" s="16">
        <f>IF(OR(H136="",M136=""),"",IF(H136=M136,"Concorda","DIVERGE → Comitê"))</f>
        <v/>
      </c>
      <c r="O136" s="16">
        <f>IF(L136="","",IF(L136&lt;&gt;F136,"Sim","NÃO"))</f>
        <v/>
      </c>
    </row>
    <row r="137">
      <c r="A137" s="15" t="n"/>
      <c r="B137" s="15" t="n"/>
      <c r="C137" s="15" t="n"/>
      <c r="D137" s="15" t="n"/>
      <c r="E137" s="15" t="n"/>
      <c r="F137" s="15" t="n"/>
      <c r="G137" s="18" t="n"/>
      <c r="H137" s="15" t="n"/>
      <c r="I137" s="15" t="n"/>
      <c r="J137" s="15" t="n"/>
      <c r="K137" s="15" t="n"/>
      <c r="L137" s="15" t="n"/>
      <c r="M137" s="15" t="n"/>
      <c r="N137" s="16">
        <f>IF(OR(H137="",M137=""),"",IF(H137=M137,"Concorda","DIVERGE → Comitê"))</f>
        <v/>
      </c>
      <c r="O137" s="16">
        <f>IF(L137="","",IF(L137&lt;&gt;F137,"Sim","NÃO"))</f>
        <v/>
      </c>
    </row>
    <row r="138">
      <c r="A138" s="15" t="n"/>
      <c r="B138" s="15" t="n"/>
      <c r="C138" s="15" t="n"/>
      <c r="D138" s="15" t="n"/>
      <c r="E138" s="15" t="n"/>
      <c r="F138" s="15" t="n"/>
      <c r="G138" s="18" t="n"/>
      <c r="H138" s="15" t="n"/>
      <c r="I138" s="15" t="n"/>
      <c r="J138" s="15" t="n"/>
      <c r="K138" s="15" t="n"/>
      <c r="L138" s="15" t="n"/>
      <c r="M138" s="15" t="n"/>
      <c r="N138" s="16">
        <f>IF(OR(H138="",M138=""),"",IF(H138=M138,"Concorda","DIVERGE → Comitê"))</f>
        <v/>
      </c>
      <c r="O138" s="16">
        <f>IF(L138="","",IF(L138&lt;&gt;F138,"Sim","NÃO"))</f>
        <v/>
      </c>
    </row>
    <row r="139">
      <c r="A139" s="15" t="n"/>
      <c r="B139" s="15" t="n"/>
      <c r="C139" s="15" t="n"/>
      <c r="D139" s="15" t="n"/>
      <c r="E139" s="15" t="n"/>
      <c r="F139" s="15" t="n"/>
      <c r="G139" s="18" t="n"/>
      <c r="H139" s="15" t="n"/>
      <c r="I139" s="15" t="n"/>
      <c r="J139" s="15" t="n"/>
      <c r="K139" s="15" t="n"/>
      <c r="L139" s="15" t="n"/>
      <c r="M139" s="15" t="n"/>
      <c r="N139" s="16">
        <f>IF(OR(H139="",M139=""),"",IF(H139=M139,"Concorda","DIVERGE → Comitê"))</f>
        <v/>
      </c>
      <c r="O139" s="16">
        <f>IF(L139="","",IF(L139&lt;&gt;F139,"Sim","NÃO"))</f>
        <v/>
      </c>
    </row>
    <row r="140">
      <c r="A140" s="15" t="n"/>
      <c r="B140" s="15" t="n"/>
      <c r="C140" s="15" t="n"/>
      <c r="D140" s="15" t="n"/>
      <c r="E140" s="15" t="n"/>
      <c r="F140" s="15" t="n"/>
      <c r="G140" s="18" t="n"/>
      <c r="H140" s="15" t="n"/>
      <c r="I140" s="15" t="n"/>
      <c r="J140" s="15" t="n"/>
      <c r="K140" s="15" t="n"/>
      <c r="L140" s="15" t="n"/>
      <c r="M140" s="15" t="n"/>
      <c r="N140" s="16">
        <f>IF(OR(H140="",M140=""),"",IF(H140=M140,"Concorda","DIVERGE → Comitê"))</f>
        <v/>
      </c>
      <c r="O140" s="16">
        <f>IF(L140="","",IF(L140&lt;&gt;F140,"Sim","NÃO"))</f>
        <v/>
      </c>
    </row>
    <row r="141">
      <c r="A141" s="15" t="n"/>
      <c r="B141" s="15" t="n"/>
      <c r="C141" s="15" t="n"/>
      <c r="D141" s="15" t="n"/>
      <c r="E141" s="15" t="n"/>
      <c r="F141" s="15" t="n"/>
      <c r="G141" s="18" t="n"/>
      <c r="H141" s="15" t="n"/>
      <c r="I141" s="15" t="n"/>
      <c r="J141" s="15" t="n"/>
      <c r="K141" s="15" t="n"/>
      <c r="L141" s="15" t="n"/>
      <c r="M141" s="15" t="n"/>
      <c r="N141" s="16">
        <f>IF(OR(H141="",M141=""),"",IF(H141=M141,"Concorda","DIVERGE → Comitê"))</f>
        <v/>
      </c>
      <c r="O141" s="16">
        <f>IF(L141="","",IF(L141&lt;&gt;F141,"Sim","NÃO"))</f>
        <v/>
      </c>
    </row>
    <row r="142">
      <c r="A142" s="15" t="n"/>
      <c r="B142" s="15" t="n"/>
      <c r="C142" s="15" t="n"/>
      <c r="D142" s="15" t="n"/>
      <c r="E142" s="15" t="n"/>
      <c r="F142" s="15" t="n"/>
      <c r="G142" s="18" t="n"/>
      <c r="H142" s="15" t="n"/>
      <c r="I142" s="15" t="n"/>
      <c r="J142" s="15" t="n"/>
      <c r="K142" s="15" t="n"/>
      <c r="L142" s="15" t="n"/>
      <c r="M142" s="15" t="n"/>
      <c r="N142" s="16">
        <f>IF(OR(H142="",M142=""),"",IF(H142=M142,"Concorda","DIVERGE → Comitê"))</f>
        <v/>
      </c>
      <c r="O142" s="16">
        <f>IF(L142="","",IF(L142&lt;&gt;F142,"Sim","NÃO"))</f>
        <v/>
      </c>
    </row>
    <row r="143">
      <c r="A143" s="15" t="n"/>
      <c r="B143" s="15" t="n"/>
      <c r="C143" s="15" t="n"/>
      <c r="D143" s="15" t="n"/>
      <c r="E143" s="15" t="n"/>
      <c r="F143" s="15" t="n"/>
      <c r="G143" s="18" t="n"/>
      <c r="H143" s="15" t="n"/>
      <c r="I143" s="15" t="n"/>
      <c r="J143" s="15" t="n"/>
      <c r="K143" s="15" t="n"/>
      <c r="L143" s="15" t="n"/>
      <c r="M143" s="15" t="n"/>
      <c r="N143" s="16">
        <f>IF(OR(H143="",M143=""),"",IF(H143=M143,"Concorda","DIVERGE → Comitê"))</f>
        <v/>
      </c>
      <c r="O143" s="16">
        <f>IF(L143="","",IF(L143&lt;&gt;F143,"Sim","NÃO"))</f>
        <v/>
      </c>
    </row>
    <row r="144">
      <c r="A144" s="15" t="n"/>
      <c r="B144" s="15" t="n"/>
      <c r="C144" s="15" t="n"/>
      <c r="D144" s="15" t="n"/>
      <c r="E144" s="15" t="n"/>
      <c r="F144" s="15" t="n"/>
      <c r="G144" s="18" t="n"/>
      <c r="H144" s="15" t="n"/>
      <c r="I144" s="15" t="n"/>
      <c r="J144" s="15" t="n"/>
      <c r="K144" s="15" t="n"/>
      <c r="L144" s="15" t="n"/>
      <c r="M144" s="15" t="n"/>
      <c r="N144" s="16">
        <f>IF(OR(H144="",M144=""),"",IF(H144=M144,"Concorda","DIVERGE → Comitê"))</f>
        <v/>
      </c>
      <c r="O144" s="16">
        <f>IF(L144="","",IF(L144&lt;&gt;F144,"Sim","NÃO"))</f>
        <v/>
      </c>
    </row>
    <row r="145">
      <c r="A145" s="15" t="n"/>
      <c r="B145" s="15" t="n"/>
      <c r="C145" s="15" t="n"/>
      <c r="D145" s="15" t="n"/>
      <c r="E145" s="15" t="n"/>
      <c r="F145" s="15" t="n"/>
      <c r="G145" s="18" t="n"/>
      <c r="H145" s="15" t="n"/>
      <c r="I145" s="15" t="n"/>
      <c r="J145" s="15" t="n"/>
      <c r="K145" s="15" t="n"/>
      <c r="L145" s="15" t="n"/>
      <c r="M145" s="15" t="n"/>
      <c r="N145" s="16">
        <f>IF(OR(H145="",M145=""),"",IF(H145=M145,"Concorda","DIVERGE → Comitê"))</f>
        <v/>
      </c>
      <c r="O145" s="16">
        <f>IF(L145="","",IF(L145&lt;&gt;F145,"Sim","NÃO"))</f>
        <v/>
      </c>
    </row>
    <row r="146">
      <c r="A146" s="15" t="n"/>
      <c r="B146" s="15" t="n"/>
      <c r="C146" s="15" t="n"/>
      <c r="D146" s="15" t="n"/>
      <c r="E146" s="15" t="n"/>
      <c r="F146" s="15" t="n"/>
      <c r="G146" s="18" t="n"/>
      <c r="H146" s="15" t="n"/>
      <c r="I146" s="15" t="n"/>
      <c r="J146" s="15" t="n"/>
      <c r="K146" s="15" t="n"/>
      <c r="L146" s="15" t="n"/>
      <c r="M146" s="15" t="n"/>
      <c r="N146" s="16">
        <f>IF(OR(H146="",M146=""),"",IF(H146=M146,"Concorda","DIVERGE → Comitê"))</f>
        <v/>
      </c>
      <c r="O146" s="16">
        <f>IF(L146="","",IF(L146&lt;&gt;F146,"Sim","NÃO"))</f>
        <v/>
      </c>
    </row>
    <row r="147">
      <c r="A147" s="15" t="n"/>
      <c r="B147" s="15" t="n"/>
      <c r="C147" s="15" t="n"/>
      <c r="D147" s="15" t="n"/>
      <c r="E147" s="15" t="n"/>
      <c r="F147" s="15" t="n"/>
      <c r="G147" s="18" t="n"/>
      <c r="H147" s="15" t="n"/>
      <c r="I147" s="15" t="n"/>
      <c r="J147" s="15" t="n"/>
      <c r="K147" s="15" t="n"/>
      <c r="L147" s="15" t="n"/>
      <c r="M147" s="15" t="n"/>
      <c r="N147" s="16">
        <f>IF(OR(H147="",M147=""),"",IF(H147=M147,"Concorda","DIVERGE → Comitê"))</f>
        <v/>
      </c>
      <c r="O147" s="16">
        <f>IF(L147="","",IF(L147&lt;&gt;F147,"Sim","NÃO"))</f>
        <v/>
      </c>
    </row>
    <row r="148">
      <c r="A148" s="15" t="n"/>
      <c r="B148" s="15" t="n"/>
      <c r="C148" s="15" t="n"/>
      <c r="D148" s="15" t="n"/>
      <c r="E148" s="15" t="n"/>
      <c r="F148" s="15" t="n"/>
      <c r="G148" s="18" t="n"/>
      <c r="H148" s="15" t="n"/>
      <c r="I148" s="15" t="n"/>
      <c r="J148" s="15" t="n"/>
      <c r="K148" s="15" t="n"/>
      <c r="L148" s="15" t="n"/>
      <c r="M148" s="15" t="n"/>
      <c r="N148" s="16">
        <f>IF(OR(H148="",M148=""),"",IF(H148=M148,"Concorda","DIVERGE → Comitê"))</f>
        <v/>
      </c>
      <c r="O148" s="16">
        <f>IF(L148="","",IF(L148&lt;&gt;F148,"Sim","NÃO"))</f>
        <v/>
      </c>
    </row>
    <row r="149">
      <c r="A149" s="15" t="n"/>
      <c r="B149" s="15" t="n"/>
      <c r="C149" s="15" t="n"/>
      <c r="D149" s="15" t="n"/>
      <c r="E149" s="15" t="n"/>
      <c r="F149" s="15" t="n"/>
      <c r="G149" s="18" t="n"/>
      <c r="H149" s="15" t="n"/>
      <c r="I149" s="15" t="n"/>
      <c r="J149" s="15" t="n"/>
      <c r="K149" s="15" t="n"/>
      <c r="L149" s="15" t="n"/>
      <c r="M149" s="15" t="n"/>
      <c r="N149" s="16">
        <f>IF(OR(H149="",M149=""),"",IF(H149=M149,"Concorda","DIVERGE → Comitê"))</f>
        <v/>
      </c>
      <c r="O149" s="16">
        <f>IF(L149="","",IF(L149&lt;&gt;F149,"Sim","NÃO"))</f>
        <v/>
      </c>
    </row>
    <row r="150">
      <c r="A150" s="15" t="n"/>
      <c r="B150" s="15" t="n"/>
      <c r="C150" s="15" t="n"/>
      <c r="D150" s="15" t="n"/>
      <c r="E150" s="15" t="n"/>
      <c r="F150" s="15" t="n"/>
      <c r="G150" s="18" t="n"/>
      <c r="H150" s="15" t="n"/>
      <c r="I150" s="15" t="n"/>
      <c r="J150" s="15" t="n"/>
      <c r="K150" s="15" t="n"/>
      <c r="L150" s="15" t="n"/>
      <c r="M150" s="15" t="n"/>
      <c r="N150" s="16">
        <f>IF(OR(H150="",M150=""),"",IF(H150=M150,"Concorda","DIVERGE → Comitê"))</f>
        <v/>
      </c>
      <c r="O150" s="16">
        <f>IF(L150="","",IF(L150&lt;&gt;F150,"Sim","NÃO"))</f>
        <v/>
      </c>
    </row>
    <row r="151">
      <c r="A151" s="15" t="n"/>
      <c r="B151" s="15" t="n"/>
      <c r="C151" s="15" t="n"/>
      <c r="D151" s="15" t="n"/>
      <c r="E151" s="15" t="n"/>
      <c r="F151" s="15" t="n"/>
      <c r="G151" s="18" t="n"/>
      <c r="H151" s="15" t="n"/>
      <c r="I151" s="15" t="n"/>
      <c r="J151" s="15" t="n"/>
      <c r="K151" s="15" t="n"/>
      <c r="L151" s="15" t="n"/>
      <c r="M151" s="15" t="n"/>
      <c r="N151" s="16">
        <f>IF(OR(H151="",M151=""),"",IF(H151=M151,"Concorda","DIVERGE → Comitê"))</f>
        <v/>
      </c>
      <c r="O151" s="16">
        <f>IF(L151="","",IF(L151&lt;&gt;F151,"Sim","NÃO"))</f>
        <v/>
      </c>
    </row>
    <row r="152">
      <c r="A152" s="15" t="n"/>
      <c r="B152" s="15" t="n"/>
      <c r="C152" s="15" t="n"/>
      <c r="D152" s="15" t="n"/>
      <c r="E152" s="15" t="n"/>
      <c r="F152" s="15" t="n"/>
      <c r="G152" s="18" t="n"/>
      <c r="H152" s="15" t="n"/>
      <c r="I152" s="15" t="n"/>
      <c r="J152" s="15" t="n"/>
      <c r="K152" s="15" t="n"/>
      <c r="L152" s="15" t="n"/>
      <c r="M152" s="15" t="n"/>
      <c r="N152" s="16">
        <f>IF(OR(H152="",M152=""),"",IF(H152=M152,"Concorda","DIVERGE → Comitê"))</f>
        <v/>
      </c>
      <c r="O152" s="16">
        <f>IF(L152="","",IF(L152&lt;&gt;F152,"Sim","NÃO"))</f>
        <v/>
      </c>
    </row>
    <row r="153">
      <c r="A153" s="15" t="n"/>
      <c r="B153" s="15" t="n"/>
      <c r="C153" s="15" t="n"/>
      <c r="D153" s="15" t="n"/>
      <c r="E153" s="15" t="n"/>
      <c r="F153" s="15" t="n"/>
      <c r="G153" s="18" t="n"/>
      <c r="H153" s="15" t="n"/>
      <c r="I153" s="15" t="n"/>
      <c r="J153" s="15" t="n"/>
      <c r="K153" s="15" t="n"/>
      <c r="L153" s="15" t="n"/>
      <c r="M153" s="15" t="n"/>
      <c r="N153" s="16">
        <f>IF(OR(H153="",M153=""),"",IF(H153=M153,"Concorda","DIVERGE → Comitê"))</f>
        <v/>
      </c>
      <c r="O153" s="16">
        <f>IF(L153="","",IF(L153&lt;&gt;F153,"Sim","NÃO"))</f>
        <v/>
      </c>
    </row>
    <row r="154">
      <c r="A154" s="15" t="n"/>
      <c r="B154" s="15" t="n"/>
      <c r="C154" s="15" t="n"/>
      <c r="D154" s="15" t="n"/>
      <c r="E154" s="15" t="n"/>
      <c r="F154" s="15" t="n"/>
      <c r="G154" s="18" t="n"/>
      <c r="H154" s="15" t="n"/>
      <c r="I154" s="15" t="n"/>
      <c r="J154" s="15" t="n"/>
      <c r="K154" s="15" t="n"/>
      <c r="L154" s="15" t="n"/>
      <c r="M154" s="15" t="n"/>
      <c r="N154" s="16">
        <f>IF(OR(H154="",M154=""),"",IF(H154=M154,"Concorda","DIVERGE → Comitê"))</f>
        <v/>
      </c>
      <c r="O154" s="16">
        <f>IF(L154="","",IF(L154&lt;&gt;F154,"Sim","NÃO"))</f>
        <v/>
      </c>
    </row>
    <row r="155">
      <c r="A155" s="15" t="n"/>
      <c r="B155" s="15" t="n"/>
      <c r="C155" s="15" t="n"/>
      <c r="D155" s="15" t="n"/>
      <c r="E155" s="15" t="n"/>
      <c r="F155" s="15" t="n"/>
      <c r="G155" s="18" t="n"/>
      <c r="H155" s="15" t="n"/>
      <c r="I155" s="15" t="n"/>
      <c r="J155" s="15" t="n"/>
      <c r="K155" s="15" t="n"/>
      <c r="L155" s="15" t="n"/>
      <c r="M155" s="15" t="n"/>
      <c r="N155" s="16">
        <f>IF(OR(H155="",M155=""),"",IF(H155=M155,"Concorda","DIVERGE → Comitê"))</f>
        <v/>
      </c>
      <c r="O155" s="16">
        <f>IF(L155="","",IF(L155&lt;&gt;F155,"Sim","NÃO"))</f>
        <v/>
      </c>
    </row>
    <row r="156">
      <c r="A156" s="15" t="n"/>
      <c r="B156" s="15" t="n"/>
      <c r="C156" s="15" t="n"/>
      <c r="D156" s="15" t="n"/>
      <c r="E156" s="15" t="n"/>
      <c r="F156" s="15" t="n"/>
      <c r="G156" s="18" t="n"/>
      <c r="H156" s="15" t="n"/>
      <c r="I156" s="15" t="n"/>
      <c r="J156" s="15" t="n"/>
      <c r="K156" s="15" t="n"/>
      <c r="L156" s="15" t="n"/>
      <c r="M156" s="15" t="n"/>
      <c r="N156" s="16">
        <f>IF(OR(H156="",M156=""),"",IF(H156=M156,"Concorda","DIVERGE → Comitê"))</f>
        <v/>
      </c>
      <c r="O156" s="16">
        <f>IF(L156="","",IF(L156&lt;&gt;F156,"Sim","NÃO"))</f>
        <v/>
      </c>
    </row>
    <row r="157">
      <c r="A157" s="15" t="n"/>
      <c r="B157" s="15" t="n"/>
      <c r="C157" s="15" t="n"/>
      <c r="D157" s="15" t="n"/>
      <c r="E157" s="15" t="n"/>
      <c r="F157" s="15" t="n"/>
      <c r="G157" s="18" t="n"/>
      <c r="H157" s="15" t="n"/>
      <c r="I157" s="15" t="n"/>
      <c r="J157" s="15" t="n"/>
      <c r="K157" s="15" t="n"/>
      <c r="L157" s="15" t="n"/>
      <c r="M157" s="15" t="n"/>
      <c r="N157" s="16">
        <f>IF(OR(H157="",M157=""),"",IF(H157=M157,"Concorda","DIVERGE → Comitê"))</f>
        <v/>
      </c>
      <c r="O157" s="16">
        <f>IF(L157="","",IF(L157&lt;&gt;F157,"Sim","NÃO"))</f>
        <v/>
      </c>
    </row>
    <row r="158">
      <c r="A158" s="15" t="n"/>
      <c r="B158" s="15" t="n"/>
      <c r="C158" s="15" t="n"/>
      <c r="D158" s="15" t="n"/>
      <c r="E158" s="15" t="n"/>
      <c r="F158" s="15" t="n"/>
      <c r="G158" s="18" t="n"/>
      <c r="H158" s="15" t="n"/>
      <c r="I158" s="15" t="n"/>
      <c r="J158" s="15" t="n"/>
      <c r="K158" s="15" t="n"/>
      <c r="L158" s="15" t="n"/>
      <c r="M158" s="15" t="n"/>
      <c r="N158" s="16">
        <f>IF(OR(H158="",M158=""),"",IF(H158=M158,"Concorda","DIVERGE → Comitê"))</f>
        <v/>
      </c>
      <c r="O158" s="16">
        <f>IF(L158="","",IF(L158&lt;&gt;F158,"Sim","NÃO"))</f>
        <v/>
      </c>
    </row>
    <row r="159">
      <c r="A159" s="15" t="n"/>
      <c r="B159" s="15" t="n"/>
      <c r="C159" s="15" t="n"/>
      <c r="D159" s="15" t="n"/>
      <c r="E159" s="15" t="n"/>
      <c r="F159" s="15" t="n"/>
      <c r="G159" s="18" t="n"/>
      <c r="H159" s="15" t="n"/>
      <c r="I159" s="15" t="n"/>
      <c r="J159" s="15" t="n"/>
      <c r="K159" s="15" t="n"/>
      <c r="L159" s="15" t="n"/>
      <c r="M159" s="15" t="n"/>
      <c r="N159" s="16">
        <f>IF(OR(H159="",M159=""),"",IF(H159=M159,"Concorda","DIVERGE → Comitê"))</f>
        <v/>
      </c>
      <c r="O159" s="16">
        <f>IF(L159="","",IF(L159&lt;&gt;F159,"Sim","NÃO"))</f>
        <v/>
      </c>
    </row>
    <row r="160">
      <c r="A160" s="15" t="n"/>
      <c r="B160" s="15" t="n"/>
      <c r="C160" s="15" t="n"/>
      <c r="D160" s="15" t="n"/>
      <c r="E160" s="15" t="n"/>
      <c r="F160" s="15" t="n"/>
      <c r="G160" s="18" t="n"/>
      <c r="H160" s="15" t="n"/>
      <c r="I160" s="15" t="n"/>
      <c r="J160" s="15" t="n"/>
      <c r="K160" s="15" t="n"/>
      <c r="L160" s="15" t="n"/>
      <c r="M160" s="15" t="n"/>
      <c r="N160" s="16">
        <f>IF(OR(H160="",M160=""),"",IF(H160=M160,"Concorda","DIVERGE → Comitê"))</f>
        <v/>
      </c>
      <c r="O160" s="16">
        <f>IF(L160="","",IF(L160&lt;&gt;F160,"Sim","NÃO"))</f>
        <v/>
      </c>
    </row>
    <row r="161">
      <c r="A161" s="15" t="n"/>
      <c r="B161" s="15" t="n"/>
      <c r="C161" s="15" t="n"/>
      <c r="D161" s="15" t="n"/>
      <c r="E161" s="15" t="n"/>
      <c r="F161" s="15" t="n"/>
      <c r="G161" s="18" t="n"/>
      <c r="H161" s="15" t="n"/>
      <c r="I161" s="15" t="n"/>
      <c r="J161" s="15" t="n"/>
      <c r="K161" s="15" t="n"/>
      <c r="L161" s="15" t="n"/>
      <c r="M161" s="15" t="n"/>
      <c r="N161" s="16">
        <f>IF(OR(H161="",M161=""),"",IF(H161=M161,"Concorda","DIVERGE → Comitê"))</f>
        <v/>
      </c>
      <c r="O161" s="16">
        <f>IF(L161="","",IF(L161&lt;&gt;F161,"Sim","NÃO"))</f>
        <v/>
      </c>
    </row>
    <row r="162">
      <c r="A162" s="15" t="n"/>
      <c r="B162" s="15" t="n"/>
      <c r="C162" s="15" t="n"/>
      <c r="D162" s="15" t="n"/>
      <c r="E162" s="15" t="n"/>
      <c r="F162" s="15" t="n"/>
      <c r="G162" s="18" t="n"/>
      <c r="H162" s="15" t="n"/>
      <c r="I162" s="15" t="n"/>
      <c r="J162" s="15" t="n"/>
      <c r="K162" s="15" t="n"/>
      <c r="L162" s="15" t="n"/>
      <c r="M162" s="15" t="n"/>
      <c r="N162" s="16">
        <f>IF(OR(H162="",M162=""),"",IF(H162=M162,"Concorda","DIVERGE → Comitê"))</f>
        <v/>
      </c>
      <c r="O162" s="16">
        <f>IF(L162="","",IF(L162&lt;&gt;F162,"Sim","NÃO"))</f>
        <v/>
      </c>
    </row>
    <row r="163">
      <c r="A163" s="15" t="n"/>
      <c r="B163" s="15" t="n"/>
      <c r="C163" s="15" t="n"/>
      <c r="D163" s="15" t="n"/>
      <c r="E163" s="15" t="n"/>
      <c r="F163" s="15" t="n"/>
      <c r="G163" s="18" t="n"/>
      <c r="H163" s="15" t="n"/>
      <c r="I163" s="15" t="n"/>
      <c r="J163" s="15" t="n"/>
      <c r="K163" s="15" t="n"/>
      <c r="L163" s="15" t="n"/>
      <c r="M163" s="15" t="n"/>
      <c r="N163" s="16">
        <f>IF(OR(H163="",M163=""),"",IF(H163=M163,"Concorda","DIVERGE → Comitê"))</f>
        <v/>
      </c>
      <c r="O163" s="16">
        <f>IF(L163="","",IF(L163&lt;&gt;F163,"Sim","NÃO"))</f>
        <v/>
      </c>
    </row>
    <row r="164">
      <c r="A164" s="15" t="n"/>
      <c r="B164" s="15" t="n"/>
      <c r="C164" s="15" t="n"/>
      <c r="D164" s="15" t="n"/>
      <c r="E164" s="15" t="n"/>
      <c r="F164" s="15" t="n"/>
      <c r="G164" s="18" t="n"/>
      <c r="H164" s="15" t="n"/>
      <c r="I164" s="15" t="n"/>
      <c r="J164" s="15" t="n"/>
      <c r="K164" s="15" t="n"/>
      <c r="L164" s="15" t="n"/>
      <c r="M164" s="15" t="n"/>
      <c r="N164" s="16">
        <f>IF(OR(H164="",M164=""),"",IF(H164=M164,"Concorda","DIVERGE → Comitê"))</f>
        <v/>
      </c>
      <c r="O164" s="16">
        <f>IF(L164="","",IF(L164&lt;&gt;F164,"Sim","NÃO"))</f>
        <v/>
      </c>
    </row>
    <row r="165">
      <c r="A165" s="15" t="n"/>
      <c r="B165" s="15" t="n"/>
      <c r="C165" s="15" t="n"/>
      <c r="D165" s="15" t="n"/>
      <c r="E165" s="15" t="n"/>
      <c r="F165" s="15" t="n"/>
      <c r="G165" s="18" t="n"/>
      <c r="H165" s="15" t="n"/>
      <c r="I165" s="15" t="n"/>
      <c r="J165" s="15" t="n"/>
      <c r="K165" s="15" t="n"/>
      <c r="L165" s="15" t="n"/>
      <c r="M165" s="15" t="n"/>
      <c r="N165" s="16">
        <f>IF(OR(H165="",M165=""),"",IF(H165=M165,"Concorda","DIVERGE → Comitê"))</f>
        <v/>
      </c>
      <c r="O165" s="16">
        <f>IF(L165="","",IF(L165&lt;&gt;F165,"Sim","NÃO"))</f>
        <v/>
      </c>
    </row>
    <row r="166">
      <c r="A166" s="15" t="n"/>
      <c r="B166" s="15" t="n"/>
      <c r="C166" s="15" t="n"/>
      <c r="D166" s="15" t="n"/>
      <c r="E166" s="15" t="n"/>
      <c r="F166" s="15" t="n"/>
      <c r="G166" s="18" t="n"/>
      <c r="H166" s="15" t="n"/>
      <c r="I166" s="15" t="n"/>
      <c r="J166" s="15" t="n"/>
      <c r="K166" s="15" t="n"/>
      <c r="L166" s="15" t="n"/>
      <c r="M166" s="15" t="n"/>
      <c r="N166" s="16">
        <f>IF(OR(H166="",M166=""),"",IF(H166=M166,"Concorda","DIVERGE → Comitê"))</f>
        <v/>
      </c>
      <c r="O166" s="16">
        <f>IF(L166="","",IF(L166&lt;&gt;F166,"Sim","NÃO"))</f>
        <v/>
      </c>
    </row>
    <row r="167">
      <c r="A167" s="15" t="n"/>
      <c r="B167" s="15" t="n"/>
      <c r="C167" s="15" t="n"/>
      <c r="D167" s="15" t="n"/>
      <c r="E167" s="15" t="n"/>
      <c r="F167" s="15" t="n"/>
      <c r="G167" s="18" t="n"/>
      <c r="H167" s="15" t="n"/>
      <c r="I167" s="15" t="n"/>
      <c r="J167" s="15" t="n"/>
      <c r="K167" s="15" t="n"/>
      <c r="L167" s="15" t="n"/>
      <c r="M167" s="15" t="n"/>
      <c r="N167" s="16">
        <f>IF(OR(H167="",M167=""),"",IF(H167=M167,"Concorda","DIVERGE → Comitê"))</f>
        <v/>
      </c>
      <c r="O167" s="16">
        <f>IF(L167="","",IF(L167&lt;&gt;F167,"Sim","NÃO"))</f>
        <v/>
      </c>
    </row>
    <row r="168">
      <c r="A168" s="15" t="n"/>
      <c r="B168" s="15" t="n"/>
      <c r="C168" s="15" t="n"/>
      <c r="D168" s="15" t="n"/>
      <c r="E168" s="15" t="n"/>
      <c r="F168" s="15" t="n"/>
      <c r="G168" s="18" t="n"/>
      <c r="H168" s="15" t="n"/>
      <c r="I168" s="15" t="n"/>
      <c r="J168" s="15" t="n"/>
      <c r="K168" s="15" t="n"/>
      <c r="L168" s="15" t="n"/>
      <c r="M168" s="15" t="n"/>
      <c r="N168" s="16">
        <f>IF(OR(H168="",M168=""),"",IF(H168=M168,"Concorda","DIVERGE → Comitê"))</f>
        <v/>
      </c>
      <c r="O168" s="16">
        <f>IF(L168="","",IF(L168&lt;&gt;F168,"Sim","NÃO"))</f>
        <v/>
      </c>
    </row>
    <row r="169">
      <c r="A169" s="15" t="n"/>
      <c r="B169" s="15" t="n"/>
      <c r="C169" s="15" t="n"/>
      <c r="D169" s="15" t="n"/>
      <c r="E169" s="15" t="n"/>
      <c r="F169" s="15" t="n"/>
      <c r="G169" s="18" t="n"/>
      <c r="H169" s="15" t="n"/>
      <c r="I169" s="15" t="n"/>
      <c r="J169" s="15" t="n"/>
      <c r="K169" s="15" t="n"/>
      <c r="L169" s="15" t="n"/>
      <c r="M169" s="15" t="n"/>
      <c r="N169" s="16">
        <f>IF(OR(H169="",M169=""),"",IF(H169=M169,"Concorda","DIVERGE → Comitê"))</f>
        <v/>
      </c>
      <c r="O169" s="16">
        <f>IF(L169="","",IF(L169&lt;&gt;F169,"Sim","NÃO"))</f>
        <v/>
      </c>
    </row>
    <row r="170">
      <c r="A170" s="15" t="n"/>
      <c r="B170" s="15" t="n"/>
      <c r="C170" s="15" t="n"/>
      <c r="D170" s="15" t="n"/>
      <c r="E170" s="15" t="n"/>
      <c r="F170" s="15" t="n"/>
      <c r="G170" s="18" t="n"/>
      <c r="H170" s="15" t="n"/>
      <c r="I170" s="15" t="n"/>
      <c r="J170" s="15" t="n"/>
      <c r="K170" s="15" t="n"/>
      <c r="L170" s="15" t="n"/>
      <c r="M170" s="15" t="n"/>
      <c r="N170" s="16">
        <f>IF(OR(H170="",M170=""),"",IF(H170=M170,"Concorda","DIVERGE → Comitê"))</f>
        <v/>
      </c>
      <c r="O170" s="16">
        <f>IF(L170="","",IF(L170&lt;&gt;F170,"Sim","NÃO"))</f>
        <v/>
      </c>
    </row>
    <row r="171">
      <c r="A171" s="15" t="n"/>
      <c r="B171" s="15" t="n"/>
      <c r="C171" s="15" t="n"/>
      <c r="D171" s="15" t="n"/>
      <c r="E171" s="15" t="n"/>
      <c r="F171" s="15" t="n"/>
      <c r="G171" s="18" t="n"/>
      <c r="H171" s="15" t="n"/>
      <c r="I171" s="15" t="n"/>
      <c r="J171" s="15" t="n"/>
      <c r="K171" s="15" t="n"/>
      <c r="L171" s="15" t="n"/>
      <c r="M171" s="15" t="n"/>
      <c r="N171" s="16">
        <f>IF(OR(H171="",M171=""),"",IF(H171=M171,"Concorda","DIVERGE → Comitê"))</f>
        <v/>
      </c>
      <c r="O171" s="16">
        <f>IF(L171="","",IF(L171&lt;&gt;F171,"Sim","NÃO"))</f>
        <v/>
      </c>
    </row>
    <row r="172">
      <c r="A172" s="15" t="n"/>
      <c r="B172" s="15" t="n"/>
      <c r="C172" s="15" t="n"/>
      <c r="D172" s="15" t="n"/>
      <c r="E172" s="15" t="n"/>
      <c r="F172" s="15" t="n"/>
      <c r="G172" s="18" t="n"/>
      <c r="H172" s="15" t="n"/>
      <c r="I172" s="15" t="n"/>
      <c r="J172" s="15" t="n"/>
      <c r="K172" s="15" t="n"/>
      <c r="L172" s="15" t="n"/>
      <c r="M172" s="15" t="n"/>
      <c r="N172" s="16">
        <f>IF(OR(H172="",M172=""),"",IF(H172=M172,"Concorda","DIVERGE → Comitê"))</f>
        <v/>
      </c>
      <c r="O172" s="16">
        <f>IF(L172="","",IF(L172&lt;&gt;F172,"Sim","NÃO"))</f>
        <v/>
      </c>
    </row>
    <row r="173">
      <c r="A173" s="15" t="n"/>
      <c r="B173" s="15" t="n"/>
      <c r="C173" s="15" t="n"/>
      <c r="D173" s="15" t="n"/>
      <c r="E173" s="15" t="n"/>
      <c r="F173" s="15" t="n"/>
      <c r="G173" s="18" t="n"/>
      <c r="H173" s="15" t="n"/>
      <c r="I173" s="15" t="n"/>
      <c r="J173" s="15" t="n"/>
      <c r="K173" s="15" t="n"/>
      <c r="L173" s="15" t="n"/>
      <c r="M173" s="15" t="n"/>
      <c r="N173" s="16">
        <f>IF(OR(H173="",M173=""),"",IF(H173=M173,"Concorda","DIVERGE → Comitê"))</f>
        <v/>
      </c>
      <c r="O173" s="16">
        <f>IF(L173="","",IF(L173&lt;&gt;F173,"Sim","NÃO"))</f>
        <v/>
      </c>
    </row>
    <row r="174">
      <c r="A174" s="15" t="n"/>
      <c r="B174" s="15" t="n"/>
      <c r="C174" s="15" t="n"/>
      <c r="D174" s="15" t="n"/>
      <c r="E174" s="15" t="n"/>
      <c r="F174" s="15" t="n"/>
      <c r="G174" s="18" t="n"/>
      <c r="H174" s="15" t="n"/>
      <c r="I174" s="15" t="n"/>
      <c r="J174" s="15" t="n"/>
      <c r="K174" s="15" t="n"/>
      <c r="L174" s="15" t="n"/>
      <c r="M174" s="15" t="n"/>
      <c r="N174" s="16">
        <f>IF(OR(H174="",M174=""),"",IF(H174=M174,"Concorda","DIVERGE → Comitê"))</f>
        <v/>
      </c>
      <c r="O174" s="16">
        <f>IF(L174="","",IF(L174&lt;&gt;F174,"Sim","NÃO"))</f>
        <v/>
      </c>
    </row>
    <row r="175">
      <c r="A175" s="15" t="n"/>
      <c r="B175" s="15" t="n"/>
      <c r="C175" s="15" t="n"/>
      <c r="D175" s="15" t="n"/>
      <c r="E175" s="15" t="n"/>
      <c r="F175" s="15" t="n"/>
      <c r="G175" s="18" t="n"/>
      <c r="H175" s="15" t="n"/>
      <c r="I175" s="15" t="n"/>
      <c r="J175" s="15" t="n"/>
      <c r="K175" s="15" t="n"/>
      <c r="L175" s="15" t="n"/>
      <c r="M175" s="15" t="n"/>
      <c r="N175" s="16">
        <f>IF(OR(H175="",M175=""),"",IF(H175=M175,"Concorda","DIVERGE → Comitê"))</f>
        <v/>
      </c>
      <c r="O175" s="16">
        <f>IF(L175="","",IF(L175&lt;&gt;F175,"Sim","NÃO"))</f>
        <v/>
      </c>
    </row>
    <row r="176">
      <c r="A176" s="15" t="n"/>
      <c r="B176" s="15" t="n"/>
      <c r="C176" s="15" t="n"/>
      <c r="D176" s="15" t="n"/>
      <c r="E176" s="15" t="n"/>
      <c r="F176" s="15" t="n"/>
      <c r="G176" s="18" t="n"/>
      <c r="H176" s="15" t="n"/>
      <c r="I176" s="15" t="n"/>
      <c r="J176" s="15" t="n"/>
      <c r="K176" s="15" t="n"/>
      <c r="L176" s="15" t="n"/>
      <c r="M176" s="15" t="n"/>
      <c r="N176" s="16">
        <f>IF(OR(H176="",M176=""),"",IF(H176=M176,"Concorda","DIVERGE → Comitê"))</f>
        <v/>
      </c>
      <c r="O176" s="16">
        <f>IF(L176="","",IF(L176&lt;&gt;F176,"Sim","NÃO"))</f>
        <v/>
      </c>
    </row>
    <row r="177">
      <c r="A177" s="15" t="n"/>
      <c r="B177" s="15" t="n"/>
      <c r="C177" s="15" t="n"/>
      <c r="D177" s="15" t="n"/>
      <c r="E177" s="15" t="n"/>
      <c r="F177" s="15" t="n"/>
      <c r="G177" s="18" t="n"/>
      <c r="H177" s="15" t="n"/>
      <c r="I177" s="15" t="n"/>
      <c r="J177" s="15" t="n"/>
      <c r="K177" s="15" t="n"/>
      <c r="L177" s="15" t="n"/>
      <c r="M177" s="15" t="n"/>
      <c r="N177" s="16">
        <f>IF(OR(H177="",M177=""),"",IF(H177=M177,"Concorda","DIVERGE → Comitê"))</f>
        <v/>
      </c>
      <c r="O177" s="16">
        <f>IF(L177="","",IF(L177&lt;&gt;F177,"Sim","NÃO"))</f>
        <v/>
      </c>
    </row>
    <row r="178">
      <c r="A178" s="15" t="n"/>
      <c r="B178" s="15" t="n"/>
      <c r="C178" s="15" t="n"/>
      <c r="D178" s="15" t="n"/>
      <c r="E178" s="15" t="n"/>
      <c r="F178" s="15" t="n"/>
      <c r="G178" s="18" t="n"/>
      <c r="H178" s="15" t="n"/>
      <c r="I178" s="15" t="n"/>
      <c r="J178" s="15" t="n"/>
      <c r="K178" s="15" t="n"/>
      <c r="L178" s="15" t="n"/>
      <c r="M178" s="15" t="n"/>
      <c r="N178" s="16">
        <f>IF(OR(H178="",M178=""),"",IF(H178=M178,"Concorda","DIVERGE → Comitê"))</f>
        <v/>
      </c>
      <c r="O178" s="16">
        <f>IF(L178="","",IF(L178&lt;&gt;F178,"Sim","NÃO"))</f>
        <v/>
      </c>
    </row>
    <row r="179">
      <c r="A179" s="15" t="n"/>
      <c r="B179" s="15" t="n"/>
      <c r="C179" s="15" t="n"/>
      <c r="D179" s="15" t="n"/>
      <c r="E179" s="15" t="n"/>
      <c r="F179" s="15" t="n"/>
      <c r="G179" s="18" t="n"/>
      <c r="H179" s="15" t="n"/>
      <c r="I179" s="15" t="n"/>
      <c r="J179" s="15" t="n"/>
      <c r="K179" s="15" t="n"/>
      <c r="L179" s="15" t="n"/>
      <c r="M179" s="15" t="n"/>
      <c r="N179" s="16">
        <f>IF(OR(H179="",M179=""),"",IF(H179=M179,"Concorda","DIVERGE → Comitê"))</f>
        <v/>
      </c>
      <c r="O179" s="16">
        <f>IF(L179="","",IF(L179&lt;&gt;F179,"Sim","NÃO"))</f>
        <v/>
      </c>
    </row>
    <row r="180">
      <c r="A180" s="15" t="n"/>
      <c r="B180" s="15" t="n"/>
      <c r="C180" s="15" t="n"/>
      <c r="D180" s="15" t="n"/>
      <c r="E180" s="15" t="n"/>
      <c r="F180" s="15" t="n"/>
      <c r="G180" s="18" t="n"/>
      <c r="H180" s="15" t="n"/>
      <c r="I180" s="15" t="n"/>
      <c r="J180" s="15" t="n"/>
      <c r="K180" s="15" t="n"/>
      <c r="L180" s="15" t="n"/>
      <c r="M180" s="15" t="n"/>
      <c r="N180" s="16">
        <f>IF(OR(H180="",M180=""),"",IF(H180=M180,"Concorda","DIVERGE → Comitê"))</f>
        <v/>
      </c>
      <c r="O180" s="16">
        <f>IF(L180="","",IF(L180&lt;&gt;F180,"Sim","NÃO"))</f>
        <v/>
      </c>
    </row>
    <row r="181">
      <c r="A181" s="15" t="n"/>
      <c r="B181" s="15" t="n"/>
      <c r="C181" s="15" t="n"/>
      <c r="D181" s="15" t="n"/>
      <c r="E181" s="15" t="n"/>
      <c r="F181" s="15" t="n"/>
      <c r="G181" s="18" t="n"/>
      <c r="H181" s="15" t="n"/>
      <c r="I181" s="15" t="n"/>
      <c r="J181" s="15" t="n"/>
      <c r="K181" s="15" t="n"/>
      <c r="L181" s="15" t="n"/>
      <c r="M181" s="15" t="n"/>
      <c r="N181" s="16">
        <f>IF(OR(H181="",M181=""),"",IF(H181=M181,"Concorda","DIVERGE → Comitê"))</f>
        <v/>
      </c>
      <c r="O181" s="16">
        <f>IF(L181="","",IF(L181&lt;&gt;F181,"Sim","NÃO"))</f>
        <v/>
      </c>
    </row>
    <row r="182">
      <c r="A182" s="15" t="n"/>
      <c r="B182" s="15" t="n"/>
      <c r="C182" s="15" t="n"/>
      <c r="D182" s="15" t="n"/>
      <c r="E182" s="15" t="n"/>
      <c r="F182" s="15" t="n"/>
      <c r="G182" s="18" t="n"/>
      <c r="H182" s="15" t="n"/>
      <c r="I182" s="15" t="n"/>
      <c r="J182" s="15" t="n"/>
      <c r="K182" s="15" t="n"/>
      <c r="L182" s="15" t="n"/>
      <c r="M182" s="15" t="n"/>
      <c r="N182" s="16">
        <f>IF(OR(H182="",M182=""),"",IF(H182=M182,"Concorda","DIVERGE → Comitê"))</f>
        <v/>
      </c>
      <c r="O182" s="16">
        <f>IF(L182="","",IF(L182&lt;&gt;F182,"Sim","NÃO"))</f>
        <v/>
      </c>
    </row>
    <row r="183">
      <c r="A183" s="15" t="n"/>
      <c r="B183" s="15" t="n"/>
      <c r="C183" s="15" t="n"/>
      <c r="D183" s="15" t="n"/>
      <c r="E183" s="15" t="n"/>
      <c r="F183" s="15" t="n"/>
      <c r="G183" s="18" t="n"/>
      <c r="H183" s="15" t="n"/>
      <c r="I183" s="15" t="n"/>
      <c r="J183" s="15" t="n"/>
      <c r="K183" s="15" t="n"/>
      <c r="L183" s="15" t="n"/>
      <c r="M183" s="15" t="n"/>
      <c r="N183" s="16">
        <f>IF(OR(H183="",M183=""),"",IF(H183=M183,"Concorda","DIVERGE → Comitê"))</f>
        <v/>
      </c>
      <c r="O183" s="16">
        <f>IF(L183="","",IF(L183&lt;&gt;F183,"Sim","NÃO"))</f>
        <v/>
      </c>
    </row>
    <row r="184">
      <c r="A184" s="15" t="n"/>
      <c r="B184" s="15" t="n"/>
      <c r="C184" s="15" t="n"/>
      <c r="D184" s="15" t="n"/>
      <c r="E184" s="15" t="n"/>
      <c r="F184" s="15" t="n"/>
      <c r="G184" s="18" t="n"/>
      <c r="H184" s="15" t="n"/>
      <c r="I184" s="15" t="n"/>
      <c r="J184" s="15" t="n"/>
      <c r="K184" s="15" t="n"/>
      <c r="L184" s="15" t="n"/>
      <c r="M184" s="15" t="n"/>
      <c r="N184" s="16">
        <f>IF(OR(H184="",M184=""),"",IF(H184=M184,"Concorda","DIVERGE → Comitê"))</f>
        <v/>
      </c>
      <c r="O184" s="16">
        <f>IF(L184="","",IF(L184&lt;&gt;F184,"Sim","NÃO"))</f>
        <v/>
      </c>
    </row>
    <row r="185">
      <c r="A185" s="15" t="n"/>
      <c r="B185" s="15" t="n"/>
      <c r="C185" s="15" t="n"/>
      <c r="D185" s="15" t="n"/>
      <c r="E185" s="15" t="n"/>
      <c r="F185" s="15" t="n"/>
      <c r="G185" s="18" t="n"/>
      <c r="H185" s="15" t="n"/>
      <c r="I185" s="15" t="n"/>
      <c r="J185" s="15" t="n"/>
      <c r="K185" s="15" t="n"/>
      <c r="L185" s="15" t="n"/>
      <c r="M185" s="15" t="n"/>
      <c r="N185" s="16">
        <f>IF(OR(H185="",M185=""),"",IF(H185=M185,"Concorda","DIVERGE → Comitê"))</f>
        <v/>
      </c>
      <c r="O185" s="16">
        <f>IF(L185="","",IF(L185&lt;&gt;F185,"Sim","NÃO"))</f>
        <v/>
      </c>
    </row>
    <row r="186">
      <c r="A186" s="15" t="n"/>
      <c r="B186" s="15" t="n"/>
      <c r="C186" s="15" t="n"/>
      <c r="D186" s="15" t="n"/>
      <c r="E186" s="15" t="n"/>
      <c r="F186" s="15" t="n"/>
      <c r="G186" s="18" t="n"/>
      <c r="H186" s="15" t="n"/>
      <c r="I186" s="15" t="n"/>
      <c r="J186" s="15" t="n"/>
      <c r="K186" s="15" t="n"/>
      <c r="L186" s="15" t="n"/>
      <c r="M186" s="15" t="n"/>
      <c r="N186" s="16">
        <f>IF(OR(H186="",M186=""),"",IF(H186=M186,"Concorda","DIVERGE → Comitê"))</f>
        <v/>
      </c>
      <c r="O186" s="16">
        <f>IF(L186="","",IF(L186&lt;&gt;F186,"Sim","NÃO"))</f>
        <v/>
      </c>
    </row>
    <row r="187">
      <c r="A187" s="15" t="n"/>
      <c r="B187" s="15" t="n"/>
      <c r="C187" s="15" t="n"/>
      <c r="D187" s="15" t="n"/>
      <c r="E187" s="15" t="n"/>
      <c r="F187" s="15" t="n"/>
      <c r="G187" s="18" t="n"/>
      <c r="H187" s="15" t="n"/>
      <c r="I187" s="15" t="n"/>
      <c r="J187" s="15" t="n"/>
      <c r="K187" s="15" t="n"/>
      <c r="L187" s="15" t="n"/>
      <c r="M187" s="15" t="n"/>
      <c r="N187" s="16">
        <f>IF(OR(H187="",M187=""),"",IF(H187=M187,"Concorda","DIVERGE → Comitê"))</f>
        <v/>
      </c>
      <c r="O187" s="16">
        <f>IF(L187="","",IF(L187&lt;&gt;F187,"Sim","NÃO"))</f>
        <v/>
      </c>
    </row>
    <row r="188">
      <c r="A188" s="15" t="n"/>
      <c r="B188" s="15" t="n"/>
      <c r="C188" s="15" t="n"/>
      <c r="D188" s="15" t="n"/>
      <c r="E188" s="15" t="n"/>
      <c r="F188" s="15" t="n"/>
      <c r="G188" s="18" t="n"/>
      <c r="H188" s="15" t="n"/>
      <c r="I188" s="15" t="n"/>
      <c r="J188" s="15" t="n"/>
      <c r="K188" s="15" t="n"/>
      <c r="L188" s="15" t="n"/>
      <c r="M188" s="15" t="n"/>
      <c r="N188" s="16">
        <f>IF(OR(H188="",M188=""),"",IF(H188=M188,"Concorda","DIVERGE → Comitê"))</f>
        <v/>
      </c>
      <c r="O188" s="16">
        <f>IF(L188="","",IF(L188&lt;&gt;F188,"Sim","NÃO"))</f>
        <v/>
      </c>
    </row>
    <row r="189">
      <c r="A189" s="15" t="n"/>
      <c r="B189" s="15" t="n"/>
      <c r="C189" s="15" t="n"/>
      <c r="D189" s="15" t="n"/>
      <c r="E189" s="15" t="n"/>
      <c r="F189" s="15" t="n"/>
      <c r="G189" s="18" t="n"/>
      <c r="H189" s="15" t="n"/>
      <c r="I189" s="15" t="n"/>
      <c r="J189" s="15" t="n"/>
      <c r="K189" s="15" t="n"/>
      <c r="L189" s="15" t="n"/>
      <c r="M189" s="15" t="n"/>
      <c r="N189" s="16">
        <f>IF(OR(H189="",M189=""),"",IF(H189=M189,"Concorda","DIVERGE → Comitê"))</f>
        <v/>
      </c>
      <c r="O189" s="16">
        <f>IF(L189="","",IF(L189&lt;&gt;F189,"Sim","NÃO"))</f>
        <v/>
      </c>
    </row>
    <row r="190">
      <c r="A190" s="15" t="n"/>
      <c r="B190" s="15" t="n"/>
      <c r="C190" s="15" t="n"/>
      <c r="D190" s="15" t="n"/>
      <c r="E190" s="15" t="n"/>
      <c r="F190" s="15" t="n"/>
      <c r="G190" s="18" t="n"/>
      <c r="H190" s="15" t="n"/>
      <c r="I190" s="15" t="n"/>
      <c r="J190" s="15" t="n"/>
      <c r="K190" s="15" t="n"/>
      <c r="L190" s="15" t="n"/>
      <c r="M190" s="15" t="n"/>
      <c r="N190" s="16">
        <f>IF(OR(H190="",M190=""),"",IF(H190=M190,"Concorda","DIVERGE → Comitê"))</f>
        <v/>
      </c>
      <c r="O190" s="16">
        <f>IF(L190="","",IF(L190&lt;&gt;F190,"Sim","NÃO"))</f>
        <v/>
      </c>
    </row>
    <row r="191">
      <c r="A191" s="15" t="n"/>
      <c r="B191" s="15" t="n"/>
      <c r="C191" s="15" t="n"/>
      <c r="D191" s="15" t="n"/>
      <c r="E191" s="15" t="n"/>
      <c r="F191" s="15" t="n"/>
      <c r="G191" s="18" t="n"/>
      <c r="H191" s="15" t="n"/>
      <c r="I191" s="15" t="n"/>
      <c r="J191" s="15" t="n"/>
      <c r="K191" s="15" t="n"/>
      <c r="L191" s="15" t="n"/>
      <c r="M191" s="15" t="n"/>
      <c r="N191" s="16">
        <f>IF(OR(H191="",M191=""),"",IF(H191=M191,"Concorda","DIVERGE → Comitê"))</f>
        <v/>
      </c>
      <c r="O191" s="16">
        <f>IF(L191="","",IF(L191&lt;&gt;F191,"Sim","NÃO"))</f>
        <v/>
      </c>
    </row>
    <row r="192">
      <c r="A192" s="15" t="n"/>
      <c r="B192" s="15" t="n"/>
      <c r="C192" s="15" t="n"/>
      <c r="D192" s="15" t="n"/>
      <c r="E192" s="15" t="n"/>
      <c r="F192" s="15" t="n"/>
      <c r="G192" s="18" t="n"/>
      <c r="H192" s="15" t="n"/>
      <c r="I192" s="15" t="n"/>
      <c r="J192" s="15" t="n"/>
      <c r="K192" s="15" t="n"/>
      <c r="L192" s="15" t="n"/>
      <c r="M192" s="15" t="n"/>
      <c r="N192" s="16">
        <f>IF(OR(H192="",M192=""),"",IF(H192=M192,"Concorda","DIVERGE → Comitê"))</f>
        <v/>
      </c>
      <c r="O192" s="16">
        <f>IF(L192="","",IF(L192&lt;&gt;F192,"Sim","NÃO"))</f>
        <v/>
      </c>
    </row>
    <row r="193">
      <c r="A193" s="15" t="n"/>
      <c r="B193" s="15" t="n"/>
      <c r="C193" s="15" t="n"/>
      <c r="D193" s="15" t="n"/>
      <c r="E193" s="15" t="n"/>
      <c r="F193" s="15" t="n"/>
      <c r="G193" s="18" t="n"/>
      <c r="H193" s="15" t="n"/>
      <c r="I193" s="15" t="n"/>
      <c r="J193" s="15" t="n"/>
      <c r="K193" s="15" t="n"/>
      <c r="L193" s="15" t="n"/>
      <c r="M193" s="15" t="n"/>
      <c r="N193" s="16">
        <f>IF(OR(H193="",M193=""),"",IF(H193=M193,"Concorda","DIVERGE → Comitê"))</f>
        <v/>
      </c>
      <c r="O193" s="16">
        <f>IF(L193="","",IF(L193&lt;&gt;F193,"Sim","NÃO"))</f>
        <v/>
      </c>
    </row>
    <row r="194">
      <c r="A194" s="15" t="n"/>
      <c r="B194" s="15" t="n"/>
      <c r="C194" s="15" t="n"/>
      <c r="D194" s="15" t="n"/>
      <c r="E194" s="15" t="n"/>
      <c r="F194" s="15" t="n"/>
      <c r="G194" s="18" t="n"/>
      <c r="H194" s="15" t="n"/>
      <c r="I194" s="15" t="n"/>
      <c r="J194" s="15" t="n"/>
      <c r="K194" s="15" t="n"/>
      <c r="L194" s="15" t="n"/>
      <c r="M194" s="15" t="n"/>
      <c r="N194" s="16">
        <f>IF(OR(H194="",M194=""),"",IF(H194=M194,"Concorda","DIVERGE → Comitê"))</f>
        <v/>
      </c>
      <c r="O194" s="16">
        <f>IF(L194="","",IF(L194&lt;&gt;F194,"Sim","NÃO"))</f>
        <v/>
      </c>
    </row>
    <row r="195">
      <c r="A195" s="15" t="n"/>
      <c r="B195" s="15" t="n"/>
      <c r="C195" s="15" t="n"/>
      <c r="D195" s="15" t="n"/>
      <c r="E195" s="15" t="n"/>
      <c r="F195" s="15" t="n"/>
      <c r="G195" s="18" t="n"/>
      <c r="H195" s="15" t="n"/>
      <c r="I195" s="15" t="n"/>
      <c r="J195" s="15" t="n"/>
      <c r="K195" s="15" t="n"/>
      <c r="L195" s="15" t="n"/>
      <c r="M195" s="15" t="n"/>
      <c r="N195" s="16">
        <f>IF(OR(H195="",M195=""),"",IF(H195=M195,"Concorda","DIVERGE → Comitê"))</f>
        <v/>
      </c>
      <c r="O195" s="16">
        <f>IF(L195="","",IF(L195&lt;&gt;F195,"Sim","NÃO"))</f>
        <v/>
      </c>
    </row>
    <row r="196">
      <c r="A196" s="15" t="n"/>
      <c r="B196" s="15" t="n"/>
      <c r="C196" s="15" t="n"/>
      <c r="D196" s="15" t="n"/>
      <c r="E196" s="15" t="n"/>
      <c r="F196" s="15" t="n"/>
      <c r="G196" s="18" t="n"/>
      <c r="H196" s="15" t="n"/>
      <c r="I196" s="15" t="n"/>
      <c r="J196" s="15" t="n"/>
      <c r="K196" s="15" t="n"/>
      <c r="L196" s="15" t="n"/>
      <c r="M196" s="15" t="n"/>
      <c r="N196" s="16">
        <f>IF(OR(H196="",M196=""),"",IF(H196=M196,"Concorda","DIVERGE → Comitê"))</f>
        <v/>
      </c>
      <c r="O196" s="16">
        <f>IF(L196="","",IF(L196&lt;&gt;F196,"Sim","NÃO"))</f>
        <v/>
      </c>
    </row>
    <row r="197">
      <c r="A197" s="15" t="n"/>
      <c r="B197" s="15" t="n"/>
      <c r="C197" s="15" t="n"/>
      <c r="D197" s="15" t="n"/>
      <c r="E197" s="15" t="n"/>
      <c r="F197" s="15" t="n"/>
      <c r="G197" s="18" t="n"/>
      <c r="H197" s="15" t="n"/>
      <c r="I197" s="15" t="n"/>
      <c r="J197" s="15" t="n"/>
      <c r="K197" s="15" t="n"/>
      <c r="L197" s="15" t="n"/>
      <c r="M197" s="15" t="n"/>
      <c r="N197" s="16">
        <f>IF(OR(H197="",M197=""),"",IF(H197=M197,"Concorda","DIVERGE → Comitê"))</f>
        <v/>
      </c>
      <c r="O197" s="16">
        <f>IF(L197="","",IF(L197&lt;&gt;F197,"Sim","NÃO"))</f>
        <v/>
      </c>
    </row>
    <row r="198">
      <c r="A198" s="15" t="n"/>
      <c r="B198" s="15" t="n"/>
      <c r="C198" s="15" t="n"/>
      <c r="D198" s="15" t="n"/>
      <c r="E198" s="15" t="n"/>
      <c r="F198" s="15" t="n"/>
      <c r="G198" s="18" t="n"/>
      <c r="H198" s="15" t="n"/>
      <c r="I198" s="15" t="n"/>
      <c r="J198" s="15" t="n"/>
      <c r="K198" s="15" t="n"/>
      <c r="L198" s="15" t="n"/>
      <c r="M198" s="15" t="n"/>
      <c r="N198" s="16">
        <f>IF(OR(H198="",M198=""),"",IF(H198=M198,"Concorda","DIVERGE → Comitê"))</f>
        <v/>
      </c>
      <c r="O198" s="16">
        <f>IF(L198="","",IF(L198&lt;&gt;F198,"Sim","NÃO"))</f>
        <v/>
      </c>
    </row>
    <row r="199">
      <c r="A199" s="15" t="n"/>
      <c r="B199" s="15" t="n"/>
      <c r="C199" s="15" t="n"/>
      <c r="D199" s="15" t="n"/>
      <c r="E199" s="15" t="n"/>
      <c r="F199" s="15" t="n"/>
      <c r="G199" s="18" t="n"/>
      <c r="H199" s="15" t="n"/>
      <c r="I199" s="15" t="n"/>
      <c r="J199" s="15" t="n"/>
      <c r="K199" s="15" t="n"/>
      <c r="L199" s="15" t="n"/>
      <c r="M199" s="15" t="n"/>
      <c r="N199" s="16">
        <f>IF(OR(H199="",M199=""),"",IF(H199=M199,"Concorda","DIVERGE → Comitê"))</f>
        <v/>
      </c>
      <c r="O199" s="16">
        <f>IF(L199="","",IF(L199&lt;&gt;F199,"Sim","NÃO"))</f>
        <v/>
      </c>
    </row>
    <row r="200">
      <c r="A200" s="15" t="n"/>
      <c r="B200" s="15" t="n"/>
      <c r="C200" s="15" t="n"/>
      <c r="D200" s="15" t="n"/>
      <c r="E200" s="15" t="n"/>
      <c r="F200" s="15" t="n"/>
      <c r="G200" s="18" t="n"/>
      <c r="H200" s="15" t="n"/>
      <c r="I200" s="15" t="n"/>
      <c r="J200" s="15" t="n"/>
      <c r="K200" s="15" t="n"/>
      <c r="L200" s="15" t="n"/>
      <c r="M200" s="15" t="n"/>
      <c r="N200" s="16">
        <f>IF(OR(H200="",M200=""),"",IF(H200=M200,"Concorda","DIVERGE → Comitê"))</f>
        <v/>
      </c>
      <c r="O200" s="16">
        <f>IF(L200="","",IF(L200&lt;&gt;F200,"Sim","NÃO"))</f>
        <v/>
      </c>
    </row>
    <row r="201">
      <c r="A201" s="15" t="n"/>
      <c r="B201" s="15" t="n"/>
      <c r="C201" s="15" t="n"/>
      <c r="D201" s="15" t="n"/>
      <c r="E201" s="15" t="n"/>
      <c r="F201" s="15" t="n"/>
      <c r="G201" s="18" t="n"/>
      <c r="H201" s="15" t="n"/>
      <c r="I201" s="15" t="n"/>
      <c r="J201" s="15" t="n"/>
      <c r="K201" s="15" t="n"/>
      <c r="L201" s="15" t="n"/>
      <c r="M201" s="15" t="n"/>
      <c r="N201" s="16">
        <f>IF(OR(H201="",M201=""),"",IF(H201=M201,"Concorda","DIVERGE → Comitê"))</f>
        <v/>
      </c>
      <c r="O201" s="16">
        <f>IF(L201="","",IF(L201&lt;&gt;F201,"Sim","NÃO"))</f>
        <v/>
      </c>
    </row>
    <row r="202">
      <c r="A202" s="15" t="n"/>
      <c r="B202" s="15" t="n"/>
      <c r="C202" s="15" t="n"/>
      <c r="D202" s="15" t="n"/>
      <c r="E202" s="15" t="n"/>
      <c r="F202" s="15" t="n"/>
      <c r="G202" s="18" t="n"/>
      <c r="H202" s="15" t="n"/>
      <c r="I202" s="15" t="n"/>
      <c r="J202" s="15" t="n"/>
      <c r="K202" s="15" t="n"/>
      <c r="L202" s="15" t="n"/>
      <c r="M202" s="15" t="n"/>
      <c r="N202" s="16">
        <f>IF(OR(H202="",M202=""),"",IF(H202=M202,"Concorda","DIVERGE → Comitê"))</f>
        <v/>
      </c>
      <c r="O202" s="16">
        <f>IF(L202="","",IF(L202&lt;&gt;F202,"Sim","NÃO"))</f>
        <v/>
      </c>
    </row>
    <row r="203">
      <c r="A203" s="15" t="n"/>
      <c r="B203" s="15" t="n"/>
      <c r="C203" s="15" t="n"/>
      <c r="D203" s="15" t="n"/>
      <c r="E203" s="15" t="n"/>
      <c r="F203" s="15" t="n"/>
      <c r="G203" s="18" t="n"/>
      <c r="H203" s="15" t="n"/>
      <c r="I203" s="15" t="n"/>
      <c r="J203" s="15" t="n"/>
      <c r="K203" s="15" t="n"/>
      <c r="L203" s="15" t="n"/>
      <c r="M203" s="15" t="n"/>
      <c r="N203" s="16">
        <f>IF(OR(H203="",M203=""),"",IF(H203=M203,"Concorda","DIVERGE → Comitê"))</f>
        <v/>
      </c>
      <c r="O203" s="16">
        <f>IF(L203="","",IF(L203&lt;&gt;F203,"Sim","NÃO"))</f>
        <v/>
      </c>
    </row>
    <row r="204">
      <c r="A204" s="15" t="n"/>
      <c r="B204" s="15" t="n"/>
      <c r="C204" s="15" t="n"/>
      <c r="D204" s="15" t="n"/>
      <c r="E204" s="15" t="n"/>
      <c r="F204" s="15" t="n"/>
      <c r="G204" s="18" t="n"/>
      <c r="H204" s="15" t="n"/>
      <c r="I204" s="15" t="n"/>
      <c r="J204" s="15" t="n"/>
      <c r="K204" s="15" t="n"/>
      <c r="L204" s="15" t="n"/>
      <c r="M204" s="15" t="n"/>
      <c r="N204" s="16">
        <f>IF(OR(H204="",M204=""),"",IF(H204=M204,"Concorda","DIVERGE → Comitê"))</f>
        <v/>
      </c>
      <c r="O204" s="16">
        <f>IF(L204="","",IF(L204&lt;&gt;F204,"Sim","NÃO"))</f>
        <v/>
      </c>
    </row>
    <row r="205">
      <c r="A205" s="15" t="n"/>
      <c r="B205" s="15" t="n"/>
      <c r="C205" s="15" t="n"/>
      <c r="D205" s="15" t="n"/>
      <c r="E205" s="15" t="n"/>
      <c r="F205" s="15" t="n"/>
      <c r="G205" s="18" t="n"/>
      <c r="H205" s="15" t="n"/>
      <c r="I205" s="15" t="n"/>
      <c r="J205" s="15" t="n"/>
      <c r="K205" s="15" t="n"/>
      <c r="L205" s="15" t="n"/>
      <c r="M205" s="15" t="n"/>
      <c r="N205" s="16">
        <f>IF(OR(H205="",M205=""),"",IF(H205=M205,"Concorda","DIVERGE → Comitê"))</f>
        <v/>
      </c>
      <c r="O205" s="16">
        <f>IF(L205="","",IF(L205&lt;&gt;F205,"Sim","NÃO"))</f>
        <v/>
      </c>
    </row>
    <row r="206">
      <c r="A206" s="15" t="n"/>
      <c r="B206" s="15" t="n"/>
      <c r="C206" s="15" t="n"/>
      <c r="D206" s="15" t="n"/>
      <c r="E206" s="15" t="n"/>
      <c r="F206" s="15" t="n"/>
      <c r="G206" s="18" t="n"/>
      <c r="H206" s="15" t="n"/>
      <c r="I206" s="15" t="n"/>
      <c r="J206" s="15" t="n"/>
      <c r="K206" s="15" t="n"/>
      <c r="L206" s="15" t="n"/>
      <c r="M206" s="15" t="n"/>
      <c r="N206" s="16">
        <f>IF(OR(H206="",M206=""),"",IF(H206=M206,"Concorda","DIVERGE → Comitê"))</f>
        <v/>
      </c>
      <c r="O206" s="16">
        <f>IF(L206="","",IF(L206&lt;&gt;F206,"Sim","NÃO"))</f>
        <v/>
      </c>
    </row>
    <row r="207">
      <c r="A207" s="15" t="n"/>
      <c r="B207" s="15" t="n"/>
      <c r="C207" s="15" t="n"/>
      <c r="D207" s="15" t="n"/>
      <c r="E207" s="15" t="n"/>
      <c r="F207" s="15" t="n"/>
      <c r="G207" s="18" t="n"/>
      <c r="H207" s="15" t="n"/>
      <c r="I207" s="15" t="n"/>
      <c r="J207" s="15" t="n"/>
      <c r="K207" s="15" t="n"/>
      <c r="L207" s="15" t="n"/>
      <c r="M207" s="15" t="n"/>
      <c r="N207" s="16">
        <f>IF(OR(H207="",M207=""),"",IF(H207=M207,"Concorda","DIVERGE → Comitê"))</f>
        <v/>
      </c>
      <c r="O207" s="16">
        <f>IF(L207="","",IF(L207&lt;&gt;F207,"Sim","NÃO"))</f>
        <v/>
      </c>
    </row>
    <row r="208">
      <c r="A208" s="15" t="n"/>
      <c r="B208" s="15" t="n"/>
      <c r="C208" s="15" t="n"/>
      <c r="D208" s="15" t="n"/>
      <c r="E208" s="15" t="n"/>
      <c r="F208" s="15" t="n"/>
      <c r="G208" s="18" t="n"/>
      <c r="H208" s="15" t="n"/>
      <c r="I208" s="15" t="n"/>
      <c r="J208" s="15" t="n"/>
      <c r="K208" s="15" t="n"/>
      <c r="L208" s="15" t="n"/>
      <c r="M208" s="15" t="n"/>
      <c r="N208" s="16">
        <f>IF(OR(H208="",M208=""),"",IF(H208=M208,"Concorda","DIVERGE → Comitê"))</f>
        <v/>
      </c>
      <c r="O208" s="16">
        <f>IF(L208="","",IF(L208&lt;&gt;F208,"Sim","NÃO"))</f>
        <v/>
      </c>
    </row>
    <row r="209">
      <c r="A209" s="15" t="n"/>
      <c r="B209" s="15" t="n"/>
      <c r="C209" s="15" t="n"/>
      <c r="D209" s="15" t="n"/>
      <c r="E209" s="15" t="n"/>
      <c r="F209" s="15" t="n"/>
      <c r="G209" s="18" t="n"/>
      <c r="H209" s="15" t="n"/>
      <c r="I209" s="15" t="n"/>
      <c r="J209" s="15" t="n"/>
      <c r="K209" s="15" t="n"/>
      <c r="L209" s="15" t="n"/>
      <c r="M209" s="15" t="n"/>
      <c r="N209" s="16">
        <f>IF(OR(H209="",M209=""),"",IF(H209=M209,"Concorda","DIVERGE → Comitê"))</f>
        <v/>
      </c>
      <c r="O209" s="16">
        <f>IF(L209="","",IF(L209&lt;&gt;F209,"Sim","NÃO"))</f>
        <v/>
      </c>
    </row>
    <row r="210">
      <c r="A210" s="15" t="n"/>
      <c r="B210" s="15" t="n"/>
      <c r="C210" s="15" t="n"/>
      <c r="D210" s="15" t="n"/>
      <c r="E210" s="15" t="n"/>
      <c r="F210" s="15" t="n"/>
      <c r="G210" s="18" t="n"/>
      <c r="H210" s="15" t="n"/>
      <c r="I210" s="15" t="n"/>
      <c r="J210" s="15" t="n"/>
      <c r="K210" s="15" t="n"/>
      <c r="L210" s="15" t="n"/>
      <c r="M210" s="15" t="n"/>
      <c r="N210" s="16">
        <f>IF(OR(H210="",M210=""),"",IF(H210=M210,"Concorda","DIVERGE → Comitê"))</f>
        <v/>
      </c>
      <c r="O210" s="16">
        <f>IF(L210="","",IF(L210&lt;&gt;F210,"Sim","NÃO"))</f>
        <v/>
      </c>
    </row>
    <row r="211">
      <c r="A211" s="15" t="n"/>
      <c r="B211" s="15" t="n"/>
      <c r="C211" s="15" t="n"/>
      <c r="D211" s="15" t="n"/>
      <c r="E211" s="15" t="n"/>
      <c r="F211" s="15" t="n"/>
      <c r="G211" s="18" t="n"/>
      <c r="H211" s="15" t="n"/>
      <c r="I211" s="15" t="n"/>
      <c r="J211" s="15" t="n"/>
      <c r="K211" s="15" t="n"/>
      <c r="L211" s="15" t="n"/>
      <c r="M211" s="15" t="n"/>
      <c r="N211" s="16">
        <f>IF(OR(H211="",M211=""),"",IF(H211=M211,"Concorda","DIVERGE → Comitê"))</f>
        <v/>
      </c>
      <c r="O211" s="16">
        <f>IF(L211="","",IF(L211&lt;&gt;F211,"Sim","NÃO"))</f>
        <v/>
      </c>
    </row>
    <row r="212">
      <c r="A212" s="15" t="n"/>
      <c r="B212" s="15" t="n"/>
      <c r="C212" s="15" t="n"/>
      <c r="D212" s="15" t="n"/>
      <c r="E212" s="15" t="n"/>
      <c r="F212" s="15" t="n"/>
      <c r="G212" s="18" t="n"/>
      <c r="H212" s="15" t="n"/>
      <c r="I212" s="15" t="n"/>
      <c r="J212" s="15" t="n"/>
      <c r="K212" s="15" t="n"/>
      <c r="L212" s="15" t="n"/>
      <c r="M212" s="15" t="n"/>
      <c r="N212" s="16">
        <f>IF(OR(H212="",M212=""),"",IF(H212=M212,"Concorda","DIVERGE → Comitê"))</f>
        <v/>
      </c>
      <c r="O212" s="16">
        <f>IF(L212="","",IF(L212&lt;&gt;F212,"Sim","NÃO"))</f>
        <v/>
      </c>
    </row>
    <row r="213">
      <c r="A213" s="15" t="n"/>
      <c r="B213" s="15" t="n"/>
      <c r="C213" s="15" t="n"/>
      <c r="D213" s="15" t="n"/>
      <c r="E213" s="15" t="n"/>
      <c r="F213" s="15" t="n"/>
      <c r="G213" s="18" t="n"/>
      <c r="H213" s="15" t="n"/>
      <c r="I213" s="15" t="n"/>
      <c r="J213" s="15" t="n"/>
      <c r="K213" s="15" t="n"/>
      <c r="L213" s="15" t="n"/>
      <c r="M213" s="15" t="n"/>
      <c r="N213" s="16">
        <f>IF(OR(H213="",M213=""),"",IF(H213=M213,"Concorda","DIVERGE → Comitê"))</f>
        <v/>
      </c>
      <c r="O213" s="16">
        <f>IF(L213="","",IF(L213&lt;&gt;F213,"Sim","NÃO"))</f>
        <v/>
      </c>
    </row>
    <row r="214">
      <c r="A214" s="15" t="n"/>
      <c r="B214" s="15" t="n"/>
      <c r="C214" s="15" t="n"/>
      <c r="D214" s="15" t="n"/>
      <c r="E214" s="15" t="n"/>
      <c r="F214" s="15" t="n"/>
      <c r="G214" s="18" t="n"/>
      <c r="H214" s="15" t="n"/>
      <c r="I214" s="15" t="n"/>
      <c r="J214" s="15" t="n"/>
      <c r="K214" s="15" t="n"/>
      <c r="L214" s="15" t="n"/>
      <c r="M214" s="15" t="n"/>
      <c r="N214" s="16">
        <f>IF(OR(H214="",M214=""),"",IF(H214=M214,"Concorda","DIVERGE → Comitê"))</f>
        <v/>
      </c>
      <c r="O214" s="16">
        <f>IF(L214="","",IF(L214&lt;&gt;F214,"Sim","NÃO"))</f>
        <v/>
      </c>
    </row>
    <row r="215">
      <c r="A215" s="15" t="n"/>
      <c r="B215" s="15" t="n"/>
      <c r="C215" s="15" t="n"/>
      <c r="D215" s="15" t="n"/>
      <c r="E215" s="15" t="n"/>
      <c r="F215" s="15" t="n"/>
      <c r="G215" s="18" t="n"/>
      <c r="H215" s="15" t="n"/>
      <c r="I215" s="15" t="n"/>
      <c r="J215" s="15" t="n"/>
      <c r="K215" s="15" t="n"/>
      <c r="L215" s="15" t="n"/>
      <c r="M215" s="15" t="n"/>
      <c r="N215" s="16">
        <f>IF(OR(H215="",M215=""),"",IF(H215=M215,"Concorda","DIVERGE → Comitê"))</f>
        <v/>
      </c>
      <c r="O215" s="16">
        <f>IF(L215="","",IF(L215&lt;&gt;F215,"Sim","NÃO"))</f>
        <v/>
      </c>
    </row>
    <row r="216">
      <c r="A216" s="15" t="n"/>
      <c r="B216" s="15" t="n"/>
      <c r="C216" s="15" t="n"/>
      <c r="D216" s="15" t="n"/>
      <c r="E216" s="15" t="n"/>
      <c r="F216" s="15" t="n"/>
      <c r="G216" s="18" t="n"/>
      <c r="H216" s="15" t="n"/>
      <c r="I216" s="15" t="n"/>
      <c r="J216" s="15" t="n"/>
      <c r="K216" s="15" t="n"/>
      <c r="L216" s="15" t="n"/>
      <c r="M216" s="15" t="n"/>
      <c r="N216" s="16">
        <f>IF(OR(H216="",M216=""),"",IF(H216=M216,"Concorda","DIVERGE → Comitê"))</f>
        <v/>
      </c>
      <c r="O216" s="16">
        <f>IF(L216="","",IF(L216&lt;&gt;F216,"Sim","NÃO"))</f>
        <v/>
      </c>
    </row>
    <row r="217">
      <c r="A217" s="15" t="n"/>
      <c r="B217" s="15" t="n"/>
      <c r="C217" s="15" t="n"/>
      <c r="D217" s="15" t="n"/>
      <c r="E217" s="15" t="n"/>
      <c r="F217" s="15" t="n"/>
      <c r="G217" s="18" t="n"/>
      <c r="H217" s="15" t="n"/>
      <c r="I217" s="15" t="n"/>
      <c r="J217" s="15" t="n"/>
      <c r="K217" s="15" t="n"/>
      <c r="L217" s="15" t="n"/>
      <c r="M217" s="15" t="n"/>
      <c r="N217" s="16">
        <f>IF(OR(H217="",M217=""),"",IF(H217=M217,"Concorda","DIVERGE → Comitê"))</f>
        <v/>
      </c>
      <c r="O217" s="16">
        <f>IF(L217="","",IF(L217&lt;&gt;F217,"Sim","NÃO"))</f>
        <v/>
      </c>
    </row>
    <row r="218">
      <c r="A218" s="15" t="n"/>
      <c r="B218" s="15" t="n"/>
      <c r="C218" s="15" t="n"/>
      <c r="D218" s="15" t="n"/>
      <c r="E218" s="15" t="n"/>
      <c r="F218" s="15" t="n"/>
      <c r="G218" s="18" t="n"/>
      <c r="H218" s="15" t="n"/>
      <c r="I218" s="15" t="n"/>
      <c r="J218" s="15" t="n"/>
      <c r="K218" s="15" t="n"/>
      <c r="L218" s="15" t="n"/>
      <c r="M218" s="15" t="n"/>
      <c r="N218" s="16">
        <f>IF(OR(H218="",M218=""),"",IF(H218=M218,"Concorda","DIVERGE → Comitê"))</f>
        <v/>
      </c>
      <c r="O218" s="16">
        <f>IF(L218="","",IF(L218&lt;&gt;F218,"Sim","NÃO"))</f>
        <v/>
      </c>
    </row>
    <row r="219">
      <c r="A219" s="15" t="n"/>
      <c r="B219" s="15" t="n"/>
      <c r="C219" s="15" t="n"/>
      <c r="D219" s="15" t="n"/>
      <c r="E219" s="15" t="n"/>
      <c r="F219" s="15" t="n"/>
      <c r="G219" s="18" t="n"/>
      <c r="H219" s="15" t="n"/>
      <c r="I219" s="15" t="n"/>
      <c r="J219" s="15" t="n"/>
      <c r="K219" s="15" t="n"/>
      <c r="L219" s="15" t="n"/>
      <c r="M219" s="15" t="n"/>
      <c r="N219" s="16">
        <f>IF(OR(H219="",M219=""),"",IF(H219=M219,"Concorda","DIVERGE → Comitê"))</f>
        <v/>
      </c>
      <c r="O219" s="16">
        <f>IF(L219="","",IF(L219&lt;&gt;F219,"Sim","NÃO"))</f>
        <v/>
      </c>
    </row>
    <row r="220">
      <c r="A220" s="15" t="n"/>
      <c r="B220" s="15" t="n"/>
      <c r="C220" s="15" t="n"/>
      <c r="D220" s="15" t="n"/>
      <c r="E220" s="15" t="n"/>
      <c r="F220" s="15" t="n"/>
      <c r="G220" s="18" t="n"/>
      <c r="H220" s="15" t="n"/>
      <c r="I220" s="15" t="n"/>
      <c r="J220" s="15" t="n"/>
      <c r="K220" s="15" t="n"/>
      <c r="L220" s="15" t="n"/>
      <c r="M220" s="15" t="n"/>
      <c r="N220" s="16">
        <f>IF(OR(H220="",M220=""),"",IF(H220=M220,"Concorda","DIVERGE → Comitê"))</f>
        <v/>
      </c>
      <c r="O220" s="16">
        <f>IF(L220="","",IF(L220&lt;&gt;F220,"Sim","NÃO"))</f>
        <v/>
      </c>
    </row>
    <row r="221">
      <c r="A221" s="15" t="n"/>
      <c r="B221" s="15" t="n"/>
      <c r="C221" s="15" t="n"/>
      <c r="D221" s="15" t="n"/>
      <c r="E221" s="15" t="n"/>
      <c r="F221" s="15" t="n"/>
      <c r="G221" s="18" t="n"/>
      <c r="H221" s="15" t="n"/>
      <c r="I221" s="15" t="n"/>
      <c r="J221" s="15" t="n"/>
      <c r="K221" s="15" t="n"/>
      <c r="L221" s="15" t="n"/>
      <c r="M221" s="15" t="n"/>
      <c r="N221" s="16">
        <f>IF(OR(H221="",M221=""),"",IF(H221=M221,"Concorda","DIVERGE → Comitê"))</f>
        <v/>
      </c>
      <c r="O221" s="16">
        <f>IF(L221="","",IF(L221&lt;&gt;F221,"Sim","NÃO"))</f>
        <v/>
      </c>
    </row>
    <row r="222">
      <c r="A222" s="15" t="n"/>
      <c r="B222" s="15" t="n"/>
      <c r="C222" s="15" t="n"/>
      <c r="D222" s="15" t="n"/>
      <c r="E222" s="15" t="n"/>
      <c r="F222" s="15" t="n"/>
      <c r="G222" s="18" t="n"/>
      <c r="H222" s="15" t="n"/>
      <c r="I222" s="15" t="n"/>
      <c r="J222" s="15" t="n"/>
      <c r="K222" s="15" t="n"/>
      <c r="L222" s="15" t="n"/>
      <c r="M222" s="15" t="n"/>
      <c r="N222" s="16">
        <f>IF(OR(H222="",M222=""),"",IF(H222=M222,"Concorda","DIVERGE → Comitê"))</f>
        <v/>
      </c>
      <c r="O222" s="16">
        <f>IF(L222="","",IF(L222&lt;&gt;F222,"Sim","NÃO"))</f>
        <v/>
      </c>
    </row>
    <row r="223">
      <c r="A223" s="15" t="n"/>
      <c r="B223" s="15" t="n"/>
      <c r="C223" s="15" t="n"/>
      <c r="D223" s="15" t="n"/>
      <c r="E223" s="15" t="n"/>
      <c r="F223" s="15" t="n"/>
      <c r="G223" s="18" t="n"/>
      <c r="H223" s="15" t="n"/>
      <c r="I223" s="15" t="n"/>
      <c r="J223" s="15" t="n"/>
      <c r="K223" s="15" t="n"/>
      <c r="L223" s="15" t="n"/>
      <c r="M223" s="15" t="n"/>
      <c r="N223" s="16">
        <f>IF(OR(H223="",M223=""),"",IF(H223=M223,"Concorda","DIVERGE → Comitê"))</f>
        <v/>
      </c>
      <c r="O223" s="16">
        <f>IF(L223="","",IF(L223&lt;&gt;F223,"Sim","NÃO"))</f>
        <v/>
      </c>
    </row>
    <row r="224">
      <c r="A224" s="15" t="n"/>
      <c r="B224" s="15" t="n"/>
      <c r="C224" s="15" t="n"/>
      <c r="D224" s="15" t="n"/>
      <c r="E224" s="15" t="n"/>
      <c r="F224" s="15" t="n"/>
      <c r="G224" s="18" t="n"/>
      <c r="H224" s="15" t="n"/>
      <c r="I224" s="15" t="n"/>
      <c r="J224" s="15" t="n"/>
      <c r="K224" s="15" t="n"/>
      <c r="L224" s="15" t="n"/>
      <c r="M224" s="15" t="n"/>
      <c r="N224" s="16">
        <f>IF(OR(H224="",M224=""),"",IF(H224=M224,"Concorda","DIVERGE → Comitê"))</f>
        <v/>
      </c>
      <c r="O224" s="16">
        <f>IF(L224="","",IF(L224&lt;&gt;F224,"Sim","NÃO"))</f>
        <v/>
      </c>
    </row>
    <row r="225">
      <c r="A225" s="15" t="n"/>
      <c r="B225" s="15" t="n"/>
      <c r="C225" s="15" t="n"/>
      <c r="D225" s="15" t="n"/>
      <c r="E225" s="15" t="n"/>
      <c r="F225" s="15" t="n"/>
      <c r="G225" s="18" t="n"/>
      <c r="H225" s="15" t="n"/>
      <c r="I225" s="15" t="n"/>
      <c r="J225" s="15" t="n"/>
      <c r="K225" s="15" t="n"/>
      <c r="L225" s="15" t="n"/>
      <c r="M225" s="15" t="n"/>
      <c r="N225" s="16">
        <f>IF(OR(H225="",M225=""),"",IF(H225=M225,"Concorda","DIVERGE → Comitê"))</f>
        <v/>
      </c>
      <c r="O225" s="16">
        <f>IF(L225="","",IF(L225&lt;&gt;F225,"Sim","NÃO"))</f>
        <v/>
      </c>
    </row>
    <row r="226">
      <c r="A226" s="15" t="n"/>
      <c r="B226" s="15" t="n"/>
      <c r="C226" s="15" t="n"/>
      <c r="D226" s="15" t="n"/>
      <c r="E226" s="15" t="n"/>
      <c r="F226" s="15" t="n"/>
      <c r="G226" s="18" t="n"/>
      <c r="H226" s="15" t="n"/>
      <c r="I226" s="15" t="n"/>
      <c r="J226" s="15" t="n"/>
      <c r="K226" s="15" t="n"/>
      <c r="L226" s="15" t="n"/>
      <c r="M226" s="15" t="n"/>
      <c r="N226" s="16">
        <f>IF(OR(H226="",M226=""),"",IF(H226=M226,"Concorda","DIVERGE → Comitê"))</f>
        <v/>
      </c>
      <c r="O226" s="16">
        <f>IF(L226="","",IF(L226&lt;&gt;F226,"Sim","NÃO"))</f>
        <v/>
      </c>
    </row>
    <row r="227">
      <c r="A227" s="15" t="n"/>
      <c r="B227" s="15" t="n"/>
      <c r="C227" s="15" t="n"/>
      <c r="D227" s="15" t="n"/>
      <c r="E227" s="15" t="n"/>
      <c r="F227" s="15" t="n"/>
      <c r="G227" s="18" t="n"/>
      <c r="H227" s="15" t="n"/>
      <c r="I227" s="15" t="n"/>
      <c r="J227" s="15" t="n"/>
      <c r="K227" s="15" t="n"/>
      <c r="L227" s="15" t="n"/>
      <c r="M227" s="15" t="n"/>
      <c r="N227" s="16">
        <f>IF(OR(H227="",M227=""),"",IF(H227=M227,"Concorda","DIVERGE → Comitê"))</f>
        <v/>
      </c>
      <c r="O227" s="16">
        <f>IF(L227="","",IF(L227&lt;&gt;F227,"Sim","NÃO"))</f>
        <v/>
      </c>
    </row>
    <row r="228">
      <c r="A228" s="15" t="n"/>
      <c r="B228" s="15" t="n"/>
      <c r="C228" s="15" t="n"/>
      <c r="D228" s="15" t="n"/>
      <c r="E228" s="15" t="n"/>
      <c r="F228" s="15" t="n"/>
      <c r="G228" s="18" t="n"/>
      <c r="H228" s="15" t="n"/>
      <c r="I228" s="15" t="n"/>
      <c r="J228" s="15" t="n"/>
      <c r="K228" s="15" t="n"/>
      <c r="L228" s="15" t="n"/>
      <c r="M228" s="15" t="n"/>
      <c r="N228" s="16">
        <f>IF(OR(H228="",M228=""),"",IF(H228=M228,"Concorda","DIVERGE → Comitê"))</f>
        <v/>
      </c>
      <c r="O228" s="16">
        <f>IF(L228="","",IF(L228&lt;&gt;F228,"Sim","NÃO"))</f>
        <v/>
      </c>
    </row>
    <row r="229">
      <c r="A229" s="15" t="n"/>
      <c r="B229" s="15" t="n"/>
      <c r="C229" s="15" t="n"/>
      <c r="D229" s="15" t="n"/>
      <c r="E229" s="15" t="n"/>
      <c r="F229" s="15" t="n"/>
      <c r="G229" s="18" t="n"/>
      <c r="H229" s="15" t="n"/>
      <c r="I229" s="15" t="n"/>
      <c r="J229" s="15" t="n"/>
      <c r="K229" s="15" t="n"/>
      <c r="L229" s="15" t="n"/>
      <c r="M229" s="15" t="n"/>
      <c r="N229" s="16">
        <f>IF(OR(H229="",M229=""),"",IF(H229=M229,"Concorda","DIVERGE → Comitê"))</f>
        <v/>
      </c>
      <c r="O229" s="16">
        <f>IF(L229="","",IF(L229&lt;&gt;F229,"Sim","NÃO"))</f>
        <v/>
      </c>
    </row>
    <row r="230">
      <c r="A230" s="15" t="n"/>
      <c r="B230" s="15" t="n"/>
      <c r="C230" s="15" t="n"/>
      <c r="D230" s="15" t="n"/>
      <c r="E230" s="15" t="n"/>
      <c r="F230" s="15" t="n"/>
      <c r="G230" s="18" t="n"/>
      <c r="H230" s="15" t="n"/>
      <c r="I230" s="15" t="n"/>
      <c r="J230" s="15" t="n"/>
      <c r="K230" s="15" t="n"/>
      <c r="L230" s="15" t="n"/>
      <c r="M230" s="15" t="n"/>
      <c r="N230" s="16">
        <f>IF(OR(H230="",M230=""),"",IF(H230=M230,"Concorda","DIVERGE → Comitê"))</f>
        <v/>
      </c>
      <c r="O230" s="16">
        <f>IF(L230="","",IF(L230&lt;&gt;F230,"Sim","NÃO"))</f>
        <v/>
      </c>
    </row>
    <row r="231">
      <c r="A231" s="15" t="n"/>
      <c r="B231" s="15" t="n"/>
      <c r="C231" s="15" t="n"/>
      <c r="D231" s="15" t="n"/>
      <c r="E231" s="15" t="n"/>
      <c r="F231" s="15" t="n"/>
      <c r="G231" s="18" t="n"/>
      <c r="H231" s="15" t="n"/>
      <c r="I231" s="15" t="n"/>
      <c r="J231" s="15" t="n"/>
      <c r="K231" s="15" t="n"/>
      <c r="L231" s="15" t="n"/>
      <c r="M231" s="15" t="n"/>
      <c r="N231" s="16">
        <f>IF(OR(H231="",M231=""),"",IF(H231=M231,"Concorda","DIVERGE → Comitê"))</f>
        <v/>
      </c>
      <c r="O231" s="16">
        <f>IF(L231="","",IF(L231&lt;&gt;F231,"Sim","NÃO"))</f>
        <v/>
      </c>
    </row>
    <row r="232">
      <c r="A232" s="15" t="n"/>
      <c r="B232" s="15" t="n"/>
      <c r="C232" s="15" t="n"/>
      <c r="D232" s="15" t="n"/>
      <c r="E232" s="15" t="n"/>
      <c r="F232" s="15" t="n"/>
      <c r="G232" s="18" t="n"/>
      <c r="H232" s="15" t="n"/>
      <c r="I232" s="15" t="n"/>
      <c r="J232" s="15" t="n"/>
      <c r="K232" s="15" t="n"/>
      <c r="L232" s="15" t="n"/>
      <c r="M232" s="15" t="n"/>
      <c r="N232" s="16">
        <f>IF(OR(H232="",M232=""),"",IF(H232=M232,"Concorda","DIVERGE → Comitê"))</f>
        <v/>
      </c>
      <c r="O232" s="16">
        <f>IF(L232="","",IF(L232&lt;&gt;F232,"Sim","NÃO"))</f>
        <v/>
      </c>
    </row>
    <row r="233">
      <c r="A233" s="15" t="n"/>
      <c r="B233" s="15" t="n"/>
      <c r="C233" s="15" t="n"/>
      <c r="D233" s="15" t="n"/>
      <c r="E233" s="15" t="n"/>
      <c r="F233" s="15" t="n"/>
      <c r="G233" s="18" t="n"/>
      <c r="H233" s="15" t="n"/>
      <c r="I233" s="15" t="n"/>
      <c r="J233" s="15" t="n"/>
      <c r="K233" s="15" t="n"/>
      <c r="L233" s="15" t="n"/>
      <c r="M233" s="15" t="n"/>
      <c r="N233" s="16">
        <f>IF(OR(H233="",M233=""),"",IF(H233=M233,"Concorda","DIVERGE → Comitê"))</f>
        <v/>
      </c>
      <c r="O233" s="16">
        <f>IF(L233="","",IF(L233&lt;&gt;F233,"Sim","NÃO"))</f>
        <v/>
      </c>
    </row>
    <row r="234">
      <c r="A234" s="15" t="n"/>
      <c r="B234" s="15" t="n"/>
      <c r="C234" s="15" t="n"/>
      <c r="D234" s="15" t="n"/>
      <c r="E234" s="15" t="n"/>
      <c r="F234" s="15" t="n"/>
      <c r="G234" s="18" t="n"/>
      <c r="H234" s="15" t="n"/>
      <c r="I234" s="15" t="n"/>
      <c r="J234" s="15" t="n"/>
      <c r="K234" s="15" t="n"/>
      <c r="L234" s="15" t="n"/>
      <c r="M234" s="15" t="n"/>
      <c r="N234" s="16">
        <f>IF(OR(H234="",M234=""),"",IF(H234=M234,"Concorda","DIVERGE → Comitê"))</f>
        <v/>
      </c>
      <c r="O234" s="16">
        <f>IF(L234="","",IF(L234&lt;&gt;F234,"Sim","NÃO"))</f>
        <v/>
      </c>
    </row>
    <row r="235">
      <c r="A235" s="15" t="n"/>
      <c r="B235" s="15" t="n"/>
      <c r="C235" s="15" t="n"/>
      <c r="D235" s="15" t="n"/>
      <c r="E235" s="15" t="n"/>
      <c r="F235" s="15" t="n"/>
      <c r="G235" s="18" t="n"/>
      <c r="H235" s="15" t="n"/>
      <c r="I235" s="15" t="n"/>
      <c r="J235" s="15" t="n"/>
      <c r="K235" s="15" t="n"/>
      <c r="L235" s="15" t="n"/>
      <c r="M235" s="15" t="n"/>
      <c r="N235" s="16">
        <f>IF(OR(H235="",M235=""),"",IF(H235=M235,"Concorda","DIVERGE → Comitê"))</f>
        <v/>
      </c>
      <c r="O235" s="16">
        <f>IF(L235="","",IF(L235&lt;&gt;F235,"Sim","NÃO"))</f>
        <v/>
      </c>
    </row>
    <row r="236">
      <c r="A236" s="15" t="n"/>
      <c r="B236" s="15" t="n"/>
      <c r="C236" s="15" t="n"/>
      <c r="D236" s="15" t="n"/>
      <c r="E236" s="15" t="n"/>
      <c r="F236" s="15" t="n"/>
      <c r="G236" s="18" t="n"/>
      <c r="H236" s="15" t="n"/>
      <c r="I236" s="15" t="n"/>
      <c r="J236" s="15" t="n"/>
      <c r="K236" s="15" t="n"/>
      <c r="L236" s="15" t="n"/>
      <c r="M236" s="15" t="n"/>
      <c r="N236" s="16">
        <f>IF(OR(H236="",M236=""),"",IF(H236=M236,"Concorda","DIVERGE → Comitê"))</f>
        <v/>
      </c>
      <c r="O236" s="16">
        <f>IF(L236="","",IF(L236&lt;&gt;F236,"Sim","NÃO"))</f>
        <v/>
      </c>
    </row>
    <row r="237">
      <c r="A237" s="15" t="n"/>
      <c r="B237" s="15" t="n"/>
      <c r="C237" s="15" t="n"/>
      <c r="D237" s="15" t="n"/>
      <c r="E237" s="15" t="n"/>
      <c r="F237" s="15" t="n"/>
      <c r="G237" s="18" t="n"/>
      <c r="H237" s="15" t="n"/>
      <c r="I237" s="15" t="n"/>
      <c r="J237" s="15" t="n"/>
      <c r="K237" s="15" t="n"/>
      <c r="L237" s="15" t="n"/>
      <c r="M237" s="15" t="n"/>
      <c r="N237" s="16">
        <f>IF(OR(H237="",M237=""),"",IF(H237=M237,"Concorda","DIVERGE → Comitê"))</f>
        <v/>
      </c>
      <c r="O237" s="16">
        <f>IF(L237="","",IF(L237&lt;&gt;F237,"Sim","NÃO"))</f>
        <v/>
      </c>
    </row>
    <row r="238">
      <c r="A238" s="15" t="n"/>
      <c r="B238" s="15" t="n"/>
      <c r="C238" s="15" t="n"/>
      <c r="D238" s="15" t="n"/>
      <c r="E238" s="15" t="n"/>
      <c r="F238" s="15" t="n"/>
      <c r="G238" s="18" t="n"/>
      <c r="H238" s="15" t="n"/>
      <c r="I238" s="15" t="n"/>
      <c r="J238" s="15" t="n"/>
      <c r="K238" s="15" t="n"/>
      <c r="L238" s="15" t="n"/>
      <c r="M238" s="15" t="n"/>
      <c r="N238" s="16">
        <f>IF(OR(H238="",M238=""),"",IF(H238=M238,"Concorda","DIVERGE → Comitê"))</f>
        <v/>
      </c>
      <c r="O238" s="16">
        <f>IF(L238="","",IF(L238&lt;&gt;F238,"Sim","NÃO"))</f>
        <v/>
      </c>
    </row>
    <row r="239">
      <c r="A239" s="15" t="n"/>
      <c r="B239" s="15" t="n"/>
      <c r="C239" s="15" t="n"/>
      <c r="D239" s="15" t="n"/>
      <c r="E239" s="15" t="n"/>
      <c r="F239" s="15" t="n"/>
      <c r="G239" s="18" t="n"/>
      <c r="H239" s="15" t="n"/>
      <c r="I239" s="15" t="n"/>
      <c r="J239" s="15" t="n"/>
      <c r="K239" s="15" t="n"/>
      <c r="L239" s="15" t="n"/>
      <c r="M239" s="15" t="n"/>
      <c r="N239" s="16">
        <f>IF(OR(H239="",M239=""),"",IF(H239=M239,"Concorda","DIVERGE → Comitê"))</f>
        <v/>
      </c>
      <c r="O239" s="16">
        <f>IF(L239="","",IF(L239&lt;&gt;F239,"Sim","NÃO"))</f>
        <v/>
      </c>
    </row>
    <row r="240">
      <c r="A240" s="15" t="n"/>
      <c r="B240" s="15" t="n"/>
      <c r="C240" s="15" t="n"/>
      <c r="D240" s="15" t="n"/>
      <c r="E240" s="15" t="n"/>
      <c r="F240" s="15" t="n"/>
      <c r="G240" s="18" t="n"/>
      <c r="H240" s="15" t="n"/>
      <c r="I240" s="15" t="n"/>
      <c r="J240" s="15" t="n"/>
      <c r="K240" s="15" t="n"/>
      <c r="L240" s="15" t="n"/>
      <c r="M240" s="15" t="n"/>
      <c r="N240" s="16">
        <f>IF(OR(H240="",M240=""),"",IF(H240=M240,"Concorda","DIVERGE → Comitê"))</f>
        <v/>
      </c>
      <c r="O240" s="16">
        <f>IF(L240="","",IF(L240&lt;&gt;F240,"Sim","NÃO"))</f>
        <v/>
      </c>
    </row>
    <row r="241">
      <c r="A241" s="15" t="n"/>
      <c r="B241" s="15" t="n"/>
      <c r="C241" s="15" t="n"/>
      <c r="D241" s="15" t="n"/>
      <c r="E241" s="15" t="n"/>
      <c r="F241" s="15" t="n"/>
      <c r="G241" s="18" t="n"/>
      <c r="H241" s="15" t="n"/>
      <c r="I241" s="15" t="n"/>
      <c r="J241" s="15" t="n"/>
      <c r="K241" s="15" t="n"/>
      <c r="L241" s="15" t="n"/>
      <c r="M241" s="15" t="n"/>
      <c r="N241" s="16">
        <f>IF(OR(H241="",M241=""),"",IF(H241=M241,"Concorda","DIVERGE → Comitê"))</f>
        <v/>
      </c>
      <c r="O241" s="16">
        <f>IF(L241="","",IF(L241&lt;&gt;F241,"Sim","NÃO"))</f>
        <v/>
      </c>
    </row>
    <row r="242">
      <c r="A242" s="15" t="n"/>
      <c r="B242" s="15" t="n"/>
      <c r="C242" s="15" t="n"/>
      <c r="D242" s="15" t="n"/>
      <c r="E242" s="15" t="n"/>
      <c r="F242" s="15" t="n"/>
      <c r="G242" s="18" t="n"/>
      <c r="H242" s="15" t="n"/>
      <c r="I242" s="15" t="n"/>
      <c r="J242" s="15" t="n"/>
      <c r="K242" s="15" t="n"/>
      <c r="L242" s="15" t="n"/>
      <c r="M242" s="15" t="n"/>
      <c r="N242" s="16">
        <f>IF(OR(H242="",M242=""),"",IF(H242=M242,"Concorda","DIVERGE → Comitê"))</f>
        <v/>
      </c>
      <c r="O242" s="16">
        <f>IF(L242="","",IF(L242&lt;&gt;F242,"Sim","NÃO"))</f>
        <v/>
      </c>
    </row>
    <row r="243">
      <c r="A243" s="15" t="n"/>
      <c r="B243" s="15" t="n"/>
      <c r="C243" s="15" t="n"/>
      <c r="D243" s="15" t="n"/>
      <c r="E243" s="15" t="n"/>
      <c r="F243" s="15" t="n"/>
      <c r="G243" s="18" t="n"/>
      <c r="H243" s="15" t="n"/>
      <c r="I243" s="15" t="n"/>
      <c r="J243" s="15" t="n"/>
      <c r="K243" s="15" t="n"/>
      <c r="L243" s="15" t="n"/>
      <c r="M243" s="15" t="n"/>
      <c r="N243" s="16">
        <f>IF(OR(H243="",M243=""),"",IF(H243=M243,"Concorda","DIVERGE → Comitê"))</f>
        <v/>
      </c>
      <c r="O243" s="16">
        <f>IF(L243="","",IF(L243&lt;&gt;F243,"Sim","NÃO"))</f>
        <v/>
      </c>
    </row>
    <row r="244">
      <c r="A244" s="15" t="n"/>
      <c r="B244" s="15" t="n"/>
      <c r="C244" s="15" t="n"/>
      <c r="D244" s="15" t="n"/>
      <c r="E244" s="15" t="n"/>
      <c r="F244" s="15" t="n"/>
      <c r="G244" s="18" t="n"/>
      <c r="H244" s="15" t="n"/>
      <c r="I244" s="15" t="n"/>
      <c r="J244" s="15" t="n"/>
      <c r="K244" s="15" t="n"/>
      <c r="L244" s="15" t="n"/>
      <c r="M244" s="15" t="n"/>
      <c r="N244" s="16">
        <f>IF(OR(H244="",M244=""),"",IF(H244=M244,"Concorda","DIVERGE → Comitê"))</f>
        <v/>
      </c>
      <c r="O244" s="16">
        <f>IF(L244="","",IF(L244&lt;&gt;F244,"Sim","NÃO"))</f>
        <v/>
      </c>
    </row>
    <row r="245">
      <c r="A245" s="15" t="n"/>
      <c r="B245" s="15" t="n"/>
      <c r="C245" s="15" t="n"/>
      <c r="D245" s="15" t="n"/>
      <c r="E245" s="15" t="n"/>
      <c r="F245" s="15" t="n"/>
      <c r="G245" s="18" t="n"/>
      <c r="H245" s="15" t="n"/>
      <c r="I245" s="15" t="n"/>
      <c r="J245" s="15" t="n"/>
      <c r="K245" s="15" t="n"/>
      <c r="L245" s="15" t="n"/>
      <c r="M245" s="15" t="n"/>
      <c r="N245" s="16">
        <f>IF(OR(H245="",M245=""),"",IF(H245=M245,"Concorda","DIVERGE → Comitê"))</f>
        <v/>
      </c>
      <c r="O245" s="16">
        <f>IF(L245="","",IF(L245&lt;&gt;F245,"Sim","NÃO"))</f>
        <v/>
      </c>
    </row>
    <row r="246">
      <c r="A246" s="15" t="n"/>
      <c r="B246" s="15" t="n"/>
      <c r="C246" s="15" t="n"/>
      <c r="D246" s="15" t="n"/>
      <c r="E246" s="15" t="n"/>
      <c r="F246" s="15" t="n"/>
      <c r="G246" s="18" t="n"/>
      <c r="H246" s="15" t="n"/>
      <c r="I246" s="15" t="n"/>
      <c r="J246" s="15" t="n"/>
      <c r="K246" s="15" t="n"/>
      <c r="L246" s="15" t="n"/>
      <c r="M246" s="15" t="n"/>
      <c r="N246" s="16">
        <f>IF(OR(H246="",M246=""),"",IF(H246=M246,"Concorda","DIVERGE → Comitê"))</f>
        <v/>
      </c>
      <c r="O246" s="16">
        <f>IF(L246="","",IF(L246&lt;&gt;F246,"Sim","NÃO"))</f>
        <v/>
      </c>
    </row>
    <row r="247">
      <c r="A247" s="15" t="n"/>
      <c r="B247" s="15" t="n"/>
      <c r="C247" s="15" t="n"/>
      <c r="D247" s="15" t="n"/>
      <c r="E247" s="15" t="n"/>
      <c r="F247" s="15" t="n"/>
      <c r="G247" s="18" t="n"/>
      <c r="H247" s="15" t="n"/>
      <c r="I247" s="15" t="n"/>
      <c r="J247" s="15" t="n"/>
      <c r="K247" s="15" t="n"/>
      <c r="L247" s="15" t="n"/>
      <c r="M247" s="15" t="n"/>
      <c r="N247" s="16">
        <f>IF(OR(H247="",M247=""),"",IF(H247=M247,"Concorda","DIVERGE → Comitê"))</f>
        <v/>
      </c>
      <c r="O247" s="16">
        <f>IF(L247="","",IF(L247&lt;&gt;F247,"Sim","NÃO"))</f>
        <v/>
      </c>
    </row>
    <row r="248">
      <c r="A248" s="15" t="n"/>
      <c r="B248" s="15" t="n"/>
      <c r="C248" s="15" t="n"/>
      <c r="D248" s="15" t="n"/>
      <c r="E248" s="15" t="n"/>
      <c r="F248" s="15" t="n"/>
      <c r="G248" s="18" t="n"/>
      <c r="H248" s="15" t="n"/>
      <c r="I248" s="15" t="n"/>
      <c r="J248" s="15" t="n"/>
      <c r="K248" s="15" t="n"/>
      <c r="L248" s="15" t="n"/>
      <c r="M248" s="15" t="n"/>
      <c r="N248" s="16">
        <f>IF(OR(H248="",M248=""),"",IF(H248=M248,"Concorda","DIVERGE → Comitê"))</f>
        <v/>
      </c>
      <c r="O248" s="16">
        <f>IF(L248="","",IF(L248&lt;&gt;F248,"Sim","NÃO"))</f>
        <v/>
      </c>
    </row>
    <row r="249">
      <c r="A249" s="15" t="n"/>
      <c r="B249" s="15" t="n"/>
      <c r="C249" s="15" t="n"/>
      <c r="D249" s="15" t="n"/>
      <c r="E249" s="15" t="n"/>
      <c r="F249" s="15" t="n"/>
      <c r="G249" s="18" t="n"/>
      <c r="H249" s="15" t="n"/>
      <c r="I249" s="15" t="n"/>
      <c r="J249" s="15" t="n"/>
      <c r="K249" s="15" t="n"/>
      <c r="L249" s="15" t="n"/>
      <c r="M249" s="15" t="n"/>
      <c r="N249" s="16">
        <f>IF(OR(H249="",M249=""),"",IF(H249=M249,"Concorda","DIVERGE → Comitê"))</f>
        <v/>
      </c>
      <c r="O249" s="16">
        <f>IF(L249="","",IF(L249&lt;&gt;F249,"Sim","NÃO"))</f>
        <v/>
      </c>
    </row>
    <row r="250">
      <c r="A250" s="15" t="n"/>
      <c r="B250" s="15" t="n"/>
      <c r="C250" s="15" t="n"/>
      <c r="D250" s="15" t="n"/>
      <c r="E250" s="15" t="n"/>
      <c r="F250" s="15" t="n"/>
      <c r="G250" s="18" t="n"/>
      <c r="H250" s="15" t="n"/>
      <c r="I250" s="15" t="n"/>
      <c r="J250" s="15" t="n"/>
      <c r="K250" s="15" t="n"/>
      <c r="L250" s="15" t="n"/>
      <c r="M250" s="15" t="n"/>
      <c r="N250" s="16">
        <f>IF(OR(H250="",M250=""),"",IF(H250=M250,"Concorda","DIVERGE → Comitê"))</f>
        <v/>
      </c>
      <c r="O250" s="16">
        <f>IF(L250="","",IF(L250&lt;&gt;F250,"Sim","NÃO"))</f>
        <v/>
      </c>
    </row>
    <row r="251">
      <c r="A251" s="15" t="n"/>
      <c r="B251" s="15" t="n"/>
      <c r="C251" s="15" t="n"/>
      <c r="D251" s="15" t="n"/>
      <c r="E251" s="15" t="n"/>
      <c r="F251" s="15" t="n"/>
      <c r="G251" s="18" t="n"/>
      <c r="H251" s="15" t="n"/>
      <c r="I251" s="15" t="n"/>
      <c r="J251" s="15" t="n"/>
      <c r="K251" s="15" t="n"/>
      <c r="L251" s="15" t="n"/>
      <c r="M251" s="15" t="n"/>
      <c r="N251" s="16">
        <f>IF(OR(H251="",M251=""),"",IF(H251=M251,"Concorda","DIVERGE → Comitê"))</f>
        <v/>
      </c>
      <c r="O251" s="16">
        <f>IF(L251="","",IF(L251&lt;&gt;F251,"Sim","NÃO"))</f>
        <v/>
      </c>
    </row>
    <row r="252">
      <c r="A252" s="15" t="n"/>
      <c r="B252" s="15" t="n"/>
      <c r="C252" s="15" t="n"/>
      <c r="D252" s="15" t="n"/>
      <c r="E252" s="15" t="n"/>
      <c r="F252" s="15" t="n"/>
      <c r="G252" s="18" t="n"/>
      <c r="H252" s="15" t="n"/>
      <c r="I252" s="15" t="n"/>
      <c r="J252" s="15" t="n"/>
      <c r="K252" s="15" t="n"/>
      <c r="L252" s="15" t="n"/>
      <c r="M252" s="15" t="n"/>
      <c r="N252" s="16">
        <f>IF(OR(H252="",M252=""),"",IF(H252=M252,"Concorda","DIVERGE → Comitê"))</f>
        <v/>
      </c>
      <c r="O252" s="16">
        <f>IF(L252="","",IF(L252&lt;&gt;F252,"Sim","NÃO"))</f>
        <v/>
      </c>
    </row>
    <row r="253">
      <c r="A253" s="15" t="n"/>
      <c r="B253" s="15" t="n"/>
      <c r="C253" s="15" t="n"/>
      <c r="D253" s="15" t="n"/>
      <c r="E253" s="15" t="n"/>
      <c r="F253" s="15" t="n"/>
      <c r="G253" s="18" t="n"/>
      <c r="H253" s="15" t="n"/>
      <c r="I253" s="15" t="n"/>
      <c r="J253" s="15" t="n"/>
      <c r="K253" s="15" t="n"/>
      <c r="L253" s="15" t="n"/>
      <c r="M253" s="15" t="n"/>
      <c r="N253" s="16">
        <f>IF(OR(H253="",M253=""),"",IF(H253=M253,"Concorda","DIVERGE → Comitê"))</f>
        <v/>
      </c>
      <c r="O253" s="16">
        <f>IF(L253="","",IF(L253&lt;&gt;F253,"Sim","NÃO"))</f>
        <v/>
      </c>
    </row>
    <row r="254">
      <c r="A254" s="15" t="n"/>
      <c r="B254" s="15" t="n"/>
      <c r="C254" s="15" t="n"/>
      <c r="D254" s="15" t="n"/>
      <c r="E254" s="15" t="n"/>
      <c r="F254" s="15" t="n"/>
      <c r="G254" s="18" t="n"/>
      <c r="H254" s="15" t="n"/>
      <c r="I254" s="15" t="n"/>
      <c r="J254" s="15" t="n"/>
      <c r="K254" s="15" t="n"/>
      <c r="L254" s="15" t="n"/>
      <c r="M254" s="15" t="n"/>
      <c r="N254" s="16">
        <f>IF(OR(H254="",M254=""),"",IF(H254=M254,"Concorda","DIVERGE → Comitê"))</f>
        <v/>
      </c>
      <c r="O254" s="16">
        <f>IF(L254="","",IF(L254&lt;&gt;F254,"Sim","NÃO"))</f>
        <v/>
      </c>
    </row>
    <row r="255">
      <c r="A255" s="15" t="n"/>
      <c r="B255" s="15" t="n"/>
      <c r="C255" s="15" t="n"/>
      <c r="D255" s="15" t="n"/>
      <c r="E255" s="15" t="n"/>
      <c r="F255" s="15" t="n"/>
      <c r="G255" s="18" t="n"/>
      <c r="H255" s="15" t="n"/>
      <c r="I255" s="15" t="n"/>
      <c r="J255" s="15" t="n"/>
      <c r="K255" s="15" t="n"/>
      <c r="L255" s="15" t="n"/>
      <c r="M255" s="15" t="n"/>
      <c r="N255" s="16">
        <f>IF(OR(H255="",M255=""),"",IF(H255=M255,"Concorda","DIVERGE → Comitê"))</f>
        <v/>
      </c>
      <c r="O255" s="16">
        <f>IF(L255="","",IF(L255&lt;&gt;F255,"Sim","NÃO"))</f>
        <v/>
      </c>
    </row>
    <row r="256">
      <c r="A256" s="15" t="n"/>
      <c r="B256" s="15" t="n"/>
      <c r="C256" s="15" t="n"/>
      <c r="D256" s="15" t="n"/>
      <c r="E256" s="15" t="n"/>
      <c r="F256" s="15" t="n"/>
      <c r="G256" s="18" t="n"/>
      <c r="H256" s="15" t="n"/>
      <c r="I256" s="15" t="n"/>
      <c r="J256" s="15" t="n"/>
      <c r="K256" s="15" t="n"/>
      <c r="L256" s="15" t="n"/>
      <c r="M256" s="15" t="n"/>
      <c r="N256" s="16">
        <f>IF(OR(H256="",M256=""),"",IF(H256=M256,"Concorda","DIVERGE → Comitê"))</f>
        <v/>
      </c>
      <c r="O256" s="16">
        <f>IF(L256="","",IF(L256&lt;&gt;F256,"Sim","NÃO"))</f>
        <v/>
      </c>
    </row>
    <row r="257">
      <c r="A257" s="15" t="n"/>
      <c r="B257" s="15" t="n"/>
      <c r="C257" s="15" t="n"/>
      <c r="D257" s="15" t="n"/>
      <c r="E257" s="15" t="n"/>
      <c r="F257" s="15" t="n"/>
      <c r="G257" s="18" t="n"/>
      <c r="H257" s="15" t="n"/>
      <c r="I257" s="15" t="n"/>
      <c r="J257" s="15" t="n"/>
      <c r="K257" s="15" t="n"/>
      <c r="L257" s="15" t="n"/>
      <c r="M257" s="15" t="n"/>
      <c r="N257" s="16">
        <f>IF(OR(H257="",M257=""),"",IF(H257=M257,"Concorda","DIVERGE → Comitê"))</f>
        <v/>
      </c>
      <c r="O257" s="16">
        <f>IF(L257="","",IF(L257&lt;&gt;F257,"Sim","NÃO"))</f>
        <v/>
      </c>
    </row>
    <row r="258">
      <c r="A258" s="15" t="n"/>
      <c r="B258" s="15" t="n"/>
      <c r="C258" s="15" t="n"/>
      <c r="D258" s="15" t="n"/>
      <c r="E258" s="15" t="n"/>
      <c r="F258" s="15" t="n"/>
      <c r="G258" s="18" t="n"/>
      <c r="H258" s="15" t="n"/>
      <c r="I258" s="15" t="n"/>
      <c r="J258" s="15" t="n"/>
      <c r="K258" s="15" t="n"/>
      <c r="L258" s="15" t="n"/>
      <c r="M258" s="15" t="n"/>
      <c r="N258" s="16">
        <f>IF(OR(H258="",M258=""),"",IF(H258=M258,"Concorda","DIVERGE → Comitê"))</f>
        <v/>
      </c>
      <c r="O258" s="16">
        <f>IF(L258="","",IF(L258&lt;&gt;F258,"Sim","NÃO"))</f>
        <v/>
      </c>
    </row>
    <row r="259">
      <c r="A259" s="15" t="n"/>
      <c r="B259" s="15" t="n"/>
      <c r="C259" s="15" t="n"/>
      <c r="D259" s="15" t="n"/>
      <c r="E259" s="15" t="n"/>
      <c r="F259" s="15" t="n"/>
      <c r="G259" s="18" t="n"/>
      <c r="H259" s="15" t="n"/>
      <c r="I259" s="15" t="n"/>
      <c r="J259" s="15" t="n"/>
      <c r="K259" s="15" t="n"/>
      <c r="L259" s="15" t="n"/>
      <c r="M259" s="15" t="n"/>
      <c r="N259" s="16">
        <f>IF(OR(H259="",M259=""),"",IF(H259=M259,"Concorda","DIVERGE → Comitê"))</f>
        <v/>
      </c>
      <c r="O259" s="16">
        <f>IF(L259="","",IF(L259&lt;&gt;F259,"Sim","NÃO"))</f>
        <v/>
      </c>
    </row>
    <row r="260">
      <c r="A260" s="15" t="n"/>
      <c r="B260" s="15" t="n"/>
      <c r="C260" s="15" t="n"/>
      <c r="D260" s="15" t="n"/>
      <c r="E260" s="15" t="n"/>
      <c r="F260" s="15" t="n"/>
      <c r="G260" s="18" t="n"/>
      <c r="H260" s="15" t="n"/>
      <c r="I260" s="15" t="n"/>
      <c r="J260" s="15" t="n"/>
      <c r="K260" s="15" t="n"/>
      <c r="L260" s="15" t="n"/>
      <c r="M260" s="15" t="n"/>
      <c r="N260" s="16">
        <f>IF(OR(H260="",M260=""),"",IF(H260=M260,"Concorda","DIVERGE → Comitê"))</f>
        <v/>
      </c>
      <c r="O260" s="16">
        <f>IF(L260="","",IF(L260&lt;&gt;F260,"Sim","NÃO"))</f>
        <v/>
      </c>
    </row>
    <row r="261">
      <c r="A261" s="15" t="n"/>
      <c r="B261" s="15" t="n"/>
      <c r="C261" s="15" t="n"/>
      <c r="D261" s="15" t="n"/>
      <c r="E261" s="15" t="n"/>
      <c r="F261" s="15" t="n"/>
      <c r="G261" s="18" t="n"/>
      <c r="H261" s="15" t="n"/>
      <c r="I261" s="15" t="n"/>
      <c r="J261" s="15" t="n"/>
      <c r="K261" s="15" t="n"/>
      <c r="L261" s="15" t="n"/>
      <c r="M261" s="15" t="n"/>
      <c r="N261" s="16">
        <f>IF(OR(H261="",M261=""),"",IF(H261=M261,"Concorda","DIVERGE → Comitê"))</f>
        <v/>
      </c>
      <c r="O261" s="16">
        <f>IF(L261="","",IF(L261&lt;&gt;F261,"Sim","NÃO"))</f>
        <v/>
      </c>
    </row>
    <row r="262">
      <c r="A262" s="15" t="n"/>
      <c r="B262" s="15" t="n"/>
      <c r="C262" s="15" t="n"/>
      <c r="D262" s="15" t="n"/>
      <c r="E262" s="15" t="n"/>
      <c r="F262" s="15" t="n"/>
      <c r="G262" s="18" t="n"/>
      <c r="H262" s="15" t="n"/>
      <c r="I262" s="15" t="n"/>
      <c r="J262" s="15" t="n"/>
      <c r="K262" s="15" t="n"/>
      <c r="L262" s="15" t="n"/>
      <c r="M262" s="15" t="n"/>
      <c r="N262" s="16">
        <f>IF(OR(H262="",M262=""),"",IF(H262=M262,"Concorda","DIVERGE → Comitê"))</f>
        <v/>
      </c>
      <c r="O262" s="16">
        <f>IF(L262="","",IF(L262&lt;&gt;F262,"Sim","NÃO"))</f>
        <v/>
      </c>
    </row>
    <row r="263">
      <c r="A263" s="15" t="n"/>
      <c r="B263" s="15" t="n"/>
      <c r="C263" s="15" t="n"/>
      <c r="D263" s="15" t="n"/>
      <c r="E263" s="15" t="n"/>
      <c r="F263" s="15" t="n"/>
      <c r="G263" s="18" t="n"/>
      <c r="H263" s="15" t="n"/>
      <c r="I263" s="15" t="n"/>
      <c r="J263" s="15" t="n"/>
      <c r="K263" s="15" t="n"/>
      <c r="L263" s="15" t="n"/>
      <c r="M263" s="15" t="n"/>
      <c r="N263" s="16">
        <f>IF(OR(H263="",M263=""),"",IF(H263=M263,"Concorda","DIVERGE → Comitê"))</f>
        <v/>
      </c>
      <c r="O263" s="16">
        <f>IF(L263="","",IF(L263&lt;&gt;F263,"Sim","NÃO"))</f>
        <v/>
      </c>
    </row>
    <row r="264">
      <c r="A264" s="15" t="n"/>
      <c r="B264" s="15" t="n"/>
      <c r="C264" s="15" t="n"/>
      <c r="D264" s="15" t="n"/>
      <c r="E264" s="15" t="n"/>
      <c r="F264" s="15" t="n"/>
      <c r="G264" s="18" t="n"/>
      <c r="H264" s="15" t="n"/>
      <c r="I264" s="15" t="n"/>
      <c r="J264" s="15" t="n"/>
      <c r="K264" s="15" t="n"/>
      <c r="L264" s="15" t="n"/>
      <c r="M264" s="15" t="n"/>
      <c r="N264" s="16">
        <f>IF(OR(H264="",M264=""),"",IF(H264=M264,"Concorda","DIVERGE → Comitê"))</f>
        <v/>
      </c>
      <c r="O264" s="16">
        <f>IF(L264="","",IF(L264&lt;&gt;F264,"Sim","NÃO"))</f>
        <v/>
      </c>
    </row>
    <row r="265">
      <c r="A265" s="15" t="n"/>
      <c r="B265" s="15" t="n"/>
      <c r="C265" s="15" t="n"/>
      <c r="D265" s="15" t="n"/>
      <c r="E265" s="15" t="n"/>
      <c r="F265" s="15" t="n"/>
      <c r="G265" s="18" t="n"/>
      <c r="H265" s="15" t="n"/>
      <c r="I265" s="15" t="n"/>
      <c r="J265" s="15" t="n"/>
      <c r="K265" s="15" t="n"/>
      <c r="L265" s="15" t="n"/>
      <c r="M265" s="15" t="n"/>
      <c r="N265" s="16">
        <f>IF(OR(H265="",M265=""),"",IF(H265=M265,"Concorda","DIVERGE → Comitê"))</f>
        <v/>
      </c>
      <c r="O265" s="16">
        <f>IF(L265="","",IF(L265&lt;&gt;F265,"Sim","NÃO"))</f>
        <v/>
      </c>
    </row>
    <row r="266">
      <c r="A266" s="15" t="n"/>
      <c r="B266" s="15" t="n"/>
      <c r="C266" s="15" t="n"/>
      <c r="D266" s="15" t="n"/>
      <c r="E266" s="15" t="n"/>
      <c r="F266" s="15" t="n"/>
      <c r="G266" s="18" t="n"/>
      <c r="H266" s="15" t="n"/>
      <c r="I266" s="15" t="n"/>
      <c r="J266" s="15" t="n"/>
      <c r="K266" s="15" t="n"/>
      <c r="L266" s="15" t="n"/>
      <c r="M266" s="15" t="n"/>
      <c r="N266" s="16">
        <f>IF(OR(H266="",M266=""),"",IF(H266=M266,"Concorda","DIVERGE → Comitê"))</f>
        <v/>
      </c>
      <c r="O266" s="16">
        <f>IF(L266="","",IF(L266&lt;&gt;F266,"Sim","NÃO"))</f>
        <v/>
      </c>
    </row>
    <row r="267">
      <c r="A267" s="15" t="n"/>
      <c r="B267" s="15" t="n"/>
      <c r="C267" s="15" t="n"/>
      <c r="D267" s="15" t="n"/>
      <c r="E267" s="15" t="n"/>
      <c r="F267" s="15" t="n"/>
      <c r="G267" s="18" t="n"/>
      <c r="H267" s="15" t="n"/>
      <c r="I267" s="15" t="n"/>
      <c r="J267" s="15" t="n"/>
      <c r="K267" s="15" t="n"/>
      <c r="L267" s="15" t="n"/>
      <c r="M267" s="15" t="n"/>
      <c r="N267" s="16">
        <f>IF(OR(H267="",M267=""),"",IF(H267=M267,"Concorda","DIVERGE → Comitê"))</f>
        <v/>
      </c>
      <c r="O267" s="16">
        <f>IF(L267="","",IF(L267&lt;&gt;F267,"Sim","NÃO"))</f>
        <v/>
      </c>
    </row>
    <row r="268">
      <c r="A268" s="15" t="n"/>
      <c r="B268" s="15" t="n"/>
      <c r="C268" s="15" t="n"/>
      <c r="D268" s="15" t="n"/>
      <c r="E268" s="15" t="n"/>
      <c r="F268" s="15" t="n"/>
      <c r="G268" s="18" t="n"/>
      <c r="H268" s="15" t="n"/>
      <c r="I268" s="15" t="n"/>
      <c r="J268" s="15" t="n"/>
      <c r="K268" s="15" t="n"/>
      <c r="L268" s="15" t="n"/>
      <c r="M268" s="15" t="n"/>
      <c r="N268" s="16">
        <f>IF(OR(H268="",M268=""),"",IF(H268=M268,"Concorda","DIVERGE → Comitê"))</f>
        <v/>
      </c>
      <c r="O268" s="16">
        <f>IF(L268="","",IF(L268&lt;&gt;F268,"Sim","NÃO"))</f>
        <v/>
      </c>
    </row>
    <row r="269">
      <c r="A269" s="15" t="n"/>
      <c r="B269" s="15" t="n"/>
      <c r="C269" s="15" t="n"/>
      <c r="D269" s="15" t="n"/>
      <c r="E269" s="15" t="n"/>
      <c r="F269" s="15" t="n"/>
      <c r="G269" s="18" t="n"/>
      <c r="H269" s="15" t="n"/>
      <c r="I269" s="15" t="n"/>
      <c r="J269" s="15" t="n"/>
      <c r="K269" s="15" t="n"/>
      <c r="L269" s="15" t="n"/>
      <c r="M269" s="15" t="n"/>
      <c r="N269" s="16">
        <f>IF(OR(H269="",M269=""),"",IF(H269=M269,"Concorda","DIVERGE → Comitê"))</f>
        <v/>
      </c>
      <c r="O269" s="16">
        <f>IF(L269="","",IF(L269&lt;&gt;F269,"Sim","NÃO"))</f>
        <v/>
      </c>
    </row>
    <row r="270">
      <c r="A270" s="15" t="n"/>
      <c r="B270" s="15" t="n"/>
      <c r="C270" s="15" t="n"/>
      <c r="D270" s="15" t="n"/>
      <c r="E270" s="15" t="n"/>
      <c r="F270" s="15" t="n"/>
      <c r="G270" s="18" t="n"/>
      <c r="H270" s="15" t="n"/>
      <c r="I270" s="15" t="n"/>
      <c r="J270" s="15" t="n"/>
      <c r="K270" s="15" t="n"/>
      <c r="L270" s="15" t="n"/>
      <c r="M270" s="15" t="n"/>
      <c r="N270" s="16">
        <f>IF(OR(H270="",M270=""),"",IF(H270=M270,"Concorda","DIVERGE → Comitê"))</f>
        <v/>
      </c>
      <c r="O270" s="16">
        <f>IF(L270="","",IF(L270&lt;&gt;F270,"Sim","NÃO"))</f>
        <v/>
      </c>
    </row>
    <row r="271">
      <c r="A271" s="15" t="n"/>
      <c r="B271" s="15" t="n"/>
      <c r="C271" s="15" t="n"/>
      <c r="D271" s="15" t="n"/>
      <c r="E271" s="15" t="n"/>
      <c r="F271" s="15" t="n"/>
      <c r="G271" s="18" t="n"/>
      <c r="H271" s="15" t="n"/>
      <c r="I271" s="15" t="n"/>
      <c r="J271" s="15" t="n"/>
      <c r="K271" s="15" t="n"/>
      <c r="L271" s="15" t="n"/>
      <c r="M271" s="15" t="n"/>
      <c r="N271" s="16">
        <f>IF(OR(H271="",M271=""),"",IF(H271=M271,"Concorda","DIVERGE → Comitê"))</f>
        <v/>
      </c>
      <c r="O271" s="16">
        <f>IF(L271="","",IF(L271&lt;&gt;F271,"Sim","NÃO"))</f>
        <v/>
      </c>
    </row>
    <row r="272">
      <c r="A272" s="15" t="n"/>
      <c r="B272" s="15" t="n"/>
      <c r="C272" s="15" t="n"/>
      <c r="D272" s="15" t="n"/>
      <c r="E272" s="15" t="n"/>
      <c r="F272" s="15" t="n"/>
      <c r="G272" s="18" t="n"/>
      <c r="H272" s="15" t="n"/>
      <c r="I272" s="15" t="n"/>
      <c r="J272" s="15" t="n"/>
      <c r="K272" s="15" t="n"/>
      <c r="L272" s="15" t="n"/>
      <c r="M272" s="15" t="n"/>
      <c r="N272" s="16">
        <f>IF(OR(H272="",M272=""),"",IF(H272=M272,"Concorda","DIVERGE → Comitê"))</f>
        <v/>
      </c>
      <c r="O272" s="16">
        <f>IF(L272="","",IF(L272&lt;&gt;F272,"Sim","NÃO"))</f>
        <v/>
      </c>
    </row>
    <row r="273">
      <c r="A273" s="15" t="n"/>
      <c r="B273" s="15" t="n"/>
      <c r="C273" s="15" t="n"/>
      <c r="D273" s="15" t="n"/>
      <c r="E273" s="15" t="n"/>
      <c r="F273" s="15" t="n"/>
      <c r="G273" s="18" t="n"/>
      <c r="H273" s="15" t="n"/>
      <c r="I273" s="15" t="n"/>
      <c r="J273" s="15" t="n"/>
      <c r="K273" s="15" t="n"/>
      <c r="L273" s="15" t="n"/>
      <c r="M273" s="15" t="n"/>
      <c r="N273" s="16">
        <f>IF(OR(H273="",M273=""),"",IF(H273=M273,"Concorda","DIVERGE → Comitê"))</f>
        <v/>
      </c>
      <c r="O273" s="16">
        <f>IF(L273="","",IF(L273&lt;&gt;F273,"Sim","NÃO"))</f>
        <v/>
      </c>
    </row>
    <row r="274">
      <c r="A274" s="15" t="n"/>
      <c r="B274" s="15" t="n"/>
      <c r="C274" s="15" t="n"/>
      <c r="D274" s="15" t="n"/>
      <c r="E274" s="15" t="n"/>
      <c r="F274" s="15" t="n"/>
      <c r="G274" s="18" t="n"/>
      <c r="H274" s="15" t="n"/>
      <c r="I274" s="15" t="n"/>
      <c r="J274" s="15" t="n"/>
      <c r="K274" s="15" t="n"/>
      <c r="L274" s="15" t="n"/>
      <c r="M274" s="15" t="n"/>
      <c r="N274" s="16">
        <f>IF(OR(H274="",M274=""),"",IF(H274=M274,"Concorda","DIVERGE → Comitê"))</f>
        <v/>
      </c>
      <c r="O274" s="16">
        <f>IF(L274="","",IF(L274&lt;&gt;F274,"Sim","NÃO"))</f>
        <v/>
      </c>
    </row>
    <row r="275">
      <c r="A275" s="15" t="n"/>
      <c r="B275" s="15" t="n"/>
      <c r="C275" s="15" t="n"/>
      <c r="D275" s="15" t="n"/>
      <c r="E275" s="15" t="n"/>
      <c r="F275" s="15" t="n"/>
      <c r="G275" s="18" t="n"/>
      <c r="H275" s="15" t="n"/>
      <c r="I275" s="15" t="n"/>
      <c r="J275" s="15" t="n"/>
      <c r="K275" s="15" t="n"/>
      <c r="L275" s="15" t="n"/>
      <c r="M275" s="15" t="n"/>
      <c r="N275" s="16">
        <f>IF(OR(H275="",M275=""),"",IF(H275=M275,"Concorda","DIVERGE → Comitê"))</f>
        <v/>
      </c>
      <c r="O275" s="16">
        <f>IF(L275="","",IF(L275&lt;&gt;F275,"Sim","NÃO"))</f>
        <v/>
      </c>
    </row>
    <row r="276">
      <c r="A276" s="15" t="n"/>
      <c r="B276" s="15" t="n"/>
      <c r="C276" s="15" t="n"/>
      <c r="D276" s="15" t="n"/>
      <c r="E276" s="15" t="n"/>
      <c r="F276" s="15" t="n"/>
      <c r="G276" s="18" t="n"/>
      <c r="H276" s="15" t="n"/>
      <c r="I276" s="15" t="n"/>
      <c r="J276" s="15" t="n"/>
      <c r="K276" s="15" t="n"/>
      <c r="L276" s="15" t="n"/>
      <c r="M276" s="15" t="n"/>
      <c r="N276" s="16">
        <f>IF(OR(H276="",M276=""),"",IF(H276=M276,"Concorda","DIVERGE → Comitê"))</f>
        <v/>
      </c>
      <c r="O276" s="16">
        <f>IF(L276="","",IF(L276&lt;&gt;F276,"Sim","NÃO"))</f>
        <v/>
      </c>
    </row>
    <row r="277">
      <c r="A277" s="15" t="n"/>
      <c r="B277" s="15" t="n"/>
      <c r="C277" s="15" t="n"/>
      <c r="D277" s="15" t="n"/>
      <c r="E277" s="15" t="n"/>
      <c r="F277" s="15" t="n"/>
      <c r="G277" s="18" t="n"/>
      <c r="H277" s="15" t="n"/>
      <c r="I277" s="15" t="n"/>
      <c r="J277" s="15" t="n"/>
      <c r="K277" s="15" t="n"/>
      <c r="L277" s="15" t="n"/>
      <c r="M277" s="15" t="n"/>
      <c r="N277" s="16">
        <f>IF(OR(H277="",M277=""),"",IF(H277=M277,"Concorda","DIVERGE → Comitê"))</f>
        <v/>
      </c>
      <c r="O277" s="16">
        <f>IF(L277="","",IF(L277&lt;&gt;F277,"Sim","NÃO"))</f>
        <v/>
      </c>
    </row>
    <row r="278">
      <c r="A278" s="15" t="n"/>
      <c r="B278" s="15" t="n"/>
      <c r="C278" s="15" t="n"/>
      <c r="D278" s="15" t="n"/>
      <c r="E278" s="15" t="n"/>
      <c r="F278" s="15" t="n"/>
      <c r="G278" s="18" t="n"/>
      <c r="H278" s="15" t="n"/>
      <c r="I278" s="15" t="n"/>
      <c r="J278" s="15" t="n"/>
      <c r="K278" s="15" t="n"/>
      <c r="L278" s="15" t="n"/>
      <c r="M278" s="15" t="n"/>
      <c r="N278" s="16">
        <f>IF(OR(H278="",M278=""),"",IF(H278=M278,"Concorda","DIVERGE → Comitê"))</f>
        <v/>
      </c>
      <c r="O278" s="16">
        <f>IF(L278="","",IF(L278&lt;&gt;F278,"Sim","NÃO"))</f>
        <v/>
      </c>
    </row>
    <row r="279">
      <c r="A279" s="15" t="n"/>
      <c r="B279" s="15" t="n"/>
      <c r="C279" s="15" t="n"/>
      <c r="D279" s="15" t="n"/>
      <c r="E279" s="15" t="n"/>
      <c r="F279" s="15" t="n"/>
      <c r="G279" s="18" t="n"/>
      <c r="H279" s="15" t="n"/>
      <c r="I279" s="15" t="n"/>
      <c r="J279" s="15" t="n"/>
      <c r="K279" s="15" t="n"/>
      <c r="L279" s="15" t="n"/>
      <c r="M279" s="15" t="n"/>
      <c r="N279" s="16">
        <f>IF(OR(H279="",M279=""),"",IF(H279=M279,"Concorda","DIVERGE → Comitê"))</f>
        <v/>
      </c>
      <c r="O279" s="16">
        <f>IF(L279="","",IF(L279&lt;&gt;F279,"Sim","NÃO"))</f>
        <v/>
      </c>
    </row>
    <row r="280">
      <c r="A280" s="15" t="n"/>
      <c r="B280" s="15" t="n"/>
      <c r="C280" s="15" t="n"/>
      <c r="D280" s="15" t="n"/>
      <c r="E280" s="15" t="n"/>
      <c r="F280" s="15" t="n"/>
      <c r="G280" s="18" t="n"/>
      <c r="H280" s="15" t="n"/>
      <c r="I280" s="15" t="n"/>
      <c r="J280" s="15" t="n"/>
      <c r="K280" s="15" t="n"/>
      <c r="L280" s="15" t="n"/>
      <c r="M280" s="15" t="n"/>
      <c r="N280" s="16">
        <f>IF(OR(H280="",M280=""),"",IF(H280=M280,"Concorda","DIVERGE → Comitê"))</f>
        <v/>
      </c>
      <c r="O280" s="16">
        <f>IF(L280="","",IF(L280&lt;&gt;F280,"Sim","NÃO"))</f>
        <v/>
      </c>
    </row>
    <row r="281">
      <c r="A281" s="15" t="n"/>
      <c r="B281" s="15" t="n"/>
      <c r="C281" s="15" t="n"/>
      <c r="D281" s="15" t="n"/>
      <c r="E281" s="15" t="n"/>
      <c r="F281" s="15" t="n"/>
      <c r="G281" s="18" t="n"/>
      <c r="H281" s="15" t="n"/>
      <c r="I281" s="15" t="n"/>
      <c r="J281" s="15" t="n"/>
      <c r="K281" s="15" t="n"/>
      <c r="L281" s="15" t="n"/>
      <c r="M281" s="15" t="n"/>
      <c r="N281" s="16">
        <f>IF(OR(H281="",M281=""),"",IF(H281=M281,"Concorda","DIVERGE → Comitê"))</f>
        <v/>
      </c>
      <c r="O281" s="16">
        <f>IF(L281="","",IF(L281&lt;&gt;F281,"Sim","NÃO"))</f>
        <v/>
      </c>
    </row>
    <row r="282">
      <c r="A282" s="15" t="n"/>
      <c r="B282" s="15" t="n"/>
      <c r="C282" s="15" t="n"/>
      <c r="D282" s="15" t="n"/>
      <c r="E282" s="15" t="n"/>
      <c r="F282" s="15" t="n"/>
      <c r="G282" s="18" t="n"/>
      <c r="H282" s="15" t="n"/>
      <c r="I282" s="15" t="n"/>
      <c r="J282" s="15" t="n"/>
      <c r="K282" s="15" t="n"/>
      <c r="L282" s="15" t="n"/>
      <c r="M282" s="15" t="n"/>
      <c r="N282" s="16">
        <f>IF(OR(H282="",M282=""),"",IF(H282=M282,"Concorda","DIVERGE → Comitê"))</f>
        <v/>
      </c>
      <c r="O282" s="16">
        <f>IF(L282="","",IF(L282&lt;&gt;F282,"Sim","NÃO"))</f>
        <v/>
      </c>
    </row>
    <row r="283">
      <c r="A283" s="15" t="n"/>
      <c r="B283" s="15" t="n"/>
      <c r="C283" s="15" t="n"/>
      <c r="D283" s="15" t="n"/>
      <c r="E283" s="15" t="n"/>
      <c r="F283" s="15" t="n"/>
      <c r="G283" s="18" t="n"/>
      <c r="H283" s="15" t="n"/>
      <c r="I283" s="15" t="n"/>
      <c r="J283" s="15" t="n"/>
      <c r="K283" s="15" t="n"/>
      <c r="L283" s="15" t="n"/>
      <c r="M283" s="15" t="n"/>
      <c r="N283" s="16">
        <f>IF(OR(H283="",M283=""),"",IF(H283=M283,"Concorda","DIVERGE → Comitê"))</f>
        <v/>
      </c>
      <c r="O283" s="16">
        <f>IF(L283="","",IF(L283&lt;&gt;F283,"Sim","NÃO"))</f>
        <v/>
      </c>
    </row>
    <row r="284">
      <c r="A284" s="15" t="n"/>
      <c r="B284" s="15" t="n"/>
      <c r="C284" s="15" t="n"/>
      <c r="D284" s="15" t="n"/>
      <c r="E284" s="15" t="n"/>
      <c r="F284" s="15" t="n"/>
      <c r="G284" s="18" t="n"/>
      <c r="H284" s="15" t="n"/>
      <c r="I284" s="15" t="n"/>
      <c r="J284" s="15" t="n"/>
      <c r="K284" s="15" t="n"/>
      <c r="L284" s="15" t="n"/>
      <c r="M284" s="15" t="n"/>
      <c r="N284" s="16">
        <f>IF(OR(H284="",M284=""),"",IF(H284=M284,"Concorda","DIVERGE → Comitê"))</f>
        <v/>
      </c>
      <c r="O284" s="16">
        <f>IF(L284="","",IF(L284&lt;&gt;F284,"Sim","NÃO"))</f>
        <v/>
      </c>
    </row>
    <row r="285">
      <c r="A285" s="15" t="n"/>
      <c r="B285" s="15" t="n"/>
      <c r="C285" s="15" t="n"/>
      <c r="D285" s="15" t="n"/>
      <c r="E285" s="15" t="n"/>
      <c r="F285" s="15" t="n"/>
      <c r="G285" s="18" t="n"/>
      <c r="H285" s="15" t="n"/>
      <c r="I285" s="15" t="n"/>
      <c r="J285" s="15" t="n"/>
      <c r="K285" s="15" t="n"/>
      <c r="L285" s="15" t="n"/>
      <c r="M285" s="15" t="n"/>
      <c r="N285" s="16">
        <f>IF(OR(H285="",M285=""),"",IF(H285=M285,"Concorda","DIVERGE → Comitê"))</f>
        <v/>
      </c>
      <c r="O285" s="16">
        <f>IF(L285="","",IF(L285&lt;&gt;F285,"Sim","NÃO"))</f>
        <v/>
      </c>
    </row>
    <row r="286">
      <c r="A286" s="15" t="n"/>
      <c r="B286" s="15" t="n"/>
      <c r="C286" s="15" t="n"/>
      <c r="D286" s="15" t="n"/>
      <c r="E286" s="15" t="n"/>
      <c r="F286" s="15" t="n"/>
      <c r="G286" s="18" t="n"/>
      <c r="H286" s="15" t="n"/>
      <c r="I286" s="15" t="n"/>
      <c r="J286" s="15" t="n"/>
      <c r="K286" s="15" t="n"/>
      <c r="L286" s="15" t="n"/>
      <c r="M286" s="15" t="n"/>
      <c r="N286" s="16">
        <f>IF(OR(H286="",M286=""),"",IF(H286=M286,"Concorda","DIVERGE → Comitê"))</f>
        <v/>
      </c>
      <c r="O286" s="16">
        <f>IF(L286="","",IF(L286&lt;&gt;F286,"Sim","NÃO"))</f>
        <v/>
      </c>
    </row>
    <row r="287">
      <c r="A287" s="15" t="n"/>
      <c r="B287" s="15" t="n"/>
      <c r="C287" s="15" t="n"/>
      <c r="D287" s="15" t="n"/>
      <c r="E287" s="15" t="n"/>
      <c r="F287" s="15" t="n"/>
      <c r="G287" s="18" t="n"/>
      <c r="H287" s="15" t="n"/>
      <c r="I287" s="15" t="n"/>
      <c r="J287" s="15" t="n"/>
      <c r="K287" s="15" t="n"/>
      <c r="L287" s="15" t="n"/>
      <c r="M287" s="15" t="n"/>
      <c r="N287" s="16">
        <f>IF(OR(H287="",M287=""),"",IF(H287=M287,"Concorda","DIVERGE → Comitê"))</f>
        <v/>
      </c>
      <c r="O287" s="16">
        <f>IF(L287="","",IF(L287&lt;&gt;F287,"Sim","NÃO"))</f>
        <v/>
      </c>
    </row>
    <row r="288">
      <c r="A288" s="15" t="n"/>
      <c r="B288" s="15" t="n"/>
      <c r="C288" s="15" t="n"/>
      <c r="D288" s="15" t="n"/>
      <c r="E288" s="15" t="n"/>
      <c r="F288" s="15" t="n"/>
      <c r="G288" s="18" t="n"/>
      <c r="H288" s="15" t="n"/>
      <c r="I288" s="15" t="n"/>
      <c r="J288" s="15" t="n"/>
      <c r="K288" s="15" t="n"/>
      <c r="L288" s="15" t="n"/>
      <c r="M288" s="15" t="n"/>
      <c r="N288" s="16">
        <f>IF(OR(H288="",M288=""),"",IF(H288=M288,"Concorda","DIVERGE → Comitê"))</f>
        <v/>
      </c>
      <c r="O288" s="16">
        <f>IF(L288="","",IF(L288&lt;&gt;F288,"Sim","NÃO"))</f>
        <v/>
      </c>
    </row>
    <row r="289">
      <c r="A289" s="15" t="n"/>
      <c r="B289" s="15" t="n"/>
      <c r="C289" s="15" t="n"/>
      <c r="D289" s="15" t="n"/>
      <c r="E289" s="15" t="n"/>
      <c r="F289" s="15" t="n"/>
      <c r="G289" s="18" t="n"/>
      <c r="H289" s="15" t="n"/>
      <c r="I289" s="15" t="n"/>
      <c r="J289" s="15" t="n"/>
      <c r="K289" s="15" t="n"/>
      <c r="L289" s="15" t="n"/>
      <c r="M289" s="15" t="n"/>
      <c r="N289" s="16">
        <f>IF(OR(H289="",M289=""),"",IF(H289=M289,"Concorda","DIVERGE → Comitê"))</f>
        <v/>
      </c>
      <c r="O289" s="16">
        <f>IF(L289="","",IF(L289&lt;&gt;F289,"Sim","NÃO"))</f>
        <v/>
      </c>
    </row>
    <row r="290">
      <c r="A290" s="15" t="n"/>
      <c r="B290" s="15" t="n"/>
      <c r="C290" s="15" t="n"/>
      <c r="D290" s="15" t="n"/>
      <c r="E290" s="15" t="n"/>
      <c r="F290" s="15" t="n"/>
      <c r="G290" s="18" t="n"/>
      <c r="H290" s="15" t="n"/>
      <c r="I290" s="15" t="n"/>
      <c r="J290" s="15" t="n"/>
      <c r="K290" s="15" t="n"/>
      <c r="L290" s="15" t="n"/>
      <c r="M290" s="15" t="n"/>
      <c r="N290" s="16">
        <f>IF(OR(H290="",M290=""),"",IF(H290=M290,"Concorda","DIVERGE → Comitê"))</f>
        <v/>
      </c>
      <c r="O290" s="16">
        <f>IF(L290="","",IF(L290&lt;&gt;F290,"Sim","NÃO"))</f>
        <v/>
      </c>
    </row>
    <row r="291">
      <c r="A291" s="15" t="n"/>
      <c r="B291" s="15" t="n"/>
      <c r="C291" s="15" t="n"/>
      <c r="D291" s="15" t="n"/>
      <c r="E291" s="15" t="n"/>
      <c r="F291" s="15" t="n"/>
      <c r="G291" s="18" t="n"/>
      <c r="H291" s="15" t="n"/>
      <c r="I291" s="15" t="n"/>
      <c r="J291" s="15" t="n"/>
      <c r="K291" s="15" t="n"/>
      <c r="L291" s="15" t="n"/>
      <c r="M291" s="15" t="n"/>
      <c r="N291" s="16">
        <f>IF(OR(H291="",M291=""),"",IF(H291=M291,"Concorda","DIVERGE → Comitê"))</f>
        <v/>
      </c>
      <c r="O291" s="16">
        <f>IF(L291="","",IF(L291&lt;&gt;F291,"Sim","NÃO"))</f>
        <v/>
      </c>
    </row>
    <row r="292">
      <c r="A292" s="15" t="n"/>
      <c r="B292" s="15" t="n"/>
      <c r="C292" s="15" t="n"/>
      <c r="D292" s="15" t="n"/>
      <c r="E292" s="15" t="n"/>
      <c r="F292" s="15" t="n"/>
      <c r="G292" s="18" t="n"/>
      <c r="H292" s="15" t="n"/>
      <c r="I292" s="15" t="n"/>
      <c r="J292" s="15" t="n"/>
      <c r="K292" s="15" t="n"/>
      <c r="L292" s="15" t="n"/>
      <c r="M292" s="15" t="n"/>
      <c r="N292" s="16">
        <f>IF(OR(H292="",M292=""),"",IF(H292=M292,"Concorda","DIVERGE → Comitê"))</f>
        <v/>
      </c>
      <c r="O292" s="16">
        <f>IF(L292="","",IF(L292&lt;&gt;F292,"Sim","NÃO"))</f>
        <v/>
      </c>
    </row>
    <row r="293">
      <c r="A293" s="15" t="n"/>
      <c r="B293" s="15" t="n"/>
      <c r="C293" s="15" t="n"/>
      <c r="D293" s="15" t="n"/>
      <c r="E293" s="15" t="n"/>
      <c r="F293" s="15" t="n"/>
      <c r="G293" s="18" t="n"/>
      <c r="H293" s="15" t="n"/>
      <c r="I293" s="15" t="n"/>
      <c r="J293" s="15" t="n"/>
      <c r="K293" s="15" t="n"/>
      <c r="L293" s="15" t="n"/>
      <c r="M293" s="15" t="n"/>
      <c r="N293" s="16">
        <f>IF(OR(H293="",M293=""),"",IF(H293=M293,"Concorda","DIVERGE → Comitê"))</f>
        <v/>
      </c>
      <c r="O293" s="16">
        <f>IF(L293="","",IF(L293&lt;&gt;F293,"Sim","NÃO"))</f>
        <v/>
      </c>
    </row>
    <row r="294">
      <c r="A294" s="15" t="n"/>
      <c r="B294" s="15" t="n"/>
      <c r="C294" s="15" t="n"/>
      <c r="D294" s="15" t="n"/>
      <c r="E294" s="15" t="n"/>
      <c r="F294" s="15" t="n"/>
      <c r="G294" s="18" t="n"/>
      <c r="H294" s="15" t="n"/>
      <c r="I294" s="15" t="n"/>
      <c r="J294" s="15" t="n"/>
      <c r="K294" s="15" t="n"/>
      <c r="L294" s="15" t="n"/>
      <c r="M294" s="15" t="n"/>
      <c r="N294" s="16">
        <f>IF(OR(H294="",M294=""),"",IF(H294=M294,"Concorda","DIVERGE → Comitê"))</f>
        <v/>
      </c>
      <c r="O294" s="16">
        <f>IF(L294="","",IF(L294&lt;&gt;F294,"Sim","NÃO"))</f>
        <v/>
      </c>
    </row>
    <row r="295">
      <c r="A295" s="15" t="n"/>
      <c r="B295" s="15" t="n"/>
      <c r="C295" s="15" t="n"/>
      <c r="D295" s="15" t="n"/>
      <c r="E295" s="15" t="n"/>
      <c r="F295" s="15" t="n"/>
      <c r="G295" s="18" t="n"/>
      <c r="H295" s="15" t="n"/>
      <c r="I295" s="15" t="n"/>
      <c r="J295" s="15" t="n"/>
      <c r="K295" s="15" t="n"/>
      <c r="L295" s="15" t="n"/>
      <c r="M295" s="15" t="n"/>
      <c r="N295" s="16">
        <f>IF(OR(H295="",M295=""),"",IF(H295=M295,"Concorda","DIVERGE → Comitê"))</f>
        <v/>
      </c>
      <c r="O295" s="16">
        <f>IF(L295="","",IF(L295&lt;&gt;F295,"Sim","NÃO"))</f>
        <v/>
      </c>
    </row>
    <row r="296">
      <c r="A296" s="15" t="n"/>
      <c r="B296" s="15" t="n"/>
      <c r="C296" s="15" t="n"/>
      <c r="D296" s="15" t="n"/>
      <c r="E296" s="15" t="n"/>
      <c r="F296" s="15" t="n"/>
      <c r="G296" s="18" t="n"/>
      <c r="H296" s="15" t="n"/>
      <c r="I296" s="15" t="n"/>
      <c r="J296" s="15" t="n"/>
      <c r="K296" s="15" t="n"/>
      <c r="L296" s="15" t="n"/>
      <c r="M296" s="15" t="n"/>
      <c r="N296" s="16">
        <f>IF(OR(H296="",M296=""),"",IF(H296=M296,"Concorda","DIVERGE → Comitê"))</f>
        <v/>
      </c>
      <c r="O296" s="16">
        <f>IF(L296="","",IF(L296&lt;&gt;F296,"Sim","NÃO"))</f>
        <v/>
      </c>
    </row>
    <row r="297">
      <c r="A297" s="15" t="n"/>
      <c r="B297" s="15" t="n"/>
      <c r="C297" s="15" t="n"/>
      <c r="D297" s="15" t="n"/>
      <c r="E297" s="15" t="n"/>
      <c r="F297" s="15" t="n"/>
      <c r="G297" s="18" t="n"/>
      <c r="H297" s="15" t="n"/>
      <c r="I297" s="15" t="n"/>
      <c r="J297" s="15" t="n"/>
      <c r="K297" s="15" t="n"/>
      <c r="L297" s="15" t="n"/>
      <c r="M297" s="15" t="n"/>
      <c r="N297" s="16">
        <f>IF(OR(H297="",M297=""),"",IF(H297=M297,"Concorda","DIVERGE → Comitê"))</f>
        <v/>
      </c>
      <c r="O297" s="16">
        <f>IF(L297="","",IF(L297&lt;&gt;F297,"Sim","NÃO"))</f>
        <v/>
      </c>
    </row>
    <row r="298">
      <c r="A298" s="15" t="n"/>
      <c r="B298" s="15" t="n"/>
      <c r="C298" s="15" t="n"/>
      <c r="D298" s="15" t="n"/>
      <c r="E298" s="15" t="n"/>
      <c r="F298" s="15" t="n"/>
      <c r="G298" s="18" t="n"/>
      <c r="H298" s="15" t="n"/>
      <c r="I298" s="15" t="n"/>
      <c r="J298" s="15" t="n"/>
      <c r="K298" s="15" t="n"/>
      <c r="L298" s="15" t="n"/>
      <c r="M298" s="15" t="n"/>
      <c r="N298" s="16">
        <f>IF(OR(H298="",M298=""),"",IF(H298=M298,"Concorda","DIVERGE → Comitê"))</f>
        <v/>
      </c>
      <c r="O298" s="16">
        <f>IF(L298="","",IF(L298&lt;&gt;F298,"Sim","NÃO"))</f>
        <v/>
      </c>
    </row>
    <row r="299">
      <c r="A299" s="15" t="n"/>
      <c r="B299" s="15" t="n"/>
      <c r="C299" s="15" t="n"/>
      <c r="D299" s="15" t="n"/>
      <c r="E299" s="15" t="n"/>
      <c r="F299" s="15" t="n"/>
      <c r="G299" s="18" t="n"/>
      <c r="H299" s="15" t="n"/>
      <c r="I299" s="15" t="n"/>
      <c r="J299" s="15" t="n"/>
      <c r="K299" s="15" t="n"/>
      <c r="L299" s="15" t="n"/>
      <c r="M299" s="15" t="n"/>
      <c r="N299" s="16">
        <f>IF(OR(H299="",M299=""),"",IF(H299=M299,"Concorda","DIVERGE → Comitê"))</f>
        <v/>
      </c>
      <c r="O299" s="16">
        <f>IF(L299="","",IF(L299&lt;&gt;F299,"Sim","NÃO"))</f>
        <v/>
      </c>
    </row>
    <row r="300">
      <c r="A300" s="15" t="n"/>
      <c r="B300" s="15" t="n"/>
      <c r="C300" s="15" t="n"/>
      <c r="D300" s="15" t="n"/>
      <c r="E300" s="15" t="n"/>
      <c r="F300" s="15" t="n"/>
      <c r="G300" s="18" t="n"/>
      <c r="H300" s="15" t="n"/>
      <c r="I300" s="15" t="n"/>
      <c r="J300" s="15" t="n"/>
      <c r="K300" s="15" t="n"/>
      <c r="L300" s="15" t="n"/>
      <c r="M300" s="15" t="n"/>
      <c r="N300" s="16">
        <f>IF(OR(H300="",M300=""),"",IF(H300=M300,"Concorda","DIVERGE → Comitê"))</f>
        <v/>
      </c>
      <c r="O300" s="16">
        <f>IF(L300="","",IF(L300&lt;&gt;F300,"Sim","NÃO"))</f>
        <v/>
      </c>
    </row>
    <row r="301">
      <c r="A301" s="15" t="n"/>
      <c r="B301" s="15" t="n"/>
      <c r="C301" s="15" t="n"/>
      <c r="D301" s="15" t="n"/>
      <c r="E301" s="15" t="n"/>
      <c r="F301" s="15" t="n"/>
      <c r="G301" s="18" t="n"/>
      <c r="H301" s="15" t="n"/>
      <c r="I301" s="15" t="n"/>
      <c r="J301" s="15" t="n"/>
      <c r="K301" s="15" t="n"/>
      <c r="L301" s="15" t="n"/>
      <c r="M301" s="15" t="n"/>
      <c r="N301" s="16">
        <f>IF(OR(H301="",M301=""),"",IF(H301=M301,"Concorda","DIVERGE → Comitê"))</f>
        <v/>
      </c>
      <c r="O301" s="16">
        <f>IF(L301="","",IF(L301&lt;&gt;F301,"Sim","NÃO"))</f>
        <v/>
      </c>
    </row>
  </sheetData>
  <autoFilter ref="A1:O301"/>
  <conditionalFormatting sqref="N2:N301">
    <cfRule type="expression" priority="1" dxfId="1">
      <formula>LEFT(N2,3)="NÃO"</formula>
    </cfRule>
    <cfRule type="expression" priority="2" dxfId="1">
      <formula>LEFT(N2,7)="DIVERGE"</formula>
    </cfRule>
  </conditionalFormatting>
  <conditionalFormatting sqref="O2:O301">
    <cfRule type="expression" priority="3" dxfId="1">
      <formula>LEFT(O2,3)="NÃO"</formula>
    </cfRule>
    <cfRule type="expression" priority="4" dxfId="1">
      <formula>LEFT(O2,7)="DIVERGE"</formula>
    </cfRule>
  </conditionalFormatting>
  <dataValidations count="3">
    <dataValidation sqref="C2:C301" showDropDown="0" showInputMessage="0" showErrorMessage="0" allowBlank="1" errorTitle="Valor inválido" error="Escolha um valor da lista." type="list">
      <formula1>Listas!$E$2:$E$6</formula1>
    </dataValidation>
    <dataValidation sqref="H2:H301" showDropDown="0" showInputMessage="0" showErrorMessage="0" allowBlank="1" errorTitle="Valor inválido" error="Escolha um valor da lista." type="list">
      <formula1>Listas!$F$2:$F$6</formula1>
    </dataValidation>
    <dataValidation sqref="M2:M301" showDropDown="0" showInputMessage="0" showErrorMessage="0" allowBlank="1" errorTitle="Valor inválido" error="Escolha um valor da lista." type="list">
      <formula1>Listas!$F$2:$F$6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16" customWidth="1" min="4" max="4"/>
    <col width="16" customWidth="1" min="5" max="5"/>
    <col width="14" customWidth="1" min="6" max="6"/>
    <col width="10" customWidth="1" min="7" max="7"/>
    <col width="26" customWidth="1" min="8" max="8"/>
    <col width="32" customWidth="1" min="9" max="9"/>
    <col width="12" customWidth="1" min="10" max="10"/>
    <col width="12" customWidth="1" min="11" max="11"/>
    <col width="3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2" customWidth="1" min="17" max="17"/>
  </cols>
  <sheetData>
    <row r="1" ht="36" customHeight="1">
      <c r="A1" s="10" t="inlineStr">
        <is>
          <t>ID</t>
        </is>
      </c>
      <c r="B1" s="10" t="inlineStr">
        <is>
          <t>ID item</t>
        </is>
      </c>
      <c r="C1" s="10" t="inlineStr">
        <is>
          <t>Campo / item analisado</t>
        </is>
      </c>
      <c r="D1" s="10" t="inlineStr">
        <is>
          <t>Valor no documento (R$)</t>
        </is>
      </c>
      <c r="E1" s="10" t="inlineStr">
        <is>
          <t>Valor na fonte (R$)</t>
        </is>
      </c>
      <c r="F1" s="10" t="inlineStr">
        <is>
          <t>Diferença (R$)</t>
        </is>
      </c>
      <c r="G1" s="10" t="inlineStr">
        <is>
          <t>Diferença (%)</t>
        </is>
      </c>
      <c r="H1" s="10" t="inlineStr">
        <is>
          <t>Fonte primária</t>
        </is>
      </c>
      <c r="I1" s="10" t="inlineStr">
        <is>
          <t>URL / referência</t>
        </is>
      </c>
      <c r="J1" s="10" t="inlineStr">
        <is>
          <t>Data da consulta</t>
        </is>
      </c>
      <c r="K1" s="10" t="inlineStr">
        <is>
          <t>Diferença de critério?</t>
        </is>
      </c>
      <c r="L1" s="10" t="inlineStr">
        <is>
          <t>Explicação possível</t>
        </is>
      </c>
      <c r="M1" s="10" t="inlineStr">
        <is>
          <t>Gravidade</t>
        </is>
      </c>
      <c r="N1" s="10" t="inlineStr">
        <is>
          <t>Analista</t>
        </is>
      </c>
      <c r="O1" s="10" t="inlineStr">
        <is>
          <t>Revisor</t>
        </is>
      </c>
      <c r="P1" s="10" t="inlineStr">
        <is>
          <t>Revisor ≠ analista?</t>
        </is>
      </c>
      <c r="Q1" s="10" t="inlineStr">
        <is>
          <t>Entra na matriz?</t>
        </is>
      </c>
    </row>
    <row r="2">
      <c r="A2" s="14" t="inlineStr">
        <is>
          <t>D-001</t>
        </is>
      </c>
      <c r="B2" s="14" t="inlineStr">
        <is>
          <t>DOC-001</t>
        </is>
      </c>
      <c r="C2" s="14" t="inlineStr">
        <is>
          <t>Rendimentos tributáveis – Senado Federal (EXEMPLO – substituir)</t>
        </is>
      </c>
      <c r="D2" s="21" t="n">
        <v>100000</v>
      </c>
      <c r="E2" s="21" t="n">
        <v>100000</v>
      </c>
      <c r="F2" s="22">
        <f>IF(OR(D2="",E2=""),"",D2-E2)</f>
        <v/>
      </c>
      <c r="G2" s="23">
        <f>IF(OR(D2="",E2="",E2=0),"",(D2-E2)/E2)</f>
        <v/>
      </c>
      <c r="H2" s="14" t="inlineStr">
        <is>
          <t>Portal da Transparência do Senado</t>
        </is>
      </c>
      <c r="I2" s="14" t="inlineStr">
        <is>
          <t>https://...</t>
        </is>
      </c>
      <c r="J2" s="17" t="n">
        <v>46318</v>
      </c>
      <c r="K2" s="14" t="inlineStr">
        <is>
          <t>Não</t>
        </is>
      </c>
      <c r="L2" s="14" t="inlineStr">
        <is>
          <t>Sem diferença</t>
        </is>
      </c>
      <c r="M2" s="14" t="inlineStr">
        <is>
          <t>Baixa</t>
        </is>
      </c>
      <c r="N2" s="14" t="inlineStr">
        <is>
          <t>M04</t>
        </is>
      </c>
      <c r="O2" s="14" t="inlineStr">
        <is>
          <t>M05</t>
        </is>
      </c>
      <c r="P2" s="16">
        <f>IF(O2="","",IF(O2&lt;&gt;N2,"Sim","NÃO"))</f>
        <v/>
      </c>
      <c r="Q2" s="16">
        <f>IF(A2="","",IF(K2="Sim","Não – critério",IF(AND(ISNUMBER(F2),ABS(F2)&lt;=Parametros!$B$3),"Não – dentro da tolerância",IF(P2="Sim","Sim","Aguarda revisão"))))</f>
        <v/>
      </c>
    </row>
    <row r="3">
      <c r="A3" s="15" t="n"/>
      <c r="B3" s="15" t="n"/>
      <c r="C3" s="15" t="n"/>
      <c r="D3" s="24" t="n"/>
      <c r="E3" s="24" t="n"/>
      <c r="F3" s="22">
        <f>IF(OR(D3="",E3=""),"",D3-E3)</f>
        <v/>
      </c>
      <c r="G3" s="23">
        <f>IF(OR(D3="",E3="",E3=0),"",(D3-E3)/E3)</f>
        <v/>
      </c>
      <c r="H3" s="15" t="n"/>
      <c r="I3" s="15" t="n"/>
      <c r="J3" s="18" t="n"/>
      <c r="K3" s="15" t="n"/>
      <c r="L3" s="15" t="n"/>
      <c r="M3" s="15" t="n"/>
      <c r="N3" s="15" t="n"/>
      <c r="O3" s="15" t="n"/>
      <c r="P3" s="16">
        <f>IF(O3="","",IF(O3&lt;&gt;N3,"Sim","NÃO"))</f>
        <v/>
      </c>
      <c r="Q3" s="16">
        <f>IF(A3="","",IF(K3="Sim","Não – critério",IF(AND(ISNUMBER(F3),ABS(F3)&lt;=Parametros!$B$3),"Não – dentro da tolerância",IF(P3="Sim","Sim","Aguarda revisão"))))</f>
        <v/>
      </c>
    </row>
    <row r="4">
      <c r="A4" s="15" t="n"/>
      <c r="B4" s="15" t="n"/>
      <c r="C4" s="15" t="n"/>
      <c r="D4" s="24" t="n"/>
      <c r="E4" s="24" t="n"/>
      <c r="F4" s="22">
        <f>IF(OR(D4="",E4=""),"",D4-E4)</f>
        <v/>
      </c>
      <c r="G4" s="23">
        <f>IF(OR(D4="",E4="",E4=0),"",(D4-E4)/E4)</f>
        <v/>
      </c>
      <c r="H4" s="15" t="n"/>
      <c r="I4" s="15" t="n"/>
      <c r="J4" s="18" t="n"/>
      <c r="K4" s="15" t="n"/>
      <c r="L4" s="15" t="n"/>
      <c r="M4" s="15" t="n"/>
      <c r="N4" s="15" t="n"/>
      <c r="O4" s="15" t="n"/>
      <c r="P4" s="16">
        <f>IF(O4="","",IF(O4&lt;&gt;N4,"Sim","NÃO"))</f>
        <v/>
      </c>
      <c r="Q4" s="16">
        <f>IF(A4="","",IF(K4="Sim","Não – critério",IF(AND(ISNUMBER(F4),ABS(F4)&lt;=Parametros!$B$3),"Não – dentro da tolerância",IF(P4="Sim","Sim","Aguarda revisão"))))</f>
        <v/>
      </c>
    </row>
    <row r="5">
      <c r="A5" s="15" t="n"/>
      <c r="B5" s="15" t="n"/>
      <c r="C5" s="15" t="n"/>
      <c r="D5" s="24" t="n"/>
      <c r="E5" s="24" t="n"/>
      <c r="F5" s="22">
        <f>IF(OR(D5="",E5=""),"",D5-E5)</f>
        <v/>
      </c>
      <c r="G5" s="23">
        <f>IF(OR(D5="",E5="",E5=0),"",(D5-E5)/E5)</f>
        <v/>
      </c>
      <c r="H5" s="15" t="n"/>
      <c r="I5" s="15" t="n"/>
      <c r="J5" s="18" t="n"/>
      <c r="K5" s="15" t="n"/>
      <c r="L5" s="15" t="n"/>
      <c r="M5" s="15" t="n"/>
      <c r="N5" s="15" t="n"/>
      <c r="O5" s="15" t="n"/>
      <c r="P5" s="16">
        <f>IF(O5="","",IF(O5&lt;&gt;N5,"Sim","NÃO"))</f>
        <v/>
      </c>
      <c r="Q5" s="16">
        <f>IF(A5="","",IF(K5="Sim","Não – critério",IF(AND(ISNUMBER(F5),ABS(F5)&lt;=Parametros!$B$3),"Não – dentro da tolerância",IF(P5="Sim","Sim","Aguarda revisão"))))</f>
        <v/>
      </c>
    </row>
    <row r="6">
      <c r="A6" s="15" t="n"/>
      <c r="B6" s="15" t="n"/>
      <c r="C6" s="15" t="n"/>
      <c r="D6" s="24" t="n"/>
      <c r="E6" s="24" t="n"/>
      <c r="F6" s="22">
        <f>IF(OR(D6="",E6=""),"",D6-E6)</f>
        <v/>
      </c>
      <c r="G6" s="23">
        <f>IF(OR(D6="",E6="",E6=0),"",(D6-E6)/E6)</f>
        <v/>
      </c>
      <c r="H6" s="15" t="n"/>
      <c r="I6" s="15" t="n"/>
      <c r="J6" s="18" t="n"/>
      <c r="K6" s="15" t="n"/>
      <c r="L6" s="15" t="n"/>
      <c r="M6" s="15" t="n"/>
      <c r="N6" s="15" t="n"/>
      <c r="O6" s="15" t="n"/>
      <c r="P6" s="16">
        <f>IF(O6="","",IF(O6&lt;&gt;N6,"Sim","NÃO"))</f>
        <v/>
      </c>
      <c r="Q6" s="16">
        <f>IF(A6="","",IF(K6="Sim","Não – critério",IF(AND(ISNUMBER(F6),ABS(F6)&lt;=Parametros!$B$3),"Não – dentro da tolerância",IF(P6="Sim","Sim","Aguarda revisão"))))</f>
        <v/>
      </c>
    </row>
    <row r="7">
      <c r="A7" s="15" t="n"/>
      <c r="B7" s="15" t="n"/>
      <c r="C7" s="15" t="n"/>
      <c r="D7" s="24" t="n"/>
      <c r="E7" s="24" t="n"/>
      <c r="F7" s="22">
        <f>IF(OR(D7="",E7=""),"",D7-E7)</f>
        <v/>
      </c>
      <c r="G7" s="23">
        <f>IF(OR(D7="",E7="",E7=0),"",(D7-E7)/E7)</f>
        <v/>
      </c>
      <c r="H7" s="15" t="n"/>
      <c r="I7" s="15" t="n"/>
      <c r="J7" s="18" t="n"/>
      <c r="K7" s="15" t="n"/>
      <c r="L7" s="15" t="n"/>
      <c r="M7" s="15" t="n"/>
      <c r="N7" s="15" t="n"/>
      <c r="O7" s="15" t="n"/>
      <c r="P7" s="16">
        <f>IF(O7="","",IF(O7&lt;&gt;N7,"Sim","NÃO"))</f>
        <v/>
      </c>
      <c r="Q7" s="16">
        <f>IF(A7="","",IF(K7="Sim","Não – critério",IF(AND(ISNUMBER(F7),ABS(F7)&lt;=Parametros!$B$3),"Não – dentro da tolerância",IF(P7="Sim","Sim","Aguarda revisão"))))</f>
        <v/>
      </c>
    </row>
    <row r="8">
      <c r="A8" s="15" t="n"/>
      <c r="B8" s="15" t="n"/>
      <c r="C8" s="15" t="n"/>
      <c r="D8" s="24" t="n"/>
      <c r="E8" s="24" t="n"/>
      <c r="F8" s="22">
        <f>IF(OR(D8="",E8=""),"",D8-E8)</f>
        <v/>
      </c>
      <c r="G8" s="23">
        <f>IF(OR(D8="",E8="",E8=0),"",(D8-E8)/E8)</f>
        <v/>
      </c>
      <c r="H8" s="15" t="n"/>
      <c r="I8" s="15" t="n"/>
      <c r="J8" s="18" t="n"/>
      <c r="K8" s="15" t="n"/>
      <c r="L8" s="15" t="n"/>
      <c r="M8" s="15" t="n"/>
      <c r="N8" s="15" t="n"/>
      <c r="O8" s="15" t="n"/>
      <c r="P8" s="16">
        <f>IF(O8="","",IF(O8&lt;&gt;N8,"Sim","NÃO"))</f>
        <v/>
      </c>
      <c r="Q8" s="16">
        <f>IF(A8="","",IF(K8="Sim","Não – critério",IF(AND(ISNUMBER(F8),ABS(F8)&lt;=Parametros!$B$3),"Não – dentro da tolerância",IF(P8="Sim","Sim","Aguarda revisão"))))</f>
        <v/>
      </c>
    </row>
    <row r="9">
      <c r="A9" s="15" t="n"/>
      <c r="B9" s="15" t="n"/>
      <c r="C9" s="15" t="n"/>
      <c r="D9" s="24" t="n"/>
      <c r="E9" s="24" t="n"/>
      <c r="F9" s="22">
        <f>IF(OR(D9="",E9=""),"",D9-E9)</f>
        <v/>
      </c>
      <c r="G9" s="23">
        <f>IF(OR(D9="",E9="",E9=0),"",(D9-E9)/E9)</f>
        <v/>
      </c>
      <c r="H9" s="15" t="n"/>
      <c r="I9" s="15" t="n"/>
      <c r="J9" s="18" t="n"/>
      <c r="K9" s="15" t="n"/>
      <c r="L9" s="15" t="n"/>
      <c r="M9" s="15" t="n"/>
      <c r="N9" s="15" t="n"/>
      <c r="O9" s="15" t="n"/>
      <c r="P9" s="16">
        <f>IF(O9="","",IF(O9&lt;&gt;N9,"Sim","NÃO"))</f>
        <v/>
      </c>
      <c r="Q9" s="16">
        <f>IF(A9="","",IF(K9="Sim","Não – critério",IF(AND(ISNUMBER(F9),ABS(F9)&lt;=Parametros!$B$3),"Não – dentro da tolerância",IF(P9="Sim","Sim","Aguarda revisão"))))</f>
        <v/>
      </c>
    </row>
    <row r="10">
      <c r="A10" s="15" t="n"/>
      <c r="B10" s="15" t="n"/>
      <c r="C10" s="15" t="n"/>
      <c r="D10" s="24" t="n"/>
      <c r="E10" s="24" t="n"/>
      <c r="F10" s="22">
        <f>IF(OR(D10="",E10=""),"",D10-E10)</f>
        <v/>
      </c>
      <c r="G10" s="23">
        <f>IF(OR(D10="",E10="",E10=0),"",(D10-E10)/E10)</f>
        <v/>
      </c>
      <c r="H10" s="15" t="n"/>
      <c r="I10" s="15" t="n"/>
      <c r="J10" s="18" t="n"/>
      <c r="K10" s="15" t="n"/>
      <c r="L10" s="15" t="n"/>
      <c r="M10" s="15" t="n"/>
      <c r="N10" s="15" t="n"/>
      <c r="O10" s="15" t="n"/>
      <c r="P10" s="16">
        <f>IF(O10="","",IF(O10&lt;&gt;N10,"Sim","NÃO"))</f>
        <v/>
      </c>
      <c r="Q10" s="16">
        <f>IF(A10="","",IF(K10="Sim","Não – critério",IF(AND(ISNUMBER(F10),ABS(F10)&lt;=Parametros!$B$3),"Não – dentro da tolerância",IF(P10="Sim","Sim","Aguarda revisão"))))</f>
        <v/>
      </c>
    </row>
    <row r="11">
      <c r="A11" s="15" t="n"/>
      <c r="B11" s="15" t="n"/>
      <c r="C11" s="15" t="n"/>
      <c r="D11" s="24" t="n"/>
      <c r="E11" s="24" t="n"/>
      <c r="F11" s="22">
        <f>IF(OR(D11="",E11=""),"",D11-E11)</f>
        <v/>
      </c>
      <c r="G11" s="23">
        <f>IF(OR(D11="",E11="",E11=0),"",(D11-E11)/E11)</f>
        <v/>
      </c>
      <c r="H11" s="15" t="n"/>
      <c r="I11" s="15" t="n"/>
      <c r="J11" s="18" t="n"/>
      <c r="K11" s="15" t="n"/>
      <c r="L11" s="15" t="n"/>
      <c r="M11" s="15" t="n"/>
      <c r="N11" s="15" t="n"/>
      <c r="O11" s="15" t="n"/>
      <c r="P11" s="16">
        <f>IF(O11="","",IF(O11&lt;&gt;N11,"Sim","NÃO"))</f>
        <v/>
      </c>
      <c r="Q11" s="16">
        <f>IF(A11="","",IF(K11="Sim","Não – critério",IF(AND(ISNUMBER(F11),ABS(F11)&lt;=Parametros!$B$3),"Não – dentro da tolerância",IF(P11="Sim","Sim","Aguarda revisão"))))</f>
        <v/>
      </c>
    </row>
    <row r="12">
      <c r="A12" s="15" t="n"/>
      <c r="B12" s="15" t="n"/>
      <c r="C12" s="15" t="n"/>
      <c r="D12" s="24" t="n"/>
      <c r="E12" s="24" t="n"/>
      <c r="F12" s="22">
        <f>IF(OR(D12="",E12=""),"",D12-E12)</f>
        <v/>
      </c>
      <c r="G12" s="23">
        <f>IF(OR(D12="",E12="",E12=0),"",(D12-E12)/E12)</f>
        <v/>
      </c>
      <c r="H12" s="15" t="n"/>
      <c r="I12" s="15" t="n"/>
      <c r="J12" s="18" t="n"/>
      <c r="K12" s="15" t="n"/>
      <c r="L12" s="15" t="n"/>
      <c r="M12" s="15" t="n"/>
      <c r="N12" s="15" t="n"/>
      <c r="O12" s="15" t="n"/>
      <c r="P12" s="16">
        <f>IF(O12="","",IF(O12&lt;&gt;N12,"Sim","NÃO"))</f>
        <v/>
      </c>
      <c r="Q12" s="16">
        <f>IF(A12="","",IF(K12="Sim","Não – critério",IF(AND(ISNUMBER(F12),ABS(F12)&lt;=Parametros!$B$3),"Não – dentro da tolerância",IF(P12="Sim","Sim","Aguarda revisão"))))</f>
        <v/>
      </c>
    </row>
    <row r="13">
      <c r="A13" s="15" t="n"/>
      <c r="B13" s="15" t="n"/>
      <c r="C13" s="15" t="n"/>
      <c r="D13" s="24" t="n"/>
      <c r="E13" s="24" t="n"/>
      <c r="F13" s="22">
        <f>IF(OR(D13="",E13=""),"",D13-E13)</f>
        <v/>
      </c>
      <c r="G13" s="23">
        <f>IF(OR(D13="",E13="",E13=0),"",(D13-E13)/E13)</f>
        <v/>
      </c>
      <c r="H13" s="15" t="n"/>
      <c r="I13" s="15" t="n"/>
      <c r="J13" s="18" t="n"/>
      <c r="K13" s="15" t="n"/>
      <c r="L13" s="15" t="n"/>
      <c r="M13" s="15" t="n"/>
      <c r="N13" s="15" t="n"/>
      <c r="O13" s="15" t="n"/>
      <c r="P13" s="16">
        <f>IF(O13="","",IF(O13&lt;&gt;N13,"Sim","NÃO"))</f>
        <v/>
      </c>
      <c r="Q13" s="16">
        <f>IF(A13="","",IF(K13="Sim","Não – critério",IF(AND(ISNUMBER(F13),ABS(F13)&lt;=Parametros!$B$3),"Não – dentro da tolerância",IF(P13="Sim","Sim","Aguarda revisão"))))</f>
        <v/>
      </c>
    </row>
    <row r="14">
      <c r="A14" s="15" t="n"/>
      <c r="B14" s="15" t="n"/>
      <c r="C14" s="15" t="n"/>
      <c r="D14" s="24" t="n"/>
      <c r="E14" s="24" t="n"/>
      <c r="F14" s="22">
        <f>IF(OR(D14="",E14=""),"",D14-E14)</f>
        <v/>
      </c>
      <c r="G14" s="23">
        <f>IF(OR(D14="",E14="",E14=0),"",(D14-E14)/E14)</f>
        <v/>
      </c>
      <c r="H14" s="15" t="n"/>
      <c r="I14" s="15" t="n"/>
      <c r="J14" s="18" t="n"/>
      <c r="K14" s="15" t="n"/>
      <c r="L14" s="15" t="n"/>
      <c r="M14" s="15" t="n"/>
      <c r="N14" s="15" t="n"/>
      <c r="O14" s="15" t="n"/>
      <c r="P14" s="16">
        <f>IF(O14="","",IF(O14&lt;&gt;N14,"Sim","NÃO"))</f>
        <v/>
      </c>
      <c r="Q14" s="16">
        <f>IF(A14="","",IF(K14="Sim","Não – critério",IF(AND(ISNUMBER(F14),ABS(F14)&lt;=Parametros!$B$3),"Não – dentro da tolerância",IF(P14="Sim","Sim","Aguarda revisão"))))</f>
        <v/>
      </c>
    </row>
    <row r="15">
      <c r="A15" s="15" t="n"/>
      <c r="B15" s="15" t="n"/>
      <c r="C15" s="15" t="n"/>
      <c r="D15" s="24" t="n"/>
      <c r="E15" s="24" t="n"/>
      <c r="F15" s="22">
        <f>IF(OR(D15="",E15=""),"",D15-E15)</f>
        <v/>
      </c>
      <c r="G15" s="23">
        <f>IF(OR(D15="",E15="",E15=0),"",(D15-E15)/E15)</f>
        <v/>
      </c>
      <c r="H15" s="15" t="n"/>
      <c r="I15" s="15" t="n"/>
      <c r="J15" s="18" t="n"/>
      <c r="K15" s="15" t="n"/>
      <c r="L15" s="15" t="n"/>
      <c r="M15" s="15" t="n"/>
      <c r="N15" s="15" t="n"/>
      <c r="O15" s="15" t="n"/>
      <c r="P15" s="16">
        <f>IF(O15="","",IF(O15&lt;&gt;N15,"Sim","NÃO"))</f>
        <v/>
      </c>
      <c r="Q15" s="16">
        <f>IF(A15="","",IF(K15="Sim","Não – critério",IF(AND(ISNUMBER(F15),ABS(F15)&lt;=Parametros!$B$3),"Não – dentro da tolerância",IF(P15="Sim","Sim","Aguarda revisão"))))</f>
        <v/>
      </c>
    </row>
    <row r="16">
      <c r="A16" s="15" t="n"/>
      <c r="B16" s="15" t="n"/>
      <c r="C16" s="15" t="n"/>
      <c r="D16" s="24" t="n"/>
      <c r="E16" s="24" t="n"/>
      <c r="F16" s="22">
        <f>IF(OR(D16="",E16=""),"",D16-E16)</f>
        <v/>
      </c>
      <c r="G16" s="23">
        <f>IF(OR(D16="",E16="",E16=0),"",(D16-E16)/E16)</f>
        <v/>
      </c>
      <c r="H16" s="15" t="n"/>
      <c r="I16" s="15" t="n"/>
      <c r="J16" s="18" t="n"/>
      <c r="K16" s="15" t="n"/>
      <c r="L16" s="15" t="n"/>
      <c r="M16" s="15" t="n"/>
      <c r="N16" s="15" t="n"/>
      <c r="O16" s="15" t="n"/>
      <c r="P16" s="16">
        <f>IF(O16="","",IF(O16&lt;&gt;N16,"Sim","NÃO"))</f>
        <v/>
      </c>
      <c r="Q16" s="16">
        <f>IF(A16="","",IF(K16="Sim","Não – critério",IF(AND(ISNUMBER(F16),ABS(F16)&lt;=Parametros!$B$3),"Não – dentro da tolerância",IF(P16="Sim","Sim","Aguarda revisão"))))</f>
        <v/>
      </c>
    </row>
    <row r="17">
      <c r="A17" s="15" t="n"/>
      <c r="B17" s="15" t="n"/>
      <c r="C17" s="15" t="n"/>
      <c r="D17" s="24" t="n"/>
      <c r="E17" s="24" t="n"/>
      <c r="F17" s="22">
        <f>IF(OR(D17="",E17=""),"",D17-E17)</f>
        <v/>
      </c>
      <c r="G17" s="23">
        <f>IF(OR(D17="",E17="",E17=0),"",(D17-E17)/E17)</f>
        <v/>
      </c>
      <c r="H17" s="15" t="n"/>
      <c r="I17" s="15" t="n"/>
      <c r="J17" s="18" t="n"/>
      <c r="K17" s="15" t="n"/>
      <c r="L17" s="15" t="n"/>
      <c r="M17" s="15" t="n"/>
      <c r="N17" s="15" t="n"/>
      <c r="O17" s="15" t="n"/>
      <c r="P17" s="16">
        <f>IF(O17="","",IF(O17&lt;&gt;N17,"Sim","NÃO"))</f>
        <v/>
      </c>
      <c r="Q17" s="16">
        <f>IF(A17="","",IF(K17="Sim","Não – critério",IF(AND(ISNUMBER(F17),ABS(F17)&lt;=Parametros!$B$3),"Não – dentro da tolerância",IF(P17="Sim","Sim","Aguarda revisão"))))</f>
        <v/>
      </c>
    </row>
    <row r="18">
      <c r="A18" s="15" t="n"/>
      <c r="B18" s="15" t="n"/>
      <c r="C18" s="15" t="n"/>
      <c r="D18" s="24" t="n"/>
      <c r="E18" s="24" t="n"/>
      <c r="F18" s="22">
        <f>IF(OR(D18="",E18=""),"",D18-E18)</f>
        <v/>
      </c>
      <c r="G18" s="23">
        <f>IF(OR(D18="",E18="",E18=0),"",(D18-E18)/E18)</f>
        <v/>
      </c>
      <c r="H18" s="15" t="n"/>
      <c r="I18" s="15" t="n"/>
      <c r="J18" s="18" t="n"/>
      <c r="K18" s="15" t="n"/>
      <c r="L18" s="15" t="n"/>
      <c r="M18" s="15" t="n"/>
      <c r="N18" s="15" t="n"/>
      <c r="O18" s="15" t="n"/>
      <c r="P18" s="16">
        <f>IF(O18="","",IF(O18&lt;&gt;N18,"Sim","NÃO"))</f>
        <v/>
      </c>
      <c r="Q18" s="16">
        <f>IF(A18="","",IF(K18="Sim","Não – critério",IF(AND(ISNUMBER(F18),ABS(F18)&lt;=Parametros!$B$3),"Não – dentro da tolerância",IF(P18="Sim","Sim","Aguarda revisão"))))</f>
        <v/>
      </c>
    </row>
    <row r="19">
      <c r="A19" s="15" t="n"/>
      <c r="B19" s="15" t="n"/>
      <c r="C19" s="15" t="n"/>
      <c r="D19" s="24" t="n"/>
      <c r="E19" s="24" t="n"/>
      <c r="F19" s="22">
        <f>IF(OR(D19="",E19=""),"",D19-E19)</f>
        <v/>
      </c>
      <c r="G19" s="23">
        <f>IF(OR(D19="",E19="",E19=0),"",(D19-E19)/E19)</f>
        <v/>
      </c>
      <c r="H19" s="15" t="n"/>
      <c r="I19" s="15" t="n"/>
      <c r="J19" s="18" t="n"/>
      <c r="K19" s="15" t="n"/>
      <c r="L19" s="15" t="n"/>
      <c r="M19" s="15" t="n"/>
      <c r="N19" s="15" t="n"/>
      <c r="O19" s="15" t="n"/>
      <c r="P19" s="16">
        <f>IF(O19="","",IF(O19&lt;&gt;N19,"Sim","NÃO"))</f>
        <v/>
      </c>
      <c r="Q19" s="16">
        <f>IF(A19="","",IF(K19="Sim","Não – critério",IF(AND(ISNUMBER(F19),ABS(F19)&lt;=Parametros!$B$3),"Não – dentro da tolerância",IF(P19="Sim","Sim","Aguarda revisão"))))</f>
        <v/>
      </c>
    </row>
    <row r="20">
      <c r="A20" s="15" t="n"/>
      <c r="B20" s="15" t="n"/>
      <c r="C20" s="15" t="n"/>
      <c r="D20" s="24" t="n"/>
      <c r="E20" s="24" t="n"/>
      <c r="F20" s="22">
        <f>IF(OR(D20="",E20=""),"",D20-E20)</f>
        <v/>
      </c>
      <c r="G20" s="23">
        <f>IF(OR(D20="",E20="",E20=0),"",(D20-E20)/E20)</f>
        <v/>
      </c>
      <c r="H20" s="15" t="n"/>
      <c r="I20" s="15" t="n"/>
      <c r="J20" s="18" t="n"/>
      <c r="K20" s="15" t="n"/>
      <c r="L20" s="15" t="n"/>
      <c r="M20" s="15" t="n"/>
      <c r="N20" s="15" t="n"/>
      <c r="O20" s="15" t="n"/>
      <c r="P20" s="16">
        <f>IF(O20="","",IF(O20&lt;&gt;N20,"Sim","NÃO"))</f>
        <v/>
      </c>
      <c r="Q20" s="16">
        <f>IF(A20="","",IF(K20="Sim","Não – critério",IF(AND(ISNUMBER(F20),ABS(F20)&lt;=Parametros!$B$3),"Não – dentro da tolerância",IF(P20="Sim","Sim","Aguarda revisão"))))</f>
        <v/>
      </c>
    </row>
    <row r="21">
      <c r="A21" s="15" t="n"/>
      <c r="B21" s="15" t="n"/>
      <c r="C21" s="15" t="n"/>
      <c r="D21" s="24" t="n"/>
      <c r="E21" s="24" t="n"/>
      <c r="F21" s="22">
        <f>IF(OR(D21="",E21=""),"",D21-E21)</f>
        <v/>
      </c>
      <c r="G21" s="23">
        <f>IF(OR(D21="",E21="",E21=0),"",(D21-E21)/E21)</f>
        <v/>
      </c>
      <c r="H21" s="15" t="n"/>
      <c r="I21" s="15" t="n"/>
      <c r="J21" s="18" t="n"/>
      <c r="K21" s="15" t="n"/>
      <c r="L21" s="15" t="n"/>
      <c r="M21" s="15" t="n"/>
      <c r="N21" s="15" t="n"/>
      <c r="O21" s="15" t="n"/>
      <c r="P21" s="16">
        <f>IF(O21="","",IF(O21&lt;&gt;N21,"Sim","NÃO"))</f>
        <v/>
      </c>
      <c r="Q21" s="16">
        <f>IF(A21="","",IF(K21="Sim","Não – critério",IF(AND(ISNUMBER(F21),ABS(F21)&lt;=Parametros!$B$3),"Não – dentro da tolerância",IF(P21="Sim","Sim","Aguarda revisão"))))</f>
        <v/>
      </c>
    </row>
    <row r="22">
      <c r="A22" s="15" t="n"/>
      <c r="B22" s="15" t="n"/>
      <c r="C22" s="15" t="n"/>
      <c r="D22" s="24" t="n"/>
      <c r="E22" s="24" t="n"/>
      <c r="F22" s="22">
        <f>IF(OR(D22="",E22=""),"",D22-E22)</f>
        <v/>
      </c>
      <c r="G22" s="23">
        <f>IF(OR(D22="",E22="",E22=0),"",(D22-E22)/E22)</f>
        <v/>
      </c>
      <c r="H22" s="15" t="n"/>
      <c r="I22" s="15" t="n"/>
      <c r="J22" s="18" t="n"/>
      <c r="K22" s="15" t="n"/>
      <c r="L22" s="15" t="n"/>
      <c r="M22" s="15" t="n"/>
      <c r="N22" s="15" t="n"/>
      <c r="O22" s="15" t="n"/>
      <c r="P22" s="16">
        <f>IF(O22="","",IF(O22&lt;&gt;N22,"Sim","NÃO"))</f>
        <v/>
      </c>
      <c r="Q22" s="16">
        <f>IF(A22="","",IF(K22="Sim","Não – critério",IF(AND(ISNUMBER(F22),ABS(F22)&lt;=Parametros!$B$3),"Não – dentro da tolerância",IF(P22="Sim","Sim","Aguarda revisão"))))</f>
        <v/>
      </c>
    </row>
    <row r="23">
      <c r="A23" s="15" t="n"/>
      <c r="B23" s="15" t="n"/>
      <c r="C23" s="15" t="n"/>
      <c r="D23" s="24" t="n"/>
      <c r="E23" s="24" t="n"/>
      <c r="F23" s="22">
        <f>IF(OR(D23="",E23=""),"",D23-E23)</f>
        <v/>
      </c>
      <c r="G23" s="23">
        <f>IF(OR(D23="",E23="",E23=0),"",(D23-E23)/E23)</f>
        <v/>
      </c>
      <c r="H23" s="15" t="n"/>
      <c r="I23" s="15" t="n"/>
      <c r="J23" s="18" t="n"/>
      <c r="K23" s="15" t="n"/>
      <c r="L23" s="15" t="n"/>
      <c r="M23" s="15" t="n"/>
      <c r="N23" s="15" t="n"/>
      <c r="O23" s="15" t="n"/>
      <c r="P23" s="16">
        <f>IF(O23="","",IF(O23&lt;&gt;N23,"Sim","NÃO"))</f>
        <v/>
      </c>
      <c r="Q23" s="16">
        <f>IF(A23="","",IF(K23="Sim","Não – critério",IF(AND(ISNUMBER(F23),ABS(F23)&lt;=Parametros!$B$3),"Não – dentro da tolerância",IF(P23="Sim","Sim","Aguarda revisão"))))</f>
        <v/>
      </c>
    </row>
    <row r="24">
      <c r="A24" s="15" t="n"/>
      <c r="B24" s="15" t="n"/>
      <c r="C24" s="15" t="n"/>
      <c r="D24" s="24" t="n"/>
      <c r="E24" s="24" t="n"/>
      <c r="F24" s="22">
        <f>IF(OR(D24="",E24=""),"",D24-E24)</f>
        <v/>
      </c>
      <c r="G24" s="23">
        <f>IF(OR(D24="",E24="",E24=0),"",(D24-E24)/E24)</f>
        <v/>
      </c>
      <c r="H24" s="15" t="n"/>
      <c r="I24" s="15" t="n"/>
      <c r="J24" s="18" t="n"/>
      <c r="K24" s="15" t="n"/>
      <c r="L24" s="15" t="n"/>
      <c r="M24" s="15" t="n"/>
      <c r="N24" s="15" t="n"/>
      <c r="O24" s="15" t="n"/>
      <c r="P24" s="16">
        <f>IF(O24="","",IF(O24&lt;&gt;N24,"Sim","NÃO"))</f>
        <v/>
      </c>
      <c r="Q24" s="16">
        <f>IF(A24="","",IF(K24="Sim","Não – critério",IF(AND(ISNUMBER(F24),ABS(F24)&lt;=Parametros!$B$3),"Não – dentro da tolerância",IF(P24="Sim","Sim","Aguarda revisão"))))</f>
        <v/>
      </c>
    </row>
    <row r="25">
      <c r="A25" s="15" t="n"/>
      <c r="B25" s="15" t="n"/>
      <c r="C25" s="15" t="n"/>
      <c r="D25" s="24" t="n"/>
      <c r="E25" s="24" t="n"/>
      <c r="F25" s="22">
        <f>IF(OR(D25="",E25=""),"",D25-E25)</f>
        <v/>
      </c>
      <c r="G25" s="23">
        <f>IF(OR(D25="",E25="",E25=0),"",(D25-E25)/E25)</f>
        <v/>
      </c>
      <c r="H25" s="15" t="n"/>
      <c r="I25" s="15" t="n"/>
      <c r="J25" s="18" t="n"/>
      <c r="K25" s="15" t="n"/>
      <c r="L25" s="15" t="n"/>
      <c r="M25" s="15" t="n"/>
      <c r="N25" s="15" t="n"/>
      <c r="O25" s="15" t="n"/>
      <c r="P25" s="16">
        <f>IF(O25="","",IF(O25&lt;&gt;N25,"Sim","NÃO"))</f>
        <v/>
      </c>
      <c r="Q25" s="16">
        <f>IF(A25="","",IF(K25="Sim","Não – critério",IF(AND(ISNUMBER(F25),ABS(F25)&lt;=Parametros!$B$3),"Não – dentro da tolerância",IF(P25="Sim","Sim","Aguarda revisão"))))</f>
        <v/>
      </c>
    </row>
    <row r="26">
      <c r="A26" s="15" t="n"/>
      <c r="B26" s="15" t="n"/>
      <c r="C26" s="15" t="n"/>
      <c r="D26" s="24" t="n"/>
      <c r="E26" s="24" t="n"/>
      <c r="F26" s="22">
        <f>IF(OR(D26="",E26=""),"",D26-E26)</f>
        <v/>
      </c>
      <c r="G26" s="23">
        <f>IF(OR(D26="",E26="",E26=0),"",(D26-E26)/E26)</f>
        <v/>
      </c>
      <c r="H26" s="15" t="n"/>
      <c r="I26" s="15" t="n"/>
      <c r="J26" s="18" t="n"/>
      <c r="K26" s="15" t="n"/>
      <c r="L26" s="15" t="n"/>
      <c r="M26" s="15" t="n"/>
      <c r="N26" s="15" t="n"/>
      <c r="O26" s="15" t="n"/>
      <c r="P26" s="16">
        <f>IF(O26="","",IF(O26&lt;&gt;N26,"Sim","NÃO"))</f>
        <v/>
      </c>
      <c r="Q26" s="16">
        <f>IF(A26="","",IF(K26="Sim","Não – critério",IF(AND(ISNUMBER(F26),ABS(F26)&lt;=Parametros!$B$3),"Não – dentro da tolerância",IF(P26="Sim","Sim","Aguarda revisão"))))</f>
        <v/>
      </c>
    </row>
    <row r="27">
      <c r="A27" s="15" t="n"/>
      <c r="B27" s="15" t="n"/>
      <c r="C27" s="15" t="n"/>
      <c r="D27" s="24" t="n"/>
      <c r="E27" s="24" t="n"/>
      <c r="F27" s="22">
        <f>IF(OR(D27="",E27=""),"",D27-E27)</f>
        <v/>
      </c>
      <c r="G27" s="23">
        <f>IF(OR(D27="",E27="",E27=0),"",(D27-E27)/E27)</f>
        <v/>
      </c>
      <c r="H27" s="15" t="n"/>
      <c r="I27" s="15" t="n"/>
      <c r="J27" s="18" t="n"/>
      <c r="K27" s="15" t="n"/>
      <c r="L27" s="15" t="n"/>
      <c r="M27" s="15" t="n"/>
      <c r="N27" s="15" t="n"/>
      <c r="O27" s="15" t="n"/>
      <c r="P27" s="16">
        <f>IF(O27="","",IF(O27&lt;&gt;N27,"Sim","NÃO"))</f>
        <v/>
      </c>
      <c r="Q27" s="16">
        <f>IF(A27="","",IF(K27="Sim","Não – critério",IF(AND(ISNUMBER(F27),ABS(F27)&lt;=Parametros!$B$3),"Não – dentro da tolerância",IF(P27="Sim","Sim","Aguarda revisão"))))</f>
        <v/>
      </c>
    </row>
    <row r="28">
      <c r="A28" s="15" t="n"/>
      <c r="B28" s="15" t="n"/>
      <c r="C28" s="15" t="n"/>
      <c r="D28" s="24" t="n"/>
      <c r="E28" s="24" t="n"/>
      <c r="F28" s="22">
        <f>IF(OR(D28="",E28=""),"",D28-E28)</f>
        <v/>
      </c>
      <c r="G28" s="23">
        <f>IF(OR(D28="",E28="",E28=0),"",(D28-E28)/E28)</f>
        <v/>
      </c>
      <c r="H28" s="15" t="n"/>
      <c r="I28" s="15" t="n"/>
      <c r="J28" s="18" t="n"/>
      <c r="K28" s="15" t="n"/>
      <c r="L28" s="15" t="n"/>
      <c r="M28" s="15" t="n"/>
      <c r="N28" s="15" t="n"/>
      <c r="O28" s="15" t="n"/>
      <c r="P28" s="16">
        <f>IF(O28="","",IF(O28&lt;&gt;N28,"Sim","NÃO"))</f>
        <v/>
      </c>
      <c r="Q28" s="16">
        <f>IF(A28="","",IF(K28="Sim","Não – critério",IF(AND(ISNUMBER(F28),ABS(F28)&lt;=Parametros!$B$3),"Não – dentro da tolerância",IF(P28="Sim","Sim","Aguarda revisão"))))</f>
        <v/>
      </c>
    </row>
    <row r="29">
      <c r="A29" s="15" t="n"/>
      <c r="B29" s="15" t="n"/>
      <c r="C29" s="15" t="n"/>
      <c r="D29" s="24" t="n"/>
      <c r="E29" s="24" t="n"/>
      <c r="F29" s="22">
        <f>IF(OR(D29="",E29=""),"",D29-E29)</f>
        <v/>
      </c>
      <c r="G29" s="23">
        <f>IF(OR(D29="",E29="",E29=0),"",(D29-E29)/E29)</f>
        <v/>
      </c>
      <c r="H29" s="15" t="n"/>
      <c r="I29" s="15" t="n"/>
      <c r="J29" s="18" t="n"/>
      <c r="K29" s="15" t="n"/>
      <c r="L29" s="15" t="n"/>
      <c r="M29" s="15" t="n"/>
      <c r="N29" s="15" t="n"/>
      <c r="O29" s="15" t="n"/>
      <c r="P29" s="16">
        <f>IF(O29="","",IF(O29&lt;&gt;N29,"Sim","NÃO"))</f>
        <v/>
      </c>
      <c r="Q29" s="16">
        <f>IF(A29="","",IF(K29="Sim","Não – critério",IF(AND(ISNUMBER(F29),ABS(F29)&lt;=Parametros!$B$3),"Não – dentro da tolerância",IF(P29="Sim","Sim","Aguarda revisão"))))</f>
        <v/>
      </c>
    </row>
    <row r="30">
      <c r="A30" s="15" t="n"/>
      <c r="B30" s="15" t="n"/>
      <c r="C30" s="15" t="n"/>
      <c r="D30" s="24" t="n"/>
      <c r="E30" s="24" t="n"/>
      <c r="F30" s="22">
        <f>IF(OR(D30="",E30=""),"",D30-E30)</f>
        <v/>
      </c>
      <c r="G30" s="23">
        <f>IF(OR(D30="",E30="",E30=0),"",(D30-E30)/E30)</f>
        <v/>
      </c>
      <c r="H30" s="15" t="n"/>
      <c r="I30" s="15" t="n"/>
      <c r="J30" s="18" t="n"/>
      <c r="K30" s="15" t="n"/>
      <c r="L30" s="15" t="n"/>
      <c r="M30" s="15" t="n"/>
      <c r="N30" s="15" t="n"/>
      <c r="O30" s="15" t="n"/>
      <c r="P30" s="16">
        <f>IF(O30="","",IF(O30&lt;&gt;N30,"Sim","NÃO"))</f>
        <v/>
      </c>
      <c r="Q30" s="16">
        <f>IF(A30="","",IF(K30="Sim","Não – critério",IF(AND(ISNUMBER(F30),ABS(F30)&lt;=Parametros!$B$3),"Não – dentro da tolerância",IF(P30="Sim","Sim","Aguarda revisão"))))</f>
        <v/>
      </c>
    </row>
    <row r="31">
      <c r="A31" s="15" t="n"/>
      <c r="B31" s="15" t="n"/>
      <c r="C31" s="15" t="n"/>
      <c r="D31" s="24" t="n"/>
      <c r="E31" s="24" t="n"/>
      <c r="F31" s="22">
        <f>IF(OR(D31="",E31=""),"",D31-E31)</f>
        <v/>
      </c>
      <c r="G31" s="23">
        <f>IF(OR(D31="",E31="",E31=0),"",(D31-E31)/E31)</f>
        <v/>
      </c>
      <c r="H31" s="15" t="n"/>
      <c r="I31" s="15" t="n"/>
      <c r="J31" s="18" t="n"/>
      <c r="K31" s="15" t="n"/>
      <c r="L31" s="15" t="n"/>
      <c r="M31" s="15" t="n"/>
      <c r="N31" s="15" t="n"/>
      <c r="O31" s="15" t="n"/>
      <c r="P31" s="16">
        <f>IF(O31="","",IF(O31&lt;&gt;N31,"Sim","NÃO"))</f>
        <v/>
      </c>
      <c r="Q31" s="16">
        <f>IF(A31="","",IF(K31="Sim","Não – critério",IF(AND(ISNUMBER(F31),ABS(F31)&lt;=Parametros!$B$3),"Não – dentro da tolerância",IF(P31="Sim","Sim","Aguarda revisão"))))</f>
        <v/>
      </c>
    </row>
    <row r="32">
      <c r="A32" s="15" t="n"/>
      <c r="B32" s="15" t="n"/>
      <c r="C32" s="15" t="n"/>
      <c r="D32" s="24" t="n"/>
      <c r="E32" s="24" t="n"/>
      <c r="F32" s="22">
        <f>IF(OR(D32="",E32=""),"",D32-E32)</f>
        <v/>
      </c>
      <c r="G32" s="23">
        <f>IF(OR(D32="",E32="",E32=0),"",(D32-E32)/E32)</f>
        <v/>
      </c>
      <c r="H32" s="15" t="n"/>
      <c r="I32" s="15" t="n"/>
      <c r="J32" s="18" t="n"/>
      <c r="K32" s="15" t="n"/>
      <c r="L32" s="15" t="n"/>
      <c r="M32" s="15" t="n"/>
      <c r="N32" s="15" t="n"/>
      <c r="O32" s="15" t="n"/>
      <c r="P32" s="16">
        <f>IF(O32="","",IF(O32&lt;&gt;N32,"Sim","NÃO"))</f>
        <v/>
      </c>
      <c r="Q32" s="16">
        <f>IF(A32="","",IF(K32="Sim","Não – critério",IF(AND(ISNUMBER(F32),ABS(F32)&lt;=Parametros!$B$3),"Não – dentro da tolerância",IF(P32="Sim","Sim","Aguarda revisão"))))</f>
        <v/>
      </c>
    </row>
    <row r="33">
      <c r="A33" s="15" t="n"/>
      <c r="B33" s="15" t="n"/>
      <c r="C33" s="15" t="n"/>
      <c r="D33" s="24" t="n"/>
      <c r="E33" s="24" t="n"/>
      <c r="F33" s="22">
        <f>IF(OR(D33="",E33=""),"",D33-E33)</f>
        <v/>
      </c>
      <c r="G33" s="23">
        <f>IF(OR(D33="",E33="",E33=0),"",(D33-E33)/E33)</f>
        <v/>
      </c>
      <c r="H33" s="15" t="n"/>
      <c r="I33" s="15" t="n"/>
      <c r="J33" s="18" t="n"/>
      <c r="K33" s="15" t="n"/>
      <c r="L33" s="15" t="n"/>
      <c r="M33" s="15" t="n"/>
      <c r="N33" s="15" t="n"/>
      <c r="O33" s="15" t="n"/>
      <c r="P33" s="16">
        <f>IF(O33="","",IF(O33&lt;&gt;N33,"Sim","NÃO"))</f>
        <v/>
      </c>
      <c r="Q33" s="16">
        <f>IF(A33="","",IF(K33="Sim","Não – critério",IF(AND(ISNUMBER(F33),ABS(F33)&lt;=Parametros!$B$3),"Não – dentro da tolerância",IF(P33="Sim","Sim","Aguarda revisão"))))</f>
        <v/>
      </c>
    </row>
    <row r="34">
      <c r="A34" s="15" t="n"/>
      <c r="B34" s="15" t="n"/>
      <c r="C34" s="15" t="n"/>
      <c r="D34" s="24" t="n"/>
      <c r="E34" s="24" t="n"/>
      <c r="F34" s="22">
        <f>IF(OR(D34="",E34=""),"",D34-E34)</f>
        <v/>
      </c>
      <c r="G34" s="23">
        <f>IF(OR(D34="",E34="",E34=0),"",(D34-E34)/E34)</f>
        <v/>
      </c>
      <c r="H34" s="15" t="n"/>
      <c r="I34" s="15" t="n"/>
      <c r="J34" s="18" t="n"/>
      <c r="K34" s="15" t="n"/>
      <c r="L34" s="15" t="n"/>
      <c r="M34" s="15" t="n"/>
      <c r="N34" s="15" t="n"/>
      <c r="O34" s="15" t="n"/>
      <c r="P34" s="16">
        <f>IF(O34="","",IF(O34&lt;&gt;N34,"Sim","NÃO"))</f>
        <v/>
      </c>
      <c r="Q34" s="16">
        <f>IF(A34="","",IF(K34="Sim","Não – critério",IF(AND(ISNUMBER(F34),ABS(F34)&lt;=Parametros!$B$3),"Não – dentro da tolerância",IF(P34="Sim","Sim","Aguarda revisão"))))</f>
        <v/>
      </c>
    </row>
    <row r="35">
      <c r="A35" s="15" t="n"/>
      <c r="B35" s="15" t="n"/>
      <c r="C35" s="15" t="n"/>
      <c r="D35" s="24" t="n"/>
      <c r="E35" s="24" t="n"/>
      <c r="F35" s="22">
        <f>IF(OR(D35="",E35=""),"",D35-E35)</f>
        <v/>
      </c>
      <c r="G35" s="23">
        <f>IF(OR(D35="",E35="",E35=0),"",(D35-E35)/E35)</f>
        <v/>
      </c>
      <c r="H35" s="15" t="n"/>
      <c r="I35" s="15" t="n"/>
      <c r="J35" s="18" t="n"/>
      <c r="K35" s="15" t="n"/>
      <c r="L35" s="15" t="n"/>
      <c r="M35" s="15" t="n"/>
      <c r="N35" s="15" t="n"/>
      <c r="O35" s="15" t="n"/>
      <c r="P35" s="16">
        <f>IF(O35="","",IF(O35&lt;&gt;N35,"Sim","NÃO"))</f>
        <v/>
      </c>
      <c r="Q35" s="16">
        <f>IF(A35="","",IF(K35="Sim","Não – critério",IF(AND(ISNUMBER(F35),ABS(F35)&lt;=Parametros!$B$3),"Não – dentro da tolerância",IF(P35="Sim","Sim","Aguarda revisão"))))</f>
        <v/>
      </c>
    </row>
    <row r="36">
      <c r="A36" s="15" t="n"/>
      <c r="B36" s="15" t="n"/>
      <c r="C36" s="15" t="n"/>
      <c r="D36" s="24" t="n"/>
      <c r="E36" s="24" t="n"/>
      <c r="F36" s="22">
        <f>IF(OR(D36="",E36=""),"",D36-E36)</f>
        <v/>
      </c>
      <c r="G36" s="23">
        <f>IF(OR(D36="",E36="",E36=0),"",(D36-E36)/E36)</f>
        <v/>
      </c>
      <c r="H36" s="15" t="n"/>
      <c r="I36" s="15" t="n"/>
      <c r="J36" s="18" t="n"/>
      <c r="K36" s="15" t="n"/>
      <c r="L36" s="15" t="n"/>
      <c r="M36" s="15" t="n"/>
      <c r="N36" s="15" t="n"/>
      <c r="O36" s="15" t="n"/>
      <c r="P36" s="16">
        <f>IF(O36="","",IF(O36&lt;&gt;N36,"Sim","NÃO"))</f>
        <v/>
      </c>
      <c r="Q36" s="16">
        <f>IF(A36="","",IF(K36="Sim","Não – critério",IF(AND(ISNUMBER(F36),ABS(F36)&lt;=Parametros!$B$3),"Não – dentro da tolerância",IF(P36="Sim","Sim","Aguarda revisão"))))</f>
        <v/>
      </c>
    </row>
    <row r="37">
      <c r="A37" s="15" t="n"/>
      <c r="B37" s="15" t="n"/>
      <c r="C37" s="15" t="n"/>
      <c r="D37" s="24" t="n"/>
      <c r="E37" s="24" t="n"/>
      <c r="F37" s="22">
        <f>IF(OR(D37="",E37=""),"",D37-E37)</f>
        <v/>
      </c>
      <c r="G37" s="23">
        <f>IF(OR(D37="",E37="",E37=0),"",(D37-E37)/E37)</f>
        <v/>
      </c>
      <c r="H37" s="15" t="n"/>
      <c r="I37" s="15" t="n"/>
      <c r="J37" s="18" t="n"/>
      <c r="K37" s="15" t="n"/>
      <c r="L37" s="15" t="n"/>
      <c r="M37" s="15" t="n"/>
      <c r="N37" s="15" t="n"/>
      <c r="O37" s="15" t="n"/>
      <c r="P37" s="16">
        <f>IF(O37="","",IF(O37&lt;&gt;N37,"Sim","NÃO"))</f>
        <v/>
      </c>
      <c r="Q37" s="16">
        <f>IF(A37="","",IF(K37="Sim","Não – critério",IF(AND(ISNUMBER(F37),ABS(F37)&lt;=Parametros!$B$3),"Não – dentro da tolerância",IF(P37="Sim","Sim","Aguarda revisão"))))</f>
        <v/>
      </c>
    </row>
    <row r="38">
      <c r="A38" s="15" t="n"/>
      <c r="B38" s="15" t="n"/>
      <c r="C38" s="15" t="n"/>
      <c r="D38" s="24" t="n"/>
      <c r="E38" s="24" t="n"/>
      <c r="F38" s="22">
        <f>IF(OR(D38="",E38=""),"",D38-E38)</f>
        <v/>
      </c>
      <c r="G38" s="23">
        <f>IF(OR(D38="",E38="",E38=0),"",(D38-E38)/E38)</f>
        <v/>
      </c>
      <c r="H38" s="15" t="n"/>
      <c r="I38" s="15" t="n"/>
      <c r="J38" s="18" t="n"/>
      <c r="K38" s="15" t="n"/>
      <c r="L38" s="15" t="n"/>
      <c r="M38" s="15" t="n"/>
      <c r="N38" s="15" t="n"/>
      <c r="O38" s="15" t="n"/>
      <c r="P38" s="16">
        <f>IF(O38="","",IF(O38&lt;&gt;N38,"Sim","NÃO"))</f>
        <v/>
      </c>
      <c r="Q38" s="16">
        <f>IF(A38="","",IF(K38="Sim","Não – critério",IF(AND(ISNUMBER(F38),ABS(F38)&lt;=Parametros!$B$3),"Não – dentro da tolerância",IF(P38="Sim","Sim","Aguarda revisão"))))</f>
        <v/>
      </c>
    </row>
    <row r="39">
      <c r="A39" s="15" t="n"/>
      <c r="B39" s="15" t="n"/>
      <c r="C39" s="15" t="n"/>
      <c r="D39" s="24" t="n"/>
      <c r="E39" s="24" t="n"/>
      <c r="F39" s="22">
        <f>IF(OR(D39="",E39=""),"",D39-E39)</f>
        <v/>
      </c>
      <c r="G39" s="23">
        <f>IF(OR(D39="",E39="",E39=0),"",(D39-E39)/E39)</f>
        <v/>
      </c>
      <c r="H39" s="15" t="n"/>
      <c r="I39" s="15" t="n"/>
      <c r="J39" s="18" t="n"/>
      <c r="K39" s="15" t="n"/>
      <c r="L39" s="15" t="n"/>
      <c r="M39" s="15" t="n"/>
      <c r="N39" s="15" t="n"/>
      <c r="O39" s="15" t="n"/>
      <c r="P39" s="16">
        <f>IF(O39="","",IF(O39&lt;&gt;N39,"Sim","NÃO"))</f>
        <v/>
      </c>
      <c r="Q39" s="16">
        <f>IF(A39="","",IF(K39="Sim","Não – critério",IF(AND(ISNUMBER(F39),ABS(F39)&lt;=Parametros!$B$3),"Não – dentro da tolerância",IF(P39="Sim","Sim","Aguarda revisão"))))</f>
        <v/>
      </c>
    </row>
    <row r="40">
      <c r="A40" s="15" t="n"/>
      <c r="B40" s="15" t="n"/>
      <c r="C40" s="15" t="n"/>
      <c r="D40" s="24" t="n"/>
      <c r="E40" s="24" t="n"/>
      <c r="F40" s="22">
        <f>IF(OR(D40="",E40=""),"",D40-E40)</f>
        <v/>
      </c>
      <c r="G40" s="23">
        <f>IF(OR(D40="",E40="",E40=0),"",(D40-E40)/E40)</f>
        <v/>
      </c>
      <c r="H40" s="15" t="n"/>
      <c r="I40" s="15" t="n"/>
      <c r="J40" s="18" t="n"/>
      <c r="K40" s="15" t="n"/>
      <c r="L40" s="15" t="n"/>
      <c r="M40" s="15" t="n"/>
      <c r="N40" s="15" t="n"/>
      <c r="O40" s="15" t="n"/>
      <c r="P40" s="16">
        <f>IF(O40="","",IF(O40&lt;&gt;N40,"Sim","NÃO"))</f>
        <v/>
      </c>
      <c r="Q40" s="16">
        <f>IF(A40="","",IF(K40="Sim","Não – critério",IF(AND(ISNUMBER(F40),ABS(F40)&lt;=Parametros!$B$3),"Não – dentro da tolerância",IF(P40="Sim","Sim","Aguarda revisão"))))</f>
        <v/>
      </c>
    </row>
    <row r="41">
      <c r="A41" s="15" t="n"/>
      <c r="B41" s="15" t="n"/>
      <c r="C41" s="15" t="n"/>
      <c r="D41" s="24" t="n"/>
      <c r="E41" s="24" t="n"/>
      <c r="F41" s="22">
        <f>IF(OR(D41="",E41=""),"",D41-E41)</f>
        <v/>
      </c>
      <c r="G41" s="23">
        <f>IF(OR(D41="",E41="",E41=0),"",(D41-E41)/E41)</f>
        <v/>
      </c>
      <c r="H41" s="15" t="n"/>
      <c r="I41" s="15" t="n"/>
      <c r="J41" s="18" t="n"/>
      <c r="K41" s="15" t="n"/>
      <c r="L41" s="15" t="n"/>
      <c r="M41" s="15" t="n"/>
      <c r="N41" s="15" t="n"/>
      <c r="O41" s="15" t="n"/>
      <c r="P41" s="16">
        <f>IF(O41="","",IF(O41&lt;&gt;N41,"Sim","NÃO"))</f>
        <v/>
      </c>
      <c r="Q41" s="16">
        <f>IF(A41="","",IF(K41="Sim","Não – critério",IF(AND(ISNUMBER(F41),ABS(F41)&lt;=Parametros!$B$3),"Não – dentro da tolerância",IF(P41="Sim","Sim","Aguarda revisão"))))</f>
        <v/>
      </c>
    </row>
    <row r="42">
      <c r="A42" s="15" t="n"/>
      <c r="B42" s="15" t="n"/>
      <c r="C42" s="15" t="n"/>
      <c r="D42" s="24" t="n"/>
      <c r="E42" s="24" t="n"/>
      <c r="F42" s="22">
        <f>IF(OR(D42="",E42=""),"",D42-E42)</f>
        <v/>
      </c>
      <c r="G42" s="23">
        <f>IF(OR(D42="",E42="",E42=0),"",(D42-E42)/E42)</f>
        <v/>
      </c>
      <c r="H42" s="15" t="n"/>
      <c r="I42" s="15" t="n"/>
      <c r="J42" s="18" t="n"/>
      <c r="K42" s="15" t="n"/>
      <c r="L42" s="15" t="n"/>
      <c r="M42" s="15" t="n"/>
      <c r="N42" s="15" t="n"/>
      <c r="O42" s="15" t="n"/>
      <c r="P42" s="16">
        <f>IF(O42="","",IF(O42&lt;&gt;N42,"Sim","NÃO"))</f>
        <v/>
      </c>
      <c r="Q42" s="16">
        <f>IF(A42="","",IF(K42="Sim","Não – critério",IF(AND(ISNUMBER(F42),ABS(F42)&lt;=Parametros!$B$3),"Não – dentro da tolerância",IF(P42="Sim","Sim","Aguarda revisão"))))</f>
        <v/>
      </c>
    </row>
    <row r="43">
      <c r="A43" s="15" t="n"/>
      <c r="B43" s="15" t="n"/>
      <c r="C43" s="15" t="n"/>
      <c r="D43" s="24" t="n"/>
      <c r="E43" s="24" t="n"/>
      <c r="F43" s="22">
        <f>IF(OR(D43="",E43=""),"",D43-E43)</f>
        <v/>
      </c>
      <c r="G43" s="23">
        <f>IF(OR(D43="",E43="",E43=0),"",(D43-E43)/E43)</f>
        <v/>
      </c>
      <c r="H43" s="15" t="n"/>
      <c r="I43" s="15" t="n"/>
      <c r="J43" s="18" t="n"/>
      <c r="K43" s="15" t="n"/>
      <c r="L43" s="15" t="n"/>
      <c r="M43" s="15" t="n"/>
      <c r="N43" s="15" t="n"/>
      <c r="O43" s="15" t="n"/>
      <c r="P43" s="16">
        <f>IF(O43="","",IF(O43&lt;&gt;N43,"Sim","NÃO"))</f>
        <v/>
      </c>
      <c r="Q43" s="16">
        <f>IF(A43="","",IF(K43="Sim","Não – critério",IF(AND(ISNUMBER(F43),ABS(F43)&lt;=Parametros!$B$3),"Não – dentro da tolerância",IF(P43="Sim","Sim","Aguarda revisão"))))</f>
        <v/>
      </c>
    </row>
    <row r="44">
      <c r="A44" s="15" t="n"/>
      <c r="B44" s="15" t="n"/>
      <c r="C44" s="15" t="n"/>
      <c r="D44" s="24" t="n"/>
      <c r="E44" s="24" t="n"/>
      <c r="F44" s="22">
        <f>IF(OR(D44="",E44=""),"",D44-E44)</f>
        <v/>
      </c>
      <c r="G44" s="23">
        <f>IF(OR(D44="",E44="",E44=0),"",(D44-E44)/E44)</f>
        <v/>
      </c>
      <c r="H44" s="15" t="n"/>
      <c r="I44" s="15" t="n"/>
      <c r="J44" s="18" t="n"/>
      <c r="K44" s="15" t="n"/>
      <c r="L44" s="15" t="n"/>
      <c r="M44" s="15" t="n"/>
      <c r="N44" s="15" t="n"/>
      <c r="O44" s="15" t="n"/>
      <c r="P44" s="16">
        <f>IF(O44="","",IF(O44&lt;&gt;N44,"Sim","NÃO"))</f>
        <v/>
      </c>
      <c r="Q44" s="16">
        <f>IF(A44="","",IF(K44="Sim","Não – critério",IF(AND(ISNUMBER(F44),ABS(F44)&lt;=Parametros!$B$3),"Não – dentro da tolerância",IF(P44="Sim","Sim","Aguarda revisão"))))</f>
        <v/>
      </c>
    </row>
    <row r="45">
      <c r="A45" s="15" t="n"/>
      <c r="B45" s="15" t="n"/>
      <c r="C45" s="15" t="n"/>
      <c r="D45" s="24" t="n"/>
      <c r="E45" s="24" t="n"/>
      <c r="F45" s="22">
        <f>IF(OR(D45="",E45=""),"",D45-E45)</f>
        <v/>
      </c>
      <c r="G45" s="23">
        <f>IF(OR(D45="",E45="",E45=0),"",(D45-E45)/E45)</f>
        <v/>
      </c>
      <c r="H45" s="15" t="n"/>
      <c r="I45" s="15" t="n"/>
      <c r="J45" s="18" t="n"/>
      <c r="K45" s="15" t="n"/>
      <c r="L45" s="15" t="n"/>
      <c r="M45" s="15" t="n"/>
      <c r="N45" s="15" t="n"/>
      <c r="O45" s="15" t="n"/>
      <c r="P45" s="16">
        <f>IF(O45="","",IF(O45&lt;&gt;N45,"Sim","NÃO"))</f>
        <v/>
      </c>
      <c r="Q45" s="16">
        <f>IF(A45="","",IF(K45="Sim","Não – critério",IF(AND(ISNUMBER(F45),ABS(F45)&lt;=Parametros!$B$3),"Não – dentro da tolerância",IF(P45="Sim","Sim","Aguarda revisão"))))</f>
        <v/>
      </c>
    </row>
    <row r="46">
      <c r="A46" s="15" t="n"/>
      <c r="B46" s="15" t="n"/>
      <c r="C46" s="15" t="n"/>
      <c r="D46" s="24" t="n"/>
      <c r="E46" s="24" t="n"/>
      <c r="F46" s="22">
        <f>IF(OR(D46="",E46=""),"",D46-E46)</f>
        <v/>
      </c>
      <c r="G46" s="23">
        <f>IF(OR(D46="",E46="",E46=0),"",(D46-E46)/E46)</f>
        <v/>
      </c>
      <c r="H46" s="15" t="n"/>
      <c r="I46" s="15" t="n"/>
      <c r="J46" s="18" t="n"/>
      <c r="K46" s="15" t="n"/>
      <c r="L46" s="15" t="n"/>
      <c r="M46" s="15" t="n"/>
      <c r="N46" s="15" t="n"/>
      <c r="O46" s="15" t="n"/>
      <c r="P46" s="16">
        <f>IF(O46="","",IF(O46&lt;&gt;N46,"Sim","NÃO"))</f>
        <v/>
      </c>
      <c r="Q46" s="16">
        <f>IF(A46="","",IF(K46="Sim","Não – critério",IF(AND(ISNUMBER(F46),ABS(F46)&lt;=Parametros!$B$3),"Não – dentro da tolerância",IF(P46="Sim","Sim","Aguarda revisão"))))</f>
        <v/>
      </c>
    </row>
    <row r="47">
      <c r="A47" s="15" t="n"/>
      <c r="B47" s="15" t="n"/>
      <c r="C47" s="15" t="n"/>
      <c r="D47" s="24" t="n"/>
      <c r="E47" s="24" t="n"/>
      <c r="F47" s="22">
        <f>IF(OR(D47="",E47=""),"",D47-E47)</f>
        <v/>
      </c>
      <c r="G47" s="23">
        <f>IF(OR(D47="",E47="",E47=0),"",(D47-E47)/E47)</f>
        <v/>
      </c>
      <c r="H47" s="15" t="n"/>
      <c r="I47" s="15" t="n"/>
      <c r="J47" s="18" t="n"/>
      <c r="K47" s="15" t="n"/>
      <c r="L47" s="15" t="n"/>
      <c r="M47" s="15" t="n"/>
      <c r="N47" s="15" t="n"/>
      <c r="O47" s="15" t="n"/>
      <c r="P47" s="16">
        <f>IF(O47="","",IF(O47&lt;&gt;N47,"Sim","NÃO"))</f>
        <v/>
      </c>
      <c r="Q47" s="16">
        <f>IF(A47="","",IF(K47="Sim","Não – critério",IF(AND(ISNUMBER(F47),ABS(F47)&lt;=Parametros!$B$3),"Não – dentro da tolerância",IF(P47="Sim","Sim","Aguarda revisão"))))</f>
        <v/>
      </c>
    </row>
    <row r="48">
      <c r="A48" s="15" t="n"/>
      <c r="B48" s="15" t="n"/>
      <c r="C48" s="15" t="n"/>
      <c r="D48" s="24" t="n"/>
      <c r="E48" s="24" t="n"/>
      <c r="F48" s="22">
        <f>IF(OR(D48="",E48=""),"",D48-E48)</f>
        <v/>
      </c>
      <c r="G48" s="23">
        <f>IF(OR(D48="",E48="",E48=0),"",(D48-E48)/E48)</f>
        <v/>
      </c>
      <c r="H48" s="15" t="n"/>
      <c r="I48" s="15" t="n"/>
      <c r="J48" s="18" t="n"/>
      <c r="K48" s="15" t="n"/>
      <c r="L48" s="15" t="n"/>
      <c r="M48" s="15" t="n"/>
      <c r="N48" s="15" t="n"/>
      <c r="O48" s="15" t="n"/>
      <c r="P48" s="16">
        <f>IF(O48="","",IF(O48&lt;&gt;N48,"Sim","NÃO"))</f>
        <v/>
      </c>
      <c r="Q48" s="16">
        <f>IF(A48="","",IF(K48="Sim","Não – critério",IF(AND(ISNUMBER(F48),ABS(F48)&lt;=Parametros!$B$3),"Não – dentro da tolerância",IF(P48="Sim","Sim","Aguarda revisão"))))</f>
        <v/>
      </c>
    </row>
    <row r="49">
      <c r="A49" s="15" t="n"/>
      <c r="B49" s="15" t="n"/>
      <c r="C49" s="15" t="n"/>
      <c r="D49" s="24" t="n"/>
      <c r="E49" s="24" t="n"/>
      <c r="F49" s="22">
        <f>IF(OR(D49="",E49=""),"",D49-E49)</f>
        <v/>
      </c>
      <c r="G49" s="23">
        <f>IF(OR(D49="",E49="",E49=0),"",(D49-E49)/E49)</f>
        <v/>
      </c>
      <c r="H49" s="15" t="n"/>
      <c r="I49" s="15" t="n"/>
      <c r="J49" s="18" t="n"/>
      <c r="K49" s="15" t="n"/>
      <c r="L49" s="15" t="n"/>
      <c r="M49" s="15" t="n"/>
      <c r="N49" s="15" t="n"/>
      <c r="O49" s="15" t="n"/>
      <c r="P49" s="16">
        <f>IF(O49="","",IF(O49&lt;&gt;N49,"Sim","NÃO"))</f>
        <v/>
      </c>
      <c r="Q49" s="16">
        <f>IF(A49="","",IF(K49="Sim","Não – critério",IF(AND(ISNUMBER(F49),ABS(F49)&lt;=Parametros!$B$3),"Não – dentro da tolerância",IF(P49="Sim","Sim","Aguarda revisão"))))</f>
        <v/>
      </c>
    </row>
    <row r="50">
      <c r="A50" s="15" t="n"/>
      <c r="B50" s="15" t="n"/>
      <c r="C50" s="15" t="n"/>
      <c r="D50" s="24" t="n"/>
      <c r="E50" s="24" t="n"/>
      <c r="F50" s="22">
        <f>IF(OR(D50="",E50=""),"",D50-E50)</f>
        <v/>
      </c>
      <c r="G50" s="23">
        <f>IF(OR(D50="",E50="",E50=0),"",(D50-E50)/E50)</f>
        <v/>
      </c>
      <c r="H50" s="15" t="n"/>
      <c r="I50" s="15" t="n"/>
      <c r="J50" s="18" t="n"/>
      <c r="K50" s="15" t="n"/>
      <c r="L50" s="15" t="n"/>
      <c r="M50" s="15" t="n"/>
      <c r="N50" s="15" t="n"/>
      <c r="O50" s="15" t="n"/>
      <c r="P50" s="16">
        <f>IF(O50="","",IF(O50&lt;&gt;N50,"Sim","NÃO"))</f>
        <v/>
      </c>
      <c r="Q50" s="16">
        <f>IF(A50="","",IF(K50="Sim","Não – critério",IF(AND(ISNUMBER(F50),ABS(F50)&lt;=Parametros!$B$3),"Não – dentro da tolerância",IF(P50="Sim","Sim","Aguarda revisão"))))</f>
        <v/>
      </c>
    </row>
    <row r="51">
      <c r="A51" s="15" t="n"/>
      <c r="B51" s="15" t="n"/>
      <c r="C51" s="15" t="n"/>
      <c r="D51" s="24" t="n"/>
      <c r="E51" s="24" t="n"/>
      <c r="F51" s="22">
        <f>IF(OR(D51="",E51=""),"",D51-E51)</f>
        <v/>
      </c>
      <c r="G51" s="23">
        <f>IF(OR(D51="",E51="",E51=0),"",(D51-E51)/E51)</f>
        <v/>
      </c>
      <c r="H51" s="15" t="n"/>
      <c r="I51" s="15" t="n"/>
      <c r="J51" s="18" t="n"/>
      <c r="K51" s="15" t="n"/>
      <c r="L51" s="15" t="n"/>
      <c r="M51" s="15" t="n"/>
      <c r="N51" s="15" t="n"/>
      <c r="O51" s="15" t="n"/>
      <c r="P51" s="16">
        <f>IF(O51="","",IF(O51&lt;&gt;N51,"Sim","NÃO"))</f>
        <v/>
      </c>
      <c r="Q51" s="16">
        <f>IF(A51="","",IF(K51="Sim","Não – critério",IF(AND(ISNUMBER(F51),ABS(F51)&lt;=Parametros!$B$3),"Não – dentro da tolerância",IF(P51="Sim","Sim","Aguarda revisão"))))</f>
        <v/>
      </c>
    </row>
    <row r="52">
      <c r="A52" s="15" t="n"/>
      <c r="B52" s="15" t="n"/>
      <c r="C52" s="15" t="n"/>
      <c r="D52" s="24" t="n"/>
      <c r="E52" s="24" t="n"/>
      <c r="F52" s="22">
        <f>IF(OR(D52="",E52=""),"",D52-E52)</f>
        <v/>
      </c>
      <c r="G52" s="23">
        <f>IF(OR(D52="",E52="",E52=0),"",(D52-E52)/E52)</f>
        <v/>
      </c>
      <c r="H52" s="15" t="n"/>
      <c r="I52" s="15" t="n"/>
      <c r="J52" s="18" t="n"/>
      <c r="K52" s="15" t="n"/>
      <c r="L52" s="15" t="n"/>
      <c r="M52" s="15" t="n"/>
      <c r="N52" s="15" t="n"/>
      <c r="O52" s="15" t="n"/>
      <c r="P52" s="16">
        <f>IF(O52="","",IF(O52&lt;&gt;N52,"Sim","NÃO"))</f>
        <v/>
      </c>
      <c r="Q52" s="16">
        <f>IF(A52="","",IF(K52="Sim","Não – critério",IF(AND(ISNUMBER(F52),ABS(F52)&lt;=Parametros!$B$3),"Não – dentro da tolerância",IF(P52="Sim","Sim","Aguarda revisão"))))</f>
        <v/>
      </c>
    </row>
    <row r="53">
      <c r="A53" s="15" t="n"/>
      <c r="B53" s="15" t="n"/>
      <c r="C53" s="15" t="n"/>
      <c r="D53" s="24" t="n"/>
      <c r="E53" s="24" t="n"/>
      <c r="F53" s="22">
        <f>IF(OR(D53="",E53=""),"",D53-E53)</f>
        <v/>
      </c>
      <c r="G53" s="23">
        <f>IF(OR(D53="",E53="",E53=0),"",(D53-E53)/E53)</f>
        <v/>
      </c>
      <c r="H53" s="15" t="n"/>
      <c r="I53" s="15" t="n"/>
      <c r="J53" s="18" t="n"/>
      <c r="K53" s="15" t="n"/>
      <c r="L53" s="15" t="n"/>
      <c r="M53" s="15" t="n"/>
      <c r="N53" s="15" t="n"/>
      <c r="O53" s="15" t="n"/>
      <c r="P53" s="16">
        <f>IF(O53="","",IF(O53&lt;&gt;N53,"Sim","NÃO"))</f>
        <v/>
      </c>
      <c r="Q53" s="16">
        <f>IF(A53="","",IF(K53="Sim","Não – critério",IF(AND(ISNUMBER(F53),ABS(F53)&lt;=Parametros!$B$3),"Não – dentro da tolerância",IF(P53="Sim","Sim","Aguarda revisão"))))</f>
        <v/>
      </c>
    </row>
    <row r="54">
      <c r="A54" s="15" t="n"/>
      <c r="B54" s="15" t="n"/>
      <c r="C54" s="15" t="n"/>
      <c r="D54" s="24" t="n"/>
      <c r="E54" s="24" t="n"/>
      <c r="F54" s="22">
        <f>IF(OR(D54="",E54=""),"",D54-E54)</f>
        <v/>
      </c>
      <c r="G54" s="23">
        <f>IF(OR(D54="",E54="",E54=0),"",(D54-E54)/E54)</f>
        <v/>
      </c>
      <c r="H54" s="15" t="n"/>
      <c r="I54" s="15" t="n"/>
      <c r="J54" s="18" t="n"/>
      <c r="K54" s="15" t="n"/>
      <c r="L54" s="15" t="n"/>
      <c r="M54" s="15" t="n"/>
      <c r="N54" s="15" t="n"/>
      <c r="O54" s="15" t="n"/>
      <c r="P54" s="16">
        <f>IF(O54="","",IF(O54&lt;&gt;N54,"Sim","NÃO"))</f>
        <v/>
      </c>
      <c r="Q54" s="16">
        <f>IF(A54="","",IF(K54="Sim","Não – critério",IF(AND(ISNUMBER(F54),ABS(F54)&lt;=Parametros!$B$3),"Não – dentro da tolerância",IF(P54="Sim","Sim","Aguarda revisão"))))</f>
        <v/>
      </c>
    </row>
    <row r="55">
      <c r="A55" s="15" t="n"/>
      <c r="B55" s="15" t="n"/>
      <c r="C55" s="15" t="n"/>
      <c r="D55" s="24" t="n"/>
      <c r="E55" s="24" t="n"/>
      <c r="F55" s="22">
        <f>IF(OR(D55="",E55=""),"",D55-E55)</f>
        <v/>
      </c>
      <c r="G55" s="23">
        <f>IF(OR(D55="",E55="",E55=0),"",(D55-E55)/E55)</f>
        <v/>
      </c>
      <c r="H55" s="15" t="n"/>
      <c r="I55" s="15" t="n"/>
      <c r="J55" s="18" t="n"/>
      <c r="K55" s="15" t="n"/>
      <c r="L55" s="15" t="n"/>
      <c r="M55" s="15" t="n"/>
      <c r="N55" s="15" t="n"/>
      <c r="O55" s="15" t="n"/>
      <c r="P55" s="16">
        <f>IF(O55="","",IF(O55&lt;&gt;N55,"Sim","NÃO"))</f>
        <v/>
      </c>
      <c r="Q55" s="16">
        <f>IF(A55="","",IF(K55="Sim","Não – critério",IF(AND(ISNUMBER(F55),ABS(F55)&lt;=Parametros!$B$3),"Não – dentro da tolerância",IF(P55="Sim","Sim","Aguarda revisão"))))</f>
        <v/>
      </c>
    </row>
    <row r="56">
      <c r="A56" s="15" t="n"/>
      <c r="B56" s="15" t="n"/>
      <c r="C56" s="15" t="n"/>
      <c r="D56" s="24" t="n"/>
      <c r="E56" s="24" t="n"/>
      <c r="F56" s="22">
        <f>IF(OR(D56="",E56=""),"",D56-E56)</f>
        <v/>
      </c>
      <c r="G56" s="23">
        <f>IF(OR(D56="",E56="",E56=0),"",(D56-E56)/E56)</f>
        <v/>
      </c>
      <c r="H56" s="15" t="n"/>
      <c r="I56" s="15" t="n"/>
      <c r="J56" s="18" t="n"/>
      <c r="K56" s="15" t="n"/>
      <c r="L56" s="15" t="n"/>
      <c r="M56" s="15" t="n"/>
      <c r="N56" s="15" t="n"/>
      <c r="O56" s="15" t="n"/>
      <c r="P56" s="16">
        <f>IF(O56="","",IF(O56&lt;&gt;N56,"Sim","NÃO"))</f>
        <v/>
      </c>
      <c r="Q56" s="16">
        <f>IF(A56="","",IF(K56="Sim","Não – critério",IF(AND(ISNUMBER(F56),ABS(F56)&lt;=Parametros!$B$3),"Não – dentro da tolerância",IF(P56="Sim","Sim","Aguarda revisão"))))</f>
        <v/>
      </c>
    </row>
    <row r="57">
      <c r="A57" s="15" t="n"/>
      <c r="B57" s="15" t="n"/>
      <c r="C57" s="15" t="n"/>
      <c r="D57" s="24" t="n"/>
      <c r="E57" s="24" t="n"/>
      <c r="F57" s="22">
        <f>IF(OR(D57="",E57=""),"",D57-E57)</f>
        <v/>
      </c>
      <c r="G57" s="23">
        <f>IF(OR(D57="",E57="",E57=0),"",(D57-E57)/E57)</f>
        <v/>
      </c>
      <c r="H57" s="15" t="n"/>
      <c r="I57" s="15" t="n"/>
      <c r="J57" s="18" t="n"/>
      <c r="K57" s="15" t="n"/>
      <c r="L57" s="15" t="n"/>
      <c r="M57" s="15" t="n"/>
      <c r="N57" s="15" t="n"/>
      <c r="O57" s="15" t="n"/>
      <c r="P57" s="16">
        <f>IF(O57="","",IF(O57&lt;&gt;N57,"Sim","NÃO"))</f>
        <v/>
      </c>
      <c r="Q57" s="16">
        <f>IF(A57="","",IF(K57="Sim","Não – critério",IF(AND(ISNUMBER(F57),ABS(F57)&lt;=Parametros!$B$3),"Não – dentro da tolerância",IF(P57="Sim","Sim","Aguarda revisão"))))</f>
        <v/>
      </c>
    </row>
    <row r="58">
      <c r="A58" s="15" t="n"/>
      <c r="B58" s="15" t="n"/>
      <c r="C58" s="15" t="n"/>
      <c r="D58" s="24" t="n"/>
      <c r="E58" s="24" t="n"/>
      <c r="F58" s="22">
        <f>IF(OR(D58="",E58=""),"",D58-E58)</f>
        <v/>
      </c>
      <c r="G58" s="23">
        <f>IF(OR(D58="",E58="",E58=0),"",(D58-E58)/E58)</f>
        <v/>
      </c>
      <c r="H58" s="15" t="n"/>
      <c r="I58" s="15" t="n"/>
      <c r="J58" s="18" t="n"/>
      <c r="K58" s="15" t="n"/>
      <c r="L58" s="15" t="n"/>
      <c r="M58" s="15" t="n"/>
      <c r="N58" s="15" t="n"/>
      <c r="O58" s="15" t="n"/>
      <c r="P58" s="16">
        <f>IF(O58="","",IF(O58&lt;&gt;N58,"Sim","NÃO"))</f>
        <v/>
      </c>
      <c r="Q58" s="16">
        <f>IF(A58="","",IF(K58="Sim","Não – critério",IF(AND(ISNUMBER(F58),ABS(F58)&lt;=Parametros!$B$3),"Não – dentro da tolerância",IF(P58="Sim","Sim","Aguarda revisão"))))</f>
        <v/>
      </c>
    </row>
    <row r="59">
      <c r="A59" s="15" t="n"/>
      <c r="B59" s="15" t="n"/>
      <c r="C59" s="15" t="n"/>
      <c r="D59" s="24" t="n"/>
      <c r="E59" s="24" t="n"/>
      <c r="F59" s="22">
        <f>IF(OR(D59="",E59=""),"",D59-E59)</f>
        <v/>
      </c>
      <c r="G59" s="23">
        <f>IF(OR(D59="",E59="",E59=0),"",(D59-E59)/E59)</f>
        <v/>
      </c>
      <c r="H59" s="15" t="n"/>
      <c r="I59" s="15" t="n"/>
      <c r="J59" s="18" t="n"/>
      <c r="K59" s="15" t="n"/>
      <c r="L59" s="15" t="n"/>
      <c r="M59" s="15" t="n"/>
      <c r="N59" s="15" t="n"/>
      <c r="O59" s="15" t="n"/>
      <c r="P59" s="16">
        <f>IF(O59="","",IF(O59&lt;&gt;N59,"Sim","NÃO"))</f>
        <v/>
      </c>
      <c r="Q59" s="16">
        <f>IF(A59="","",IF(K59="Sim","Não – critério",IF(AND(ISNUMBER(F59),ABS(F59)&lt;=Parametros!$B$3),"Não – dentro da tolerância",IF(P59="Sim","Sim","Aguarda revisão"))))</f>
        <v/>
      </c>
    </row>
    <row r="60">
      <c r="A60" s="15" t="n"/>
      <c r="B60" s="15" t="n"/>
      <c r="C60" s="15" t="n"/>
      <c r="D60" s="24" t="n"/>
      <c r="E60" s="24" t="n"/>
      <c r="F60" s="22">
        <f>IF(OR(D60="",E60=""),"",D60-E60)</f>
        <v/>
      </c>
      <c r="G60" s="23">
        <f>IF(OR(D60="",E60="",E60=0),"",(D60-E60)/E60)</f>
        <v/>
      </c>
      <c r="H60" s="15" t="n"/>
      <c r="I60" s="15" t="n"/>
      <c r="J60" s="18" t="n"/>
      <c r="K60" s="15" t="n"/>
      <c r="L60" s="15" t="n"/>
      <c r="M60" s="15" t="n"/>
      <c r="N60" s="15" t="n"/>
      <c r="O60" s="15" t="n"/>
      <c r="P60" s="16">
        <f>IF(O60="","",IF(O60&lt;&gt;N60,"Sim","NÃO"))</f>
        <v/>
      </c>
      <c r="Q60" s="16">
        <f>IF(A60="","",IF(K60="Sim","Não – critério",IF(AND(ISNUMBER(F60),ABS(F60)&lt;=Parametros!$B$3),"Não – dentro da tolerância",IF(P60="Sim","Sim","Aguarda revisão"))))</f>
        <v/>
      </c>
    </row>
    <row r="61">
      <c r="A61" s="15" t="n"/>
      <c r="B61" s="15" t="n"/>
      <c r="C61" s="15" t="n"/>
      <c r="D61" s="24" t="n"/>
      <c r="E61" s="24" t="n"/>
      <c r="F61" s="22">
        <f>IF(OR(D61="",E61=""),"",D61-E61)</f>
        <v/>
      </c>
      <c r="G61" s="23">
        <f>IF(OR(D61="",E61="",E61=0),"",(D61-E61)/E61)</f>
        <v/>
      </c>
      <c r="H61" s="15" t="n"/>
      <c r="I61" s="15" t="n"/>
      <c r="J61" s="18" t="n"/>
      <c r="K61" s="15" t="n"/>
      <c r="L61" s="15" t="n"/>
      <c r="M61" s="15" t="n"/>
      <c r="N61" s="15" t="n"/>
      <c r="O61" s="15" t="n"/>
      <c r="P61" s="16">
        <f>IF(O61="","",IF(O61&lt;&gt;N61,"Sim","NÃO"))</f>
        <v/>
      </c>
      <c r="Q61" s="16">
        <f>IF(A61="","",IF(K61="Sim","Não – critério",IF(AND(ISNUMBER(F61),ABS(F61)&lt;=Parametros!$B$3),"Não – dentro da tolerância",IF(P61="Sim","Sim","Aguarda revisão"))))</f>
        <v/>
      </c>
    </row>
    <row r="62">
      <c r="A62" s="15" t="n"/>
      <c r="B62" s="15" t="n"/>
      <c r="C62" s="15" t="n"/>
      <c r="D62" s="24" t="n"/>
      <c r="E62" s="24" t="n"/>
      <c r="F62" s="22">
        <f>IF(OR(D62="",E62=""),"",D62-E62)</f>
        <v/>
      </c>
      <c r="G62" s="23">
        <f>IF(OR(D62="",E62="",E62=0),"",(D62-E62)/E62)</f>
        <v/>
      </c>
      <c r="H62" s="15" t="n"/>
      <c r="I62" s="15" t="n"/>
      <c r="J62" s="18" t="n"/>
      <c r="K62" s="15" t="n"/>
      <c r="L62" s="15" t="n"/>
      <c r="M62" s="15" t="n"/>
      <c r="N62" s="15" t="n"/>
      <c r="O62" s="15" t="n"/>
      <c r="P62" s="16">
        <f>IF(O62="","",IF(O62&lt;&gt;N62,"Sim","NÃO"))</f>
        <v/>
      </c>
      <c r="Q62" s="16">
        <f>IF(A62="","",IF(K62="Sim","Não – critério",IF(AND(ISNUMBER(F62),ABS(F62)&lt;=Parametros!$B$3),"Não – dentro da tolerância",IF(P62="Sim","Sim","Aguarda revisão"))))</f>
        <v/>
      </c>
    </row>
    <row r="63">
      <c r="A63" s="15" t="n"/>
      <c r="B63" s="15" t="n"/>
      <c r="C63" s="15" t="n"/>
      <c r="D63" s="24" t="n"/>
      <c r="E63" s="24" t="n"/>
      <c r="F63" s="22">
        <f>IF(OR(D63="",E63=""),"",D63-E63)</f>
        <v/>
      </c>
      <c r="G63" s="23">
        <f>IF(OR(D63="",E63="",E63=0),"",(D63-E63)/E63)</f>
        <v/>
      </c>
      <c r="H63" s="15" t="n"/>
      <c r="I63" s="15" t="n"/>
      <c r="J63" s="18" t="n"/>
      <c r="K63" s="15" t="n"/>
      <c r="L63" s="15" t="n"/>
      <c r="M63" s="15" t="n"/>
      <c r="N63" s="15" t="n"/>
      <c r="O63" s="15" t="n"/>
      <c r="P63" s="16">
        <f>IF(O63="","",IF(O63&lt;&gt;N63,"Sim","NÃO"))</f>
        <v/>
      </c>
      <c r="Q63" s="16">
        <f>IF(A63="","",IF(K63="Sim","Não – critério",IF(AND(ISNUMBER(F63),ABS(F63)&lt;=Parametros!$B$3),"Não – dentro da tolerância",IF(P63="Sim","Sim","Aguarda revisão"))))</f>
        <v/>
      </c>
    </row>
    <row r="64">
      <c r="A64" s="15" t="n"/>
      <c r="B64" s="15" t="n"/>
      <c r="C64" s="15" t="n"/>
      <c r="D64" s="24" t="n"/>
      <c r="E64" s="24" t="n"/>
      <c r="F64" s="22">
        <f>IF(OR(D64="",E64=""),"",D64-E64)</f>
        <v/>
      </c>
      <c r="G64" s="23">
        <f>IF(OR(D64="",E64="",E64=0),"",(D64-E64)/E64)</f>
        <v/>
      </c>
      <c r="H64" s="15" t="n"/>
      <c r="I64" s="15" t="n"/>
      <c r="J64" s="18" t="n"/>
      <c r="K64" s="15" t="n"/>
      <c r="L64" s="15" t="n"/>
      <c r="M64" s="15" t="n"/>
      <c r="N64" s="15" t="n"/>
      <c r="O64" s="15" t="n"/>
      <c r="P64" s="16">
        <f>IF(O64="","",IF(O64&lt;&gt;N64,"Sim","NÃO"))</f>
        <v/>
      </c>
      <c r="Q64" s="16">
        <f>IF(A64="","",IF(K64="Sim","Não – critério",IF(AND(ISNUMBER(F64),ABS(F64)&lt;=Parametros!$B$3),"Não – dentro da tolerância",IF(P64="Sim","Sim","Aguarda revisão"))))</f>
        <v/>
      </c>
    </row>
    <row r="65">
      <c r="A65" s="15" t="n"/>
      <c r="B65" s="15" t="n"/>
      <c r="C65" s="15" t="n"/>
      <c r="D65" s="24" t="n"/>
      <c r="E65" s="24" t="n"/>
      <c r="F65" s="22">
        <f>IF(OR(D65="",E65=""),"",D65-E65)</f>
        <v/>
      </c>
      <c r="G65" s="23">
        <f>IF(OR(D65="",E65="",E65=0),"",(D65-E65)/E65)</f>
        <v/>
      </c>
      <c r="H65" s="15" t="n"/>
      <c r="I65" s="15" t="n"/>
      <c r="J65" s="18" t="n"/>
      <c r="K65" s="15" t="n"/>
      <c r="L65" s="15" t="n"/>
      <c r="M65" s="15" t="n"/>
      <c r="N65" s="15" t="n"/>
      <c r="O65" s="15" t="n"/>
      <c r="P65" s="16">
        <f>IF(O65="","",IF(O65&lt;&gt;N65,"Sim","NÃO"))</f>
        <v/>
      </c>
      <c r="Q65" s="16">
        <f>IF(A65="","",IF(K65="Sim","Não – critério",IF(AND(ISNUMBER(F65),ABS(F65)&lt;=Parametros!$B$3),"Não – dentro da tolerância",IF(P65="Sim","Sim","Aguarda revisão"))))</f>
        <v/>
      </c>
    </row>
    <row r="66">
      <c r="A66" s="15" t="n"/>
      <c r="B66" s="15" t="n"/>
      <c r="C66" s="15" t="n"/>
      <c r="D66" s="24" t="n"/>
      <c r="E66" s="24" t="n"/>
      <c r="F66" s="22">
        <f>IF(OR(D66="",E66=""),"",D66-E66)</f>
        <v/>
      </c>
      <c r="G66" s="23">
        <f>IF(OR(D66="",E66="",E66=0),"",(D66-E66)/E66)</f>
        <v/>
      </c>
      <c r="H66" s="15" t="n"/>
      <c r="I66" s="15" t="n"/>
      <c r="J66" s="18" t="n"/>
      <c r="K66" s="15" t="n"/>
      <c r="L66" s="15" t="n"/>
      <c r="M66" s="15" t="n"/>
      <c r="N66" s="15" t="n"/>
      <c r="O66" s="15" t="n"/>
      <c r="P66" s="16">
        <f>IF(O66="","",IF(O66&lt;&gt;N66,"Sim","NÃO"))</f>
        <v/>
      </c>
      <c r="Q66" s="16">
        <f>IF(A66="","",IF(K66="Sim","Não – critério",IF(AND(ISNUMBER(F66),ABS(F66)&lt;=Parametros!$B$3),"Não – dentro da tolerância",IF(P66="Sim","Sim","Aguarda revisão"))))</f>
        <v/>
      </c>
    </row>
    <row r="67">
      <c r="A67" s="15" t="n"/>
      <c r="B67" s="15" t="n"/>
      <c r="C67" s="15" t="n"/>
      <c r="D67" s="24" t="n"/>
      <c r="E67" s="24" t="n"/>
      <c r="F67" s="22">
        <f>IF(OR(D67="",E67=""),"",D67-E67)</f>
        <v/>
      </c>
      <c r="G67" s="23">
        <f>IF(OR(D67="",E67="",E67=0),"",(D67-E67)/E67)</f>
        <v/>
      </c>
      <c r="H67" s="15" t="n"/>
      <c r="I67" s="15" t="n"/>
      <c r="J67" s="18" t="n"/>
      <c r="K67" s="15" t="n"/>
      <c r="L67" s="15" t="n"/>
      <c r="M67" s="15" t="n"/>
      <c r="N67" s="15" t="n"/>
      <c r="O67" s="15" t="n"/>
      <c r="P67" s="16">
        <f>IF(O67="","",IF(O67&lt;&gt;N67,"Sim","NÃO"))</f>
        <v/>
      </c>
      <c r="Q67" s="16">
        <f>IF(A67="","",IF(K67="Sim","Não – critério",IF(AND(ISNUMBER(F67),ABS(F67)&lt;=Parametros!$B$3),"Não – dentro da tolerância",IF(P67="Sim","Sim","Aguarda revisão"))))</f>
        <v/>
      </c>
    </row>
    <row r="68">
      <c r="A68" s="15" t="n"/>
      <c r="B68" s="15" t="n"/>
      <c r="C68" s="15" t="n"/>
      <c r="D68" s="24" t="n"/>
      <c r="E68" s="24" t="n"/>
      <c r="F68" s="22">
        <f>IF(OR(D68="",E68=""),"",D68-E68)</f>
        <v/>
      </c>
      <c r="G68" s="23">
        <f>IF(OR(D68="",E68="",E68=0),"",(D68-E68)/E68)</f>
        <v/>
      </c>
      <c r="H68" s="15" t="n"/>
      <c r="I68" s="15" t="n"/>
      <c r="J68" s="18" t="n"/>
      <c r="K68" s="15" t="n"/>
      <c r="L68" s="15" t="n"/>
      <c r="M68" s="15" t="n"/>
      <c r="N68" s="15" t="n"/>
      <c r="O68" s="15" t="n"/>
      <c r="P68" s="16">
        <f>IF(O68="","",IF(O68&lt;&gt;N68,"Sim","NÃO"))</f>
        <v/>
      </c>
      <c r="Q68" s="16">
        <f>IF(A68="","",IF(K68="Sim","Não – critério",IF(AND(ISNUMBER(F68),ABS(F68)&lt;=Parametros!$B$3),"Não – dentro da tolerância",IF(P68="Sim","Sim","Aguarda revisão"))))</f>
        <v/>
      </c>
    </row>
    <row r="69">
      <c r="A69" s="15" t="n"/>
      <c r="B69" s="15" t="n"/>
      <c r="C69" s="15" t="n"/>
      <c r="D69" s="24" t="n"/>
      <c r="E69" s="24" t="n"/>
      <c r="F69" s="22">
        <f>IF(OR(D69="",E69=""),"",D69-E69)</f>
        <v/>
      </c>
      <c r="G69" s="23">
        <f>IF(OR(D69="",E69="",E69=0),"",(D69-E69)/E69)</f>
        <v/>
      </c>
      <c r="H69" s="15" t="n"/>
      <c r="I69" s="15" t="n"/>
      <c r="J69" s="18" t="n"/>
      <c r="K69" s="15" t="n"/>
      <c r="L69" s="15" t="n"/>
      <c r="M69" s="15" t="n"/>
      <c r="N69" s="15" t="n"/>
      <c r="O69" s="15" t="n"/>
      <c r="P69" s="16">
        <f>IF(O69="","",IF(O69&lt;&gt;N69,"Sim","NÃO"))</f>
        <v/>
      </c>
      <c r="Q69" s="16">
        <f>IF(A69="","",IF(K69="Sim","Não – critério",IF(AND(ISNUMBER(F69),ABS(F69)&lt;=Parametros!$B$3),"Não – dentro da tolerância",IF(P69="Sim","Sim","Aguarda revisão"))))</f>
        <v/>
      </c>
    </row>
    <row r="70">
      <c r="A70" s="15" t="n"/>
      <c r="B70" s="15" t="n"/>
      <c r="C70" s="15" t="n"/>
      <c r="D70" s="24" t="n"/>
      <c r="E70" s="24" t="n"/>
      <c r="F70" s="22">
        <f>IF(OR(D70="",E70=""),"",D70-E70)</f>
        <v/>
      </c>
      <c r="G70" s="23">
        <f>IF(OR(D70="",E70="",E70=0),"",(D70-E70)/E70)</f>
        <v/>
      </c>
      <c r="H70" s="15" t="n"/>
      <c r="I70" s="15" t="n"/>
      <c r="J70" s="18" t="n"/>
      <c r="K70" s="15" t="n"/>
      <c r="L70" s="15" t="n"/>
      <c r="M70" s="15" t="n"/>
      <c r="N70" s="15" t="n"/>
      <c r="O70" s="15" t="n"/>
      <c r="P70" s="16">
        <f>IF(O70="","",IF(O70&lt;&gt;N70,"Sim","NÃO"))</f>
        <v/>
      </c>
      <c r="Q70" s="16">
        <f>IF(A70="","",IF(K70="Sim","Não – critério",IF(AND(ISNUMBER(F70),ABS(F70)&lt;=Parametros!$B$3),"Não – dentro da tolerância",IF(P70="Sim","Sim","Aguarda revisão"))))</f>
        <v/>
      </c>
    </row>
    <row r="71">
      <c r="A71" s="15" t="n"/>
      <c r="B71" s="15" t="n"/>
      <c r="C71" s="15" t="n"/>
      <c r="D71" s="24" t="n"/>
      <c r="E71" s="24" t="n"/>
      <c r="F71" s="22">
        <f>IF(OR(D71="",E71=""),"",D71-E71)</f>
        <v/>
      </c>
      <c r="G71" s="23">
        <f>IF(OR(D71="",E71="",E71=0),"",(D71-E71)/E71)</f>
        <v/>
      </c>
      <c r="H71" s="15" t="n"/>
      <c r="I71" s="15" t="n"/>
      <c r="J71" s="18" t="n"/>
      <c r="K71" s="15" t="n"/>
      <c r="L71" s="15" t="n"/>
      <c r="M71" s="15" t="n"/>
      <c r="N71" s="15" t="n"/>
      <c r="O71" s="15" t="n"/>
      <c r="P71" s="16">
        <f>IF(O71="","",IF(O71&lt;&gt;N71,"Sim","NÃO"))</f>
        <v/>
      </c>
      <c r="Q71" s="16">
        <f>IF(A71="","",IF(K71="Sim","Não – critério",IF(AND(ISNUMBER(F71),ABS(F71)&lt;=Parametros!$B$3),"Não – dentro da tolerância",IF(P71="Sim","Sim","Aguarda revisão"))))</f>
        <v/>
      </c>
    </row>
    <row r="72">
      <c r="A72" s="15" t="n"/>
      <c r="B72" s="15" t="n"/>
      <c r="C72" s="15" t="n"/>
      <c r="D72" s="24" t="n"/>
      <c r="E72" s="24" t="n"/>
      <c r="F72" s="22">
        <f>IF(OR(D72="",E72=""),"",D72-E72)</f>
        <v/>
      </c>
      <c r="G72" s="23">
        <f>IF(OR(D72="",E72="",E72=0),"",(D72-E72)/E72)</f>
        <v/>
      </c>
      <c r="H72" s="15" t="n"/>
      <c r="I72" s="15" t="n"/>
      <c r="J72" s="18" t="n"/>
      <c r="K72" s="15" t="n"/>
      <c r="L72" s="15" t="n"/>
      <c r="M72" s="15" t="n"/>
      <c r="N72" s="15" t="n"/>
      <c r="O72" s="15" t="n"/>
      <c r="P72" s="16">
        <f>IF(O72="","",IF(O72&lt;&gt;N72,"Sim","NÃO"))</f>
        <v/>
      </c>
      <c r="Q72" s="16">
        <f>IF(A72="","",IF(K72="Sim","Não – critério",IF(AND(ISNUMBER(F72),ABS(F72)&lt;=Parametros!$B$3),"Não – dentro da tolerância",IF(P72="Sim","Sim","Aguarda revisão"))))</f>
        <v/>
      </c>
    </row>
    <row r="73">
      <c r="A73" s="15" t="n"/>
      <c r="B73" s="15" t="n"/>
      <c r="C73" s="15" t="n"/>
      <c r="D73" s="24" t="n"/>
      <c r="E73" s="24" t="n"/>
      <c r="F73" s="22">
        <f>IF(OR(D73="",E73=""),"",D73-E73)</f>
        <v/>
      </c>
      <c r="G73" s="23">
        <f>IF(OR(D73="",E73="",E73=0),"",(D73-E73)/E73)</f>
        <v/>
      </c>
      <c r="H73" s="15" t="n"/>
      <c r="I73" s="15" t="n"/>
      <c r="J73" s="18" t="n"/>
      <c r="K73" s="15" t="n"/>
      <c r="L73" s="15" t="n"/>
      <c r="M73" s="15" t="n"/>
      <c r="N73" s="15" t="n"/>
      <c r="O73" s="15" t="n"/>
      <c r="P73" s="16">
        <f>IF(O73="","",IF(O73&lt;&gt;N73,"Sim","NÃO"))</f>
        <v/>
      </c>
      <c r="Q73" s="16">
        <f>IF(A73="","",IF(K73="Sim","Não – critério",IF(AND(ISNUMBER(F73),ABS(F73)&lt;=Parametros!$B$3),"Não – dentro da tolerância",IF(P73="Sim","Sim","Aguarda revisão"))))</f>
        <v/>
      </c>
    </row>
    <row r="74">
      <c r="A74" s="15" t="n"/>
      <c r="B74" s="15" t="n"/>
      <c r="C74" s="15" t="n"/>
      <c r="D74" s="24" t="n"/>
      <c r="E74" s="24" t="n"/>
      <c r="F74" s="22">
        <f>IF(OR(D74="",E74=""),"",D74-E74)</f>
        <v/>
      </c>
      <c r="G74" s="23">
        <f>IF(OR(D74="",E74="",E74=0),"",(D74-E74)/E74)</f>
        <v/>
      </c>
      <c r="H74" s="15" t="n"/>
      <c r="I74" s="15" t="n"/>
      <c r="J74" s="18" t="n"/>
      <c r="K74" s="15" t="n"/>
      <c r="L74" s="15" t="n"/>
      <c r="M74" s="15" t="n"/>
      <c r="N74" s="15" t="n"/>
      <c r="O74" s="15" t="n"/>
      <c r="P74" s="16">
        <f>IF(O74="","",IF(O74&lt;&gt;N74,"Sim","NÃO"))</f>
        <v/>
      </c>
      <c r="Q74" s="16">
        <f>IF(A74="","",IF(K74="Sim","Não – critério",IF(AND(ISNUMBER(F74),ABS(F74)&lt;=Parametros!$B$3),"Não – dentro da tolerância",IF(P74="Sim","Sim","Aguarda revisão"))))</f>
        <v/>
      </c>
    </row>
    <row r="75">
      <c r="A75" s="15" t="n"/>
      <c r="B75" s="15" t="n"/>
      <c r="C75" s="15" t="n"/>
      <c r="D75" s="24" t="n"/>
      <c r="E75" s="24" t="n"/>
      <c r="F75" s="22">
        <f>IF(OR(D75="",E75=""),"",D75-E75)</f>
        <v/>
      </c>
      <c r="G75" s="23">
        <f>IF(OR(D75="",E75="",E75=0),"",(D75-E75)/E75)</f>
        <v/>
      </c>
      <c r="H75" s="15" t="n"/>
      <c r="I75" s="15" t="n"/>
      <c r="J75" s="18" t="n"/>
      <c r="K75" s="15" t="n"/>
      <c r="L75" s="15" t="n"/>
      <c r="M75" s="15" t="n"/>
      <c r="N75" s="15" t="n"/>
      <c r="O75" s="15" t="n"/>
      <c r="P75" s="16">
        <f>IF(O75="","",IF(O75&lt;&gt;N75,"Sim","NÃO"))</f>
        <v/>
      </c>
      <c r="Q75" s="16">
        <f>IF(A75="","",IF(K75="Sim","Não – critério",IF(AND(ISNUMBER(F75),ABS(F75)&lt;=Parametros!$B$3),"Não – dentro da tolerância",IF(P75="Sim","Sim","Aguarda revisão"))))</f>
        <v/>
      </c>
    </row>
    <row r="76">
      <c r="A76" s="15" t="n"/>
      <c r="B76" s="15" t="n"/>
      <c r="C76" s="15" t="n"/>
      <c r="D76" s="24" t="n"/>
      <c r="E76" s="24" t="n"/>
      <c r="F76" s="22">
        <f>IF(OR(D76="",E76=""),"",D76-E76)</f>
        <v/>
      </c>
      <c r="G76" s="23">
        <f>IF(OR(D76="",E76="",E76=0),"",(D76-E76)/E76)</f>
        <v/>
      </c>
      <c r="H76" s="15" t="n"/>
      <c r="I76" s="15" t="n"/>
      <c r="J76" s="18" t="n"/>
      <c r="K76" s="15" t="n"/>
      <c r="L76" s="15" t="n"/>
      <c r="M76" s="15" t="n"/>
      <c r="N76" s="15" t="n"/>
      <c r="O76" s="15" t="n"/>
      <c r="P76" s="16">
        <f>IF(O76="","",IF(O76&lt;&gt;N76,"Sim","NÃO"))</f>
        <v/>
      </c>
      <c r="Q76" s="16">
        <f>IF(A76="","",IF(K76="Sim","Não – critério",IF(AND(ISNUMBER(F76),ABS(F76)&lt;=Parametros!$B$3),"Não – dentro da tolerância",IF(P76="Sim","Sim","Aguarda revisão"))))</f>
        <v/>
      </c>
    </row>
    <row r="77">
      <c r="A77" s="15" t="n"/>
      <c r="B77" s="15" t="n"/>
      <c r="C77" s="15" t="n"/>
      <c r="D77" s="24" t="n"/>
      <c r="E77" s="24" t="n"/>
      <c r="F77" s="22">
        <f>IF(OR(D77="",E77=""),"",D77-E77)</f>
        <v/>
      </c>
      <c r="G77" s="23">
        <f>IF(OR(D77="",E77="",E77=0),"",(D77-E77)/E77)</f>
        <v/>
      </c>
      <c r="H77" s="15" t="n"/>
      <c r="I77" s="15" t="n"/>
      <c r="J77" s="18" t="n"/>
      <c r="K77" s="15" t="n"/>
      <c r="L77" s="15" t="n"/>
      <c r="M77" s="15" t="n"/>
      <c r="N77" s="15" t="n"/>
      <c r="O77" s="15" t="n"/>
      <c r="P77" s="16">
        <f>IF(O77="","",IF(O77&lt;&gt;N77,"Sim","NÃO"))</f>
        <v/>
      </c>
      <c r="Q77" s="16">
        <f>IF(A77="","",IF(K77="Sim","Não – critério",IF(AND(ISNUMBER(F77),ABS(F77)&lt;=Parametros!$B$3),"Não – dentro da tolerância",IF(P77="Sim","Sim","Aguarda revisão"))))</f>
        <v/>
      </c>
    </row>
    <row r="78">
      <c r="A78" s="15" t="n"/>
      <c r="B78" s="15" t="n"/>
      <c r="C78" s="15" t="n"/>
      <c r="D78" s="24" t="n"/>
      <c r="E78" s="24" t="n"/>
      <c r="F78" s="22">
        <f>IF(OR(D78="",E78=""),"",D78-E78)</f>
        <v/>
      </c>
      <c r="G78" s="23">
        <f>IF(OR(D78="",E78="",E78=0),"",(D78-E78)/E78)</f>
        <v/>
      </c>
      <c r="H78" s="15" t="n"/>
      <c r="I78" s="15" t="n"/>
      <c r="J78" s="18" t="n"/>
      <c r="K78" s="15" t="n"/>
      <c r="L78" s="15" t="n"/>
      <c r="M78" s="15" t="n"/>
      <c r="N78" s="15" t="n"/>
      <c r="O78" s="15" t="n"/>
      <c r="P78" s="16">
        <f>IF(O78="","",IF(O78&lt;&gt;N78,"Sim","NÃO"))</f>
        <v/>
      </c>
      <c r="Q78" s="16">
        <f>IF(A78="","",IF(K78="Sim","Não – critério",IF(AND(ISNUMBER(F78),ABS(F78)&lt;=Parametros!$B$3),"Não – dentro da tolerância",IF(P78="Sim","Sim","Aguarda revisão"))))</f>
        <v/>
      </c>
    </row>
    <row r="79">
      <c r="A79" s="15" t="n"/>
      <c r="B79" s="15" t="n"/>
      <c r="C79" s="15" t="n"/>
      <c r="D79" s="24" t="n"/>
      <c r="E79" s="24" t="n"/>
      <c r="F79" s="22">
        <f>IF(OR(D79="",E79=""),"",D79-E79)</f>
        <v/>
      </c>
      <c r="G79" s="23">
        <f>IF(OR(D79="",E79="",E79=0),"",(D79-E79)/E79)</f>
        <v/>
      </c>
      <c r="H79" s="15" t="n"/>
      <c r="I79" s="15" t="n"/>
      <c r="J79" s="18" t="n"/>
      <c r="K79" s="15" t="n"/>
      <c r="L79" s="15" t="n"/>
      <c r="M79" s="15" t="n"/>
      <c r="N79" s="15" t="n"/>
      <c r="O79" s="15" t="n"/>
      <c r="P79" s="16">
        <f>IF(O79="","",IF(O79&lt;&gt;N79,"Sim","NÃO"))</f>
        <v/>
      </c>
      <c r="Q79" s="16">
        <f>IF(A79="","",IF(K79="Sim","Não – critério",IF(AND(ISNUMBER(F79),ABS(F79)&lt;=Parametros!$B$3),"Não – dentro da tolerância",IF(P79="Sim","Sim","Aguarda revisão"))))</f>
        <v/>
      </c>
    </row>
    <row r="80">
      <c r="A80" s="15" t="n"/>
      <c r="B80" s="15" t="n"/>
      <c r="C80" s="15" t="n"/>
      <c r="D80" s="24" t="n"/>
      <c r="E80" s="24" t="n"/>
      <c r="F80" s="22">
        <f>IF(OR(D80="",E80=""),"",D80-E80)</f>
        <v/>
      </c>
      <c r="G80" s="23">
        <f>IF(OR(D80="",E80="",E80=0),"",(D80-E80)/E80)</f>
        <v/>
      </c>
      <c r="H80" s="15" t="n"/>
      <c r="I80" s="15" t="n"/>
      <c r="J80" s="18" t="n"/>
      <c r="K80" s="15" t="n"/>
      <c r="L80" s="15" t="n"/>
      <c r="M80" s="15" t="n"/>
      <c r="N80" s="15" t="n"/>
      <c r="O80" s="15" t="n"/>
      <c r="P80" s="16">
        <f>IF(O80="","",IF(O80&lt;&gt;N80,"Sim","NÃO"))</f>
        <v/>
      </c>
      <c r="Q80" s="16">
        <f>IF(A80="","",IF(K80="Sim","Não – critério",IF(AND(ISNUMBER(F80),ABS(F80)&lt;=Parametros!$B$3),"Não – dentro da tolerância",IF(P80="Sim","Sim","Aguarda revisão"))))</f>
        <v/>
      </c>
    </row>
    <row r="81">
      <c r="A81" s="15" t="n"/>
      <c r="B81" s="15" t="n"/>
      <c r="C81" s="15" t="n"/>
      <c r="D81" s="24" t="n"/>
      <c r="E81" s="24" t="n"/>
      <c r="F81" s="22">
        <f>IF(OR(D81="",E81=""),"",D81-E81)</f>
        <v/>
      </c>
      <c r="G81" s="23">
        <f>IF(OR(D81="",E81="",E81=0),"",(D81-E81)/E81)</f>
        <v/>
      </c>
      <c r="H81" s="15" t="n"/>
      <c r="I81" s="15" t="n"/>
      <c r="J81" s="18" t="n"/>
      <c r="K81" s="15" t="n"/>
      <c r="L81" s="15" t="n"/>
      <c r="M81" s="15" t="n"/>
      <c r="N81" s="15" t="n"/>
      <c r="O81" s="15" t="n"/>
      <c r="P81" s="16">
        <f>IF(O81="","",IF(O81&lt;&gt;N81,"Sim","NÃO"))</f>
        <v/>
      </c>
      <c r="Q81" s="16">
        <f>IF(A81="","",IF(K81="Sim","Não – critério",IF(AND(ISNUMBER(F81),ABS(F81)&lt;=Parametros!$B$3),"Não – dentro da tolerância",IF(P81="Sim","Sim","Aguarda revisão"))))</f>
        <v/>
      </c>
    </row>
    <row r="82">
      <c r="A82" s="15" t="n"/>
      <c r="B82" s="15" t="n"/>
      <c r="C82" s="15" t="n"/>
      <c r="D82" s="24" t="n"/>
      <c r="E82" s="24" t="n"/>
      <c r="F82" s="22">
        <f>IF(OR(D82="",E82=""),"",D82-E82)</f>
        <v/>
      </c>
      <c r="G82" s="23">
        <f>IF(OR(D82="",E82="",E82=0),"",(D82-E82)/E82)</f>
        <v/>
      </c>
      <c r="H82" s="15" t="n"/>
      <c r="I82" s="15" t="n"/>
      <c r="J82" s="18" t="n"/>
      <c r="K82" s="15" t="n"/>
      <c r="L82" s="15" t="n"/>
      <c r="M82" s="15" t="n"/>
      <c r="N82" s="15" t="n"/>
      <c r="O82" s="15" t="n"/>
      <c r="P82" s="16">
        <f>IF(O82="","",IF(O82&lt;&gt;N82,"Sim","NÃO"))</f>
        <v/>
      </c>
      <c r="Q82" s="16">
        <f>IF(A82="","",IF(K82="Sim","Não – critério",IF(AND(ISNUMBER(F82),ABS(F82)&lt;=Parametros!$B$3),"Não – dentro da tolerância",IF(P82="Sim","Sim","Aguarda revisão"))))</f>
        <v/>
      </c>
    </row>
    <row r="83">
      <c r="A83" s="15" t="n"/>
      <c r="B83" s="15" t="n"/>
      <c r="C83" s="15" t="n"/>
      <c r="D83" s="24" t="n"/>
      <c r="E83" s="24" t="n"/>
      <c r="F83" s="22">
        <f>IF(OR(D83="",E83=""),"",D83-E83)</f>
        <v/>
      </c>
      <c r="G83" s="23">
        <f>IF(OR(D83="",E83="",E83=0),"",(D83-E83)/E83)</f>
        <v/>
      </c>
      <c r="H83" s="15" t="n"/>
      <c r="I83" s="15" t="n"/>
      <c r="J83" s="18" t="n"/>
      <c r="K83" s="15" t="n"/>
      <c r="L83" s="15" t="n"/>
      <c r="M83" s="15" t="n"/>
      <c r="N83" s="15" t="n"/>
      <c r="O83" s="15" t="n"/>
      <c r="P83" s="16">
        <f>IF(O83="","",IF(O83&lt;&gt;N83,"Sim","NÃO"))</f>
        <v/>
      </c>
      <c r="Q83" s="16">
        <f>IF(A83="","",IF(K83="Sim","Não – critério",IF(AND(ISNUMBER(F83),ABS(F83)&lt;=Parametros!$B$3),"Não – dentro da tolerância",IF(P83="Sim","Sim","Aguarda revisão"))))</f>
        <v/>
      </c>
    </row>
    <row r="84">
      <c r="A84" s="15" t="n"/>
      <c r="B84" s="15" t="n"/>
      <c r="C84" s="15" t="n"/>
      <c r="D84" s="24" t="n"/>
      <c r="E84" s="24" t="n"/>
      <c r="F84" s="22">
        <f>IF(OR(D84="",E84=""),"",D84-E84)</f>
        <v/>
      </c>
      <c r="G84" s="23">
        <f>IF(OR(D84="",E84="",E84=0),"",(D84-E84)/E84)</f>
        <v/>
      </c>
      <c r="H84" s="15" t="n"/>
      <c r="I84" s="15" t="n"/>
      <c r="J84" s="18" t="n"/>
      <c r="K84" s="15" t="n"/>
      <c r="L84" s="15" t="n"/>
      <c r="M84" s="15" t="n"/>
      <c r="N84" s="15" t="n"/>
      <c r="O84" s="15" t="n"/>
      <c r="P84" s="16">
        <f>IF(O84="","",IF(O84&lt;&gt;N84,"Sim","NÃO"))</f>
        <v/>
      </c>
      <c r="Q84" s="16">
        <f>IF(A84="","",IF(K84="Sim","Não – critério",IF(AND(ISNUMBER(F84),ABS(F84)&lt;=Parametros!$B$3),"Não – dentro da tolerância",IF(P84="Sim","Sim","Aguarda revisão"))))</f>
        <v/>
      </c>
    </row>
    <row r="85">
      <c r="A85" s="15" t="n"/>
      <c r="B85" s="15" t="n"/>
      <c r="C85" s="15" t="n"/>
      <c r="D85" s="24" t="n"/>
      <c r="E85" s="24" t="n"/>
      <c r="F85" s="22">
        <f>IF(OR(D85="",E85=""),"",D85-E85)</f>
        <v/>
      </c>
      <c r="G85" s="23">
        <f>IF(OR(D85="",E85="",E85=0),"",(D85-E85)/E85)</f>
        <v/>
      </c>
      <c r="H85" s="15" t="n"/>
      <c r="I85" s="15" t="n"/>
      <c r="J85" s="18" t="n"/>
      <c r="K85" s="15" t="n"/>
      <c r="L85" s="15" t="n"/>
      <c r="M85" s="15" t="n"/>
      <c r="N85" s="15" t="n"/>
      <c r="O85" s="15" t="n"/>
      <c r="P85" s="16">
        <f>IF(O85="","",IF(O85&lt;&gt;N85,"Sim","NÃO"))</f>
        <v/>
      </c>
      <c r="Q85" s="16">
        <f>IF(A85="","",IF(K85="Sim","Não – critério",IF(AND(ISNUMBER(F85),ABS(F85)&lt;=Parametros!$B$3),"Não – dentro da tolerância",IF(P85="Sim","Sim","Aguarda revisão"))))</f>
        <v/>
      </c>
    </row>
    <row r="86">
      <c r="A86" s="15" t="n"/>
      <c r="B86" s="15" t="n"/>
      <c r="C86" s="15" t="n"/>
      <c r="D86" s="24" t="n"/>
      <c r="E86" s="24" t="n"/>
      <c r="F86" s="22">
        <f>IF(OR(D86="",E86=""),"",D86-E86)</f>
        <v/>
      </c>
      <c r="G86" s="23">
        <f>IF(OR(D86="",E86="",E86=0),"",(D86-E86)/E86)</f>
        <v/>
      </c>
      <c r="H86" s="15" t="n"/>
      <c r="I86" s="15" t="n"/>
      <c r="J86" s="18" t="n"/>
      <c r="K86" s="15" t="n"/>
      <c r="L86" s="15" t="n"/>
      <c r="M86" s="15" t="n"/>
      <c r="N86" s="15" t="n"/>
      <c r="O86" s="15" t="n"/>
      <c r="P86" s="16">
        <f>IF(O86="","",IF(O86&lt;&gt;N86,"Sim","NÃO"))</f>
        <v/>
      </c>
      <c r="Q86" s="16">
        <f>IF(A86="","",IF(K86="Sim","Não – critério",IF(AND(ISNUMBER(F86),ABS(F86)&lt;=Parametros!$B$3),"Não – dentro da tolerância",IF(P86="Sim","Sim","Aguarda revisão"))))</f>
        <v/>
      </c>
    </row>
    <row r="87">
      <c r="A87" s="15" t="n"/>
      <c r="B87" s="15" t="n"/>
      <c r="C87" s="15" t="n"/>
      <c r="D87" s="24" t="n"/>
      <c r="E87" s="24" t="n"/>
      <c r="F87" s="22">
        <f>IF(OR(D87="",E87=""),"",D87-E87)</f>
        <v/>
      </c>
      <c r="G87" s="23">
        <f>IF(OR(D87="",E87="",E87=0),"",(D87-E87)/E87)</f>
        <v/>
      </c>
      <c r="H87" s="15" t="n"/>
      <c r="I87" s="15" t="n"/>
      <c r="J87" s="18" t="n"/>
      <c r="K87" s="15" t="n"/>
      <c r="L87" s="15" t="n"/>
      <c r="M87" s="15" t="n"/>
      <c r="N87" s="15" t="n"/>
      <c r="O87" s="15" t="n"/>
      <c r="P87" s="16">
        <f>IF(O87="","",IF(O87&lt;&gt;N87,"Sim","NÃO"))</f>
        <v/>
      </c>
      <c r="Q87" s="16">
        <f>IF(A87="","",IF(K87="Sim","Não – critério",IF(AND(ISNUMBER(F87),ABS(F87)&lt;=Parametros!$B$3),"Não – dentro da tolerância",IF(P87="Sim","Sim","Aguarda revisão"))))</f>
        <v/>
      </c>
    </row>
    <row r="88">
      <c r="A88" s="15" t="n"/>
      <c r="B88" s="15" t="n"/>
      <c r="C88" s="15" t="n"/>
      <c r="D88" s="24" t="n"/>
      <c r="E88" s="24" t="n"/>
      <c r="F88" s="22">
        <f>IF(OR(D88="",E88=""),"",D88-E88)</f>
        <v/>
      </c>
      <c r="G88" s="23">
        <f>IF(OR(D88="",E88="",E88=0),"",(D88-E88)/E88)</f>
        <v/>
      </c>
      <c r="H88" s="15" t="n"/>
      <c r="I88" s="15" t="n"/>
      <c r="J88" s="18" t="n"/>
      <c r="K88" s="15" t="n"/>
      <c r="L88" s="15" t="n"/>
      <c r="M88" s="15" t="n"/>
      <c r="N88" s="15" t="n"/>
      <c r="O88" s="15" t="n"/>
      <c r="P88" s="16">
        <f>IF(O88="","",IF(O88&lt;&gt;N88,"Sim","NÃO"))</f>
        <v/>
      </c>
      <c r="Q88" s="16">
        <f>IF(A88="","",IF(K88="Sim","Não – critério",IF(AND(ISNUMBER(F88),ABS(F88)&lt;=Parametros!$B$3),"Não – dentro da tolerância",IF(P88="Sim","Sim","Aguarda revisão"))))</f>
        <v/>
      </c>
    </row>
    <row r="89">
      <c r="A89" s="15" t="n"/>
      <c r="B89" s="15" t="n"/>
      <c r="C89" s="15" t="n"/>
      <c r="D89" s="24" t="n"/>
      <c r="E89" s="24" t="n"/>
      <c r="F89" s="22">
        <f>IF(OR(D89="",E89=""),"",D89-E89)</f>
        <v/>
      </c>
      <c r="G89" s="23">
        <f>IF(OR(D89="",E89="",E89=0),"",(D89-E89)/E89)</f>
        <v/>
      </c>
      <c r="H89" s="15" t="n"/>
      <c r="I89" s="15" t="n"/>
      <c r="J89" s="18" t="n"/>
      <c r="K89" s="15" t="n"/>
      <c r="L89" s="15" t="n"/>
      <c r="M89" s="15" t="n"/>
      <c r="N89" s="15" t="n"/>
      <c r="O89" s="15" t="n"/>
      <c r="P89" s="16">
        <f>IF(O89="","",IF(O89&lt;&gt;N89,"Sim","NÃO"))</f>
        <v/>
      </c>
      <c r="Q89" s="16">
        <f>IF(A89="","",IF(K89="Sim","Não – critério",IF(AND(ISNUMBER(F89),ABS(F89)&lt;=Parametros!$B$3),"Não – dentro da tolerância",IF(P89="Sim","Sim","Aguarda revisão"))))</f>
        <v/>
      </c>
    </row>
    <row r="90">
      <c r="A90" s="15" t="n"/>
      <c r="B90" s="15" t="n"/>
      <c r="C90" s="15" t="n"/>
      <c r="D90" s="24" t="n"/>
      <c r="E90" s="24" t="n"/>
      <c r="F90" s="22">
        <f>IF(OR(D90="",E90=""),"",D90-E90)</f>
        <v/>
      </c>
      <c r="G90" s="23">
        <f>IF(OR(D90="",E90="",E90=0),"",(D90-E90)/E90)</f>
        <v/>
      </c>
      <c r="H90" s="15" t="n"/>
      <c r="I90" s="15" t="n"/>
      <c r="J90" s="18" t="n"/>
      <c r="K90" s="15" t="n"/>
      <c r="L90" s="15" t="n"/>
      <c r="M90" s="15" t="n"/>
      <c r="N90" s="15" t="n"/>
      <c r="O90" s="15" t="n"/>
      <c r="P90" s="16">
        <f>IF(O90="","",IF(O90&lt;&gt;N90,"Sim","NÃO"))</f>
        <v/>
      </c>
      <c r="Q90" s="16">
        <f>IF(A90="","",IF(K90="Sim","Não – critério",IF(AND(ISNUMBER(F90),ABS(F90)&lt;=Parametros!$B$3),"Não – dentro da tolerância",IF(P90="Sim","Sim","Aguarda revisão"))))</f>
        <v/>
      </c>
    </row>
    <row r="91">
      <c r="A91" s="15" t="n"/>
      <c r="B91" s="15" t="n"/>
      <c r="C91" s="15" t="n"/>
      <c r="D91" s="24" t="n"/>
      <c r="E91" s="24" t="n"/>
      <c r="F91" s="22">
        <f>IF(OR(D91="",E91=""),"",D91-E91)</f>
        <v/>
      </c>
      <c r="G91" s="23">
        <f>IF(OR(D91="",E91="",E91=0),"",(D91-E91)/E91)</f>
        <v/>
      </c>
      <c r="H91" s="15" t="n"/>
      <c r="I91" s="15" t="n"/>
      <c r="J91" s="18" t="n"/>
      <c r="K91" s="15" t="n"/>
      <c r="L91" s="15" t="n"/>
      <c r="M91" s="15" t="n"/>
      <c r="N91" s="15" t="n"/>
      <c r="O91" s="15" t="n"/>
      <c r="P91" s="16">
        <f>IF(O91="","",IF(O91&lt;&gt;N91,"Sim","NÃO"))</f>
        <v/>
      </c>
      <c r="Q91" s="16">
        <f>IF(A91="","",IF(K91="Sim","Não – critério",IF(AND(ISNUMBER(F91),ABS(F91)&lt;=Parametros!$B$3),"Não – dentro da tolerância",IF(P91="Sim","Sim","Aguarda revisão"))))</f>
        <v/>
      </c>
    </row>
    <row r="92">
      <c r="A92" s="15" t="n"/>
      <c r="B92" s="15" t="n"/>
      <c r="C92" s="15" t="n"/>
      <c r="D92" s="24" t="n"/>
      <c r="E92" s="24" t="n"/>
      <c r="F92" s="22">
        <f>IF(OR(D92="",E92=""),"",D92-E92)</f>
        <v/>
      </c>
      <c r="G92" s="23">
        <f>IF(OR(D92="",E92="",E92=0),"",(D92-E92)/E92)</f>
        <v/>
      </c>
      <c r="H92" s="15" t="n"/>
      <c r="I92" s="15" t="n"/>
      <c r="J92" s="18" t="n"/>
      <c r="K92" s="15" t="n"/>
      <c r="L92" s="15" t="n"/>
      <c r="M92" s="15" t="n"/>
      <c r="N92" s="15" t="n"/>
      <c r="O92" s="15" t="n"/>
      <c r="P92" s="16">
        <f>IF(O92="","",IF(O92&lt;&gt;N92,"Sim","NÃO"))</f>
        <v/>
      </c>
      <c r="Q92" s="16">
        <f>IF(A92="","",IF(K92="Sim","Não – critério",IF(AND(ISNUMBER(F92),ABS(F92)&lt;=Parametros!$B$3),"Não – dentro da tolerância",IF(P92="Sim","Sim","Aguarda revisão"))))</f>
        <v/>
      </c>
    </row>
    <row r="93">
      <c r="A93" s="15" t="n"/>
      <c r="B93" s="15" t="n"/>
      <c r="C93" s="15" t="n"/>
      <c r="D93" s="24" t="n"/>
      <c r="E93" s="24" t="n"/>
      <c r="F93" s="22">
        <f>IF(OR(D93="",E93=""),"",D93-E93)</f>
        <v/>
      </c>
      <c r="G93" s="23">
        <f>IF(OR(D93="",E93="",E93=0),"",(D93-E93)/E93)</f>
        <v/>
      </c>
      <c r="H93" s="15" t="n"/>
      <c r="I93" s="15" t="n"/>
      <c r="J93" s="18" t="n"/>
      <c r="K93" s="15" t="n"/>
      <c r="L93" s="15" t="n"/>
      <c r="M93" s="15" t="n"/>
      <c r="N93" s="15" t="n"/>
      <c r="O93" s="15" t="n"/>
      <c r="P93" s="16">
        <f>IF(O93="","",IF(O93&lt;&gt;N93,"Sim","NÃO"))</f>
        <v/>
      </c>
      <c r="Q93" s="16">
        <f>IF(A93="","",IF(K93="Sim","Não – critério",IF(AND(ISNUMBER(F93),ABS(F93)&lt;=Parametros!$B$3),"Não – dentro da tolerância",IF(P93="Sim","Sim","Aguarda revisão"))))</f>
        <v/>
      </c>
    </row>
    <row r="94">
      <c r="A94" s="15" t="n"/>
      <c r="B94" s="15" t="n"/>
      <c r="C94" s="15" t="n"/>
      <c r="D94" s="24" t="n"/>
      <c r="E94" s="24" t="n"/>
      <c r="F94" s="22">
        <f>IF(OR(D94="",E94=""),"",D94-E94)</f>
        <v/>
      </c>
      <c r="G94" s="23">
        <f>IF(OR(D94="",E94="",E94=0),"",(D94-E94)/E94)</f>
        <v/>
      </c>
      <c r="H94" s="15" t="n"/>
      <c r="I94" s="15" t="n"/>
      <c r="J94" s="18" t="n"/>
      <c r="K94" s="15" t="n"/>
      <c r="L94" s="15" t="n"/>
      <c r="M94" s="15" t="n"/>
      <c r="N94" s="15" t="n"/>
      <c r="O94" s="15" t="n"/>
      <c r="P94" s="16">
        <f>IF(O94="","",IF(O94&lt;&gt;N94,"Sim","NÃO"))</f>
        <v/>
      </c>
      <c r="Q94" s="16">
        <f>IF(A94="","",IF(K94="Sim","Não – critério",IF(AND(ISNUMBER(F94),ABS(F94)&lt;=Parametros!$B$3),"Não – dentro da tolerância",IF(P94="Sim","Sim","Aguarda revisão"))))</f>
        <v/>
      </c>
    </row>
    <row r="95">
      <c r="A95" s="15" t="n"/>
      <c r="B95" s="15" t="n"/>
      <c r="C95" s="15" t="n"/>
      <c r="D95" s="24" t="n"/>
      <c r="E95" s="24" t="n"/>
      <c r="F95" s="22">
        <f>IF(OR(D95="",E95=""),"",D95-E95)</f>
        <v/>
      </c>
      <c r="G95" s="23">
        <f>IF(OR(D95="",E95="",E95=0),"",(D95-E95)/E95)</f>
        <v/>
      </c>
      <c r="H95" s="15" t="n"/>
      <c r="I95" s="15" t="n"/>
      <c r="J95" s="18" t="n"/>
      <c r="K95" s="15" t="n"/>
      <c r="L95" s="15" t="n"/>
      <c r="M95" s="15" t="n"/>
      <c r="N95" s="15" t="n"/>
      <c r="O95" s="15" t="n"/>
      <c r="P95" s="16">
        <f>IF(O95="","",IF(O95&lt;&gt;N95,"Sim","NÃO"))</f>
        <v/>
      </c>
      <c r="Q95" s="16">
        <f>IF(A95="","",IF(K95="Sim","Não – critério",IF(AND(ISNUMBER(F95),ABS(F95)&lt;=Parametros!$B$3),"Não – dentro da tolerância",IF(P95="Sim","Sim","Aguarda revisão"))))</f>
        <v/>
      </c>
    </row>
    <row r="96">
      <c r="A96" s="15" t="n"/>
      <c r="B96" s="15" t="n"/>
      <c r="C96" s="15" t="n"/>
      <c r="D96" s="24" t="n"/>
      <c r="E96" s="24" t="n"/>
      <c r="F96" s="22">
        <f>IF(OR(D96="",E96=""),"",D96-E96)</f>
        <v/>
      </c>
      <c r="G96" s="23">
        <f>IF(OR(D96="",E96="",E96=0),"",(D96-E96)/E96)</f>
        <v/>
      </c>
      <c r="H96" s="15" t="n"/>
      <c r="I96" s="15" t="n"/>
      <c r="J96" s="18" t="n"/>
      <c r="K96" s="15" t="n"/>
      <c r="L96" s="15" t="n"/>
      <c r="M96" s="15" t="n"/>
      <c r="N96" s="15" t="n"/>
      <c r="O96" s="15" t="n"/>
      <c r="P96" s="16">
        <f>IF(O96="","",IF(O96&lt;&gt;N96,"Sim","NÃO"))</f>
        <v/>
      </c>
      <c r="Q96" s="16">
        <f>IF(A96="","",IF(K96="Sim","Não – critério",IF(AND(ISNUMBER(F96),ABS(F96)&lt;=Parametros!$B$3),"Não – dentro da tolerância",IF(P96="Sim","Sim","Aguarda revisão"))))</f>
        <v/>
      </c>
    </row>
    <row r="97">
      <c r="A97" s="15" t="n"/>
      <c r="B97" s="15" t="n"/>
      <c r="C97" s="15" t="n"/>
      <c r="D97" s="24" t="n"/>
      <c r="E97" s="24" t="n"/>
      <c r="F97" s="22">
        <f>IF(OR(D97="",E97=""),"",D97-E97)</f>
        <v/>
      </c>
      <c r="G97" s="23">
        <f>IF(OR(D97="",E97="",E97=0),"",(D97-E97)/E97)</f>
        <v/>
      </c>
      <c r="H97" s="15" t="n"/>
      <c r="I97" s="15" t="n"/>
      <c r="J97" s="18" t="n"/>
      <c r="K97" s="15" t="n"/>
      <c r="L97" s="15" t="n"/>
      <c r="M97" s="15" t="n"/>
      <c r="N97" s="15" t="n"/>
      <c r="O97" s="15" t="n"/>
      <c r="P97" s="16">
        <f>IF(O97="","",IF(O97&lt;&gt;N97,"Sim","NÃO"))</f>
        <v/>
      </c>
      <c r="Q97" s="16">
        <f>IF(A97="","",IF(K97="Sim","Não – critério",IF(AND(ISNUMBER(F97),ABS(F97)&lt;=Parametros!$B$3),"Não – dentro da tolerância",IF(P97="Sim","Sim","Aguarda revisão"))))</f>
        <v/>
      </c>
    </row>
    <row r="98">
      <c r="A98" s="15" t="n"/>
      <c r="B98" s="15" t="n"/>
      <c r="C98" s="15" t="n"/>
      <c r="D98" s="24" t="n"/>
      <c r="E98" s="24" t="n"/>
      <c r="F98" s="22">
        <f>IF(OR(D98="",E98=""),"",D98-E98)</f>
        <v/>
      </c>
      <c r="G98" s="23">
        <f>IF(OR(D98="",E98="",E98=0),"",(D98-E98)/E98)</f>
        <v/>
      </c>
      <c r="H98" s="15" t="n"/>
      <c r="I98" s="15" t="n"/>
      <c r="J98" s="18" t="n"/>
      <c r="K98" s="15" t="n"/>
      <c r="L98" s="15" t="n"/>
      <c r="M98" s="15" t="n"/>
      <c r="N98" s="15" t="n"/>
      <c r="O98" s="15" t="n"/>
      <c r="P98" s="16">
        <f>IF(O98="","",IF(O98&lt;&gt;N98,"Sim","NÃO"))</f>
        <v/>
      </c>
      <c r="Q98" s="16">
        <f>IF(A98="","",IF(K98="Sim","Não – critério",IF(AND(ISNUMBER(F98),ABS(F98)&lt;=Parametros!$B$3),"Não – dentro da tolerância",IF(P98="Sim","Sim","Aguarda revisão"))))</f>
        <v/>
      </c>
    </row>
    <row r="99">
      <c r="A99" s="15" t="n"/>
      <c r="B99" s="15" t="n"/>
      <c r="C99" s="15" t="n"/>
      <c r="D99" s="24" t="n"/>
      <c r="E99" s="24" t="n"/>
      <c r="F99" s="22">
        <f>IF(OR(D99="",E99=""),"",D99-E99)</f>
        <v/>
      </c>
      <c r="G99" s="23">
        <f>IF(OR(D99="",E99="",E99=0),"",(D99-E99)/E99)</f>
        <v/>
      </c>
      <c r="H99" s="15" t="n"/>
      <c r="I99" s="15" t="n"/>
      <c r="J99" s="18" t="n"/>
      <c r="K99" s="15" t="n"/>
      <c r="L99" s="15" t="n"/>
      <c r="M99" s="15" t="n"/>
      <c r="N99" s="15" t="n"/>
      <c r="O99" s="15" t="n"/>
      <c r="P99" s="16">
        <f>IF(O99="","",IF(O99&lt;&gt;N99,"Sim","NÃO"))</f>
        <v/>
      </c>
      <c r="Q99" s="16">
        <f>IF(A99="","",IF(K99="Sim","Não – critério",IF(AND(ISNUMBER(F99),ABS(F99)&lt;=Parametros!$B$3),"Não – dentro da tolerância",IF(P99="Sim","Sim","Aguarda revisão"))))</f>
        <v/>
      </c>
    </row>
    <row r="100">
      <c r="A100" s="15" t="n"/>
      <c r="B100" s="15" t="n"/>
      <c r="C100" s="15" t="n"/>
      <c r="D100" s="24" t="n"/>
      <c r="E100" s="24" t="n"/>
      <c r="F100" s="22">
        <f>IF(OR(D100="",E100=""),"",D100-E100)</f>
        <v/>
      </c>
      <c r="G100" s="23">
        <f>IF(OR(D100="",E100="",E100=0),"",(D100-E100)/E100)</f>
        <v/>
      </c>
      <c r="H100" s="15" t="n"/>
      <c r="I100" s="15" t="n"/>
      <c r="J100" s="18" t="n"/>
      <c r="K100" s="15" t="n"/>
      <c r="L100" s="15" t="n"/>
      <c r="M100" s="15" t="n"/>
      <c r="N100" s="15" t="n"/>
      <c r="O100" s="15" t="n"/>
      <c r="P100" s="16">
        <f>IF(O100="","",IF(O100&lt;&gt;N100,"Sim","NÃO"))</f>
        <v/>
      </c>
      <c r="Q100" s="16">
        <f>IF(A100="","",IF(K100="Sim","Não – critério",IF(AND(ISNUMBER(F100),ABS(F100)&lt;=Parametros!$B$3),"Não – dentro da tolerância",IF(P100="Sim","Sim","Aguarda revisão"))))</f>
        <v/>
      </c>
    </row>
    <row r="101">
      <c r="A101" s="15" t="n"/>
      <c r="B101" s="15" t="n"/>
      <c r="C101" s="15" t="n"/>
      <c r="D101" s="24" t="n"/>
      <c r="E101" s="24" t="n"/>
      <c r="F101" s="22">
        <f>IF(OR(D101="",E101=""),"",D101-E101)</f>
        <v/>
      </c>
      <c r="G101" s="23">
        <f>IF(OR(D101="",E101="",E101=0),"",(D101-E101)/E101)</f>
        <v/>
      </c>
      <c r="H101" s="15" t="n"/>
      <c r="I101" s="15" t="n"/>
      <c r="J101" s="18" t="n"/>
      <c r="K101" s="15" t="n"/>
      <c r="L101" s="15" t="n"/>
      <c r="M101" s="15" t="n"/>
      <c r="N101" s="15" t="n"/>
      <c r="O101" s="15" t="n"/>
      <c r="P101" s="16">
        <f>IF(O101="","",IF(O101&lt;&gt;N101,"Sim","NÃO"))</f>
        <v/>
      </c>
      <c r="Q101" s="16">
        <f>IF(A101="","",IF(K101="Sim","Não – critério",IF(AND(ISNUMBER(F101),ABS(F101)&lt;=Parametros!$B$3),"Não – dentro da tolerância",IF(P101="Sim","Sim","Aguarda revisão"))))</f>
        <v/>
      </c>
    </row>
    <row r="102">
      <c r="A102" s="15" t="n"/>
      <c r="B102" s="15" t="n"/>
      <c r="C102" s="15" t="n"/>
      <c r="D102" s="24" t="n"/>
      <c r="E102" s="24" t="n"/>
      <c r="F102" s="22">
        <f>IF(OR(D102="",E102=""),"",D102-E102)</f>
        <v/>
      </c>
      <c r="G102" s="23">
        <f>IF(OR(D102="",E102="",E102=0),"",(D102-E102)/E102)</f>
        <v/>
      </c>
      <c r="H102" s="15" t="n"/>
      <c r="I102" s="15" t="n"/>
      <c r="J102" s="18" t="n"/>
      <c r="K102" s="15" t="n"/>
      <c r="L102" s="15" t="n"/>
      <c r="M102" s="15" t="n"/>
      <c r="N102" s="15" t="n"/>
      <c r="O102" s="15" t="n"/>
      <c r="P102" s="16">
        <f>IF(O102="","",IF(O102&lt;&gt;N102,"Sim","NÃO"))</f>
        <v/>
      </c>
      <c r="Q102" s="16">
        <f>IF(A102="","",IF(K102="Sim","Não – critério",IF(AND(ISNUMBER(F102),ABS(F102)&lt;=Parametros!$B$3),"Não – dentro da tolerância",IF(P102="Sim","Sim","Aguarda revisão"))))</f>
        <v/>
      </c>
    </row>
    <row r="103">
      <c r="A103" s="15" t="n"/>
      <c r="B103" s="15" t="n"/>
      <c r="C103" s="15" t="n"/>
      <c r="D103" s="24" t="n"/>
      <c r="E103" s="24" t="n"/>
      <c r="F103" s="22">
        <f>IF(OR(D103="",E103=""),"",D103-E103)</f>
        <v/>
      </c>
      <c r="G103" s="23">
        <f>IF(OR(D103="",E103="",E103=0),"",(D103-E103)/E103)</f>
        <v/>
      </c>
      <c r="H103" s="15" t="n"/>
      <c r="I103" s="15" t="n"/>
      <c r="J103" s="18" t="n"/>
      <c r="K103" s="15" t="n"/>
      <c r="L103" s="15" t="n"/>
      <c r="M103" s="15" t="n"/>
      <c r="N103" s="15" t="n"/>
      <c r="O103" s="15" t="n"/>
      <c r="P103" s="16">
        <f>IF(O103="","",IF(O103&lt;&gt;N103,"Sim","NÃO"))</f>
        <v/>
      </c>
      <c r="Q103" s="16">
        <f>IF(A103="","",IF(K103="Sim","Não – critério",IF(AND(ISNUMBER(F103),ABS(F103)&lt;=Parametros!$B$3),"Não – dentro da tolerância",IF(P103="Sim","Sim","Aguarda revisão"))))</f>
        <v/>
      </c>
    </row>
    <row r="104">
      <c r="A104" s="15" t="n"/>
      <c r="B104" s="15" t="n"/>
      <c r="C104" s="15" t="n"/>
      <c r="D104" s="24" t="n"/>
      <c r="E104" s="24" t="n"/>
      <c r="F104" s="22">
        <f>IF(OR(D104="",E104=""),"",D104-E104)</f>
        <v/>
      </c>
      <c r="G104" s="23">
        <f>IF(OR(D104="",E104="",E104=0),"",(D104-E104)/E104)</f>
        <v/>
      </c>
      <c r="H104" s="15" t="n"/>
      <c r="I104" s="15" t="n"/>
      <c r="J104" s="18" t="n"/>
      <c r="K104" s="15" t="n"/>
      <c r="L104" s="15" t="n"/>
      <c r="M104" s="15" t="n"/>
      <c r="N104" s="15" t="n"/>
      <c r="O104" s="15" t="n"/>
      <c r="P104" s="16">
        <f>IF(O104="","",IF(O104&lt;&gt;N104,"Sim","NÃO"))</f>
        <v/>
      </c>
      <c r="Q104" s="16">
        <f>IF(A104="","",IF(K104="Sim","Não – critério",IF(AND(ISNUMBER(F104),ABS(F104)&lt;=Parametros!$B$3),"Não – dentro da tolerância",IF(P104="Sim","Sim","Aguarda revisão"))))</f>
        <v/>
      </c>
    </row>
    <row r="105">
      <c r="A105" s="15" t="n"/>
      <c r="B105" s="15" t="n"/>
      <c r="C105" s="15" t="n"/>
      <c r="D105" s="24" t="n"/>
      <c r="E105" s="24" t="n"/>
      <c r="F105" s="22">
        <f>IF(OR(D105="",E105=""),"",D105-E105)</f>
        <v/>
      </c>
      <c r="G105" s="23">
        <f>IF(OR(D105="",E105="",E105=0),"",(D105-E105)/E105)</f>
        <v/>
      </c>
      <c r="H105" s="15" t="n"/>
      <c r="I105" s="15" t="n"/>
      <c r="J105" s="18" t="n"/>
      <c r="K105" s="15" t="n"/>
      <c r="L105" s="15" t="n"/>
      <c r="M105" s="15" t="n"/>
      <c r="N105" s="15" t="n"/>
      <c r="O105" s="15" t="n"/>
      <c r="P105" s="16">
        <f>IF(O105="","",IF(O105&lt;&gt;N105,"Sim","NÃO"))</f>
        <v/>
      </c>
      <c r="Q105" s="16">
        <f>IF(A105="","",IF(K105="Sim","Não – critério",IF(AND(ISNUMBER(F105),ABS(F105)&lt;=Parametros!$B$3),"Não – dentro da tolerância",IF(P105="Sim","Sim","Aguarda revisão"))))</f>
        <v/>
      </c>
    </row>
    <row r="106">
      <c r="A106" s="15" t="n"/>
      <c r="B106" s="15" t="n"/>
      <c r="C106" s="15" t="n"/>
      <c r="D106" s="24" t="n"/>
      <c r="E106" s="24" t="n"/>
      <c r="F106" s="22">
        <f>IF(OR(D106="",E106=""),"",D106-E106)</f>
        <v/>
      </c>
      <c r="G106" s="23">
        <f>IF(OR(D106="",E106="",E106=0),"",(D106-E106)/E106)</f>
        <v/>
      </c>
      <c r="H106" s="15" t="n"/>
      <c r="I106" s="15" t="n"/>
      <c r="J106" s="18" t="n"/>
      <c r="K106" s="15" t="n"/>
      <c r="L106" s="15" t="n"/>
      <c r="M106" s="15" t="n"/>
      <c r="N106" s="15" t="n"/>
      <c r="O106" s="15" t="n"/>
      <c r="P106" s="16">
        <f>IF(O106="","",IF(O106&lt;&gt;N106,"Sim","NÃO"))</f>
        <v/>
      </c>
      <c r="Q106" s="16">
        <f>IF(A106="","",IF(K106="Sim","Não – critério",IF(AND(ISNUMBER(F106),ABS(F106)&lt;=Parametros!$B$3),"Não – dentro da tolerância",IF(P106="Sim","Sim","Aguarda revisão"))))</f>
        <v/>
      </c>
    </row>
    <row r="107">
      <c r="A107" s="15" t="n"/>
      <c r="B107" s="15" t="n"/>
      <c r="C107" s="15" t="n"/>
      <c r="D107" s="24" t="n"/>
      <c r="E107" s="24" t="n"/>
      <c r="F107" s="22">
        <f>IF(OR(D107="",E107=""),"",D107-E107)</f>
        <v/>
      </c>
      <c r="G107" s="23">
        <f>IF(OR(D107="",E107="",E107=0),"",(D107-E107)/E107)</f>
        <v/>
      </c>
      <c r="H107" s="15" t="n"/>
      <c r="I107" s="15" t="n"/>
      <c r="J107" s="18" t="n"/>
      <c r="K107" s="15" t="n"/>
      <c r="L107" s="15" t="n"/>
      <c r="M107" s="15" t="n"/>
      <c r="N107" s="15" t="n"/>
      <c r="O107" s="15" t="n"/>
      <c r="P107" s="16">
        <f>IF(O107="","",IF(O107&lt;&gt;N107,"Sim","NÃO"))</f>
        <v/>
      </c>
      <c r="Q107" s="16">
        <f>IF(A107="","",IF(K107="Sim","Não – critério",IF(AND(ISNUMBER(F107),ABS(F107)&lt;=Parametros!$B$3),"Não – dentro da tolerância",IF(P107="Sim","Sim","Aguarda revisão"))))</f>
        <v/>
      </c>
    </row>
    <row r="108">
      <c r="A108" s="15" t="n"/>
      <c r="B108" s="15" t="n"/>
      <c r="C108" s="15" t="n"/>
      <c r="D108" s="24" t="n"/>
      <c r="E108" s="24" t="n"/>
      <c r="F108" s="22">
        <f>IF(OR(D108="",E108=""),"",D108-E108)</f>
        <v/>
      </c>
      <c r="G108" s="23">
        <f>IF(OR(D108="",E108="",E108=0),"",(D108-E108)/E108)</f>
        <v/>
      </c>
      <c r="H108" s="15" t="n"/>
      <c r="I108" s="15" t="n"/>
      <c r="J108" s="18" t="n"/>
      <c r="K108" s="15" t="n"/>
      <c r="L108" s="15" t="n"/>
      <c r="M108" s="15" t="n"/>
      <c r="N108" s="15" t="n"/>
      <c r="O108" s="15" t="n"/>
      <c r="P108" s="16">
        <f>IF(O108="","",IF(O108&lt;&gt;N108,"Sim","NÃO"))</f>
        <v/>
      </c>
      <c r="Q108" s="16">
        <f>IF(A108="","",IF(K108="Sim","Não – critério",IF(AND(ISNUMBER(F108),ABS(F108)&lt;=Parametros!$B$3),"Não – dentro da tolerância",IF(P108="Sim","Sim","Aguarda revisão"))))</f>
        <v/>
      </c>
    </row>
    <row r="109">
      <c r="A109" s="15" t="n"/>
      <c r="B109" s="15" t="n"/>
      <c r="C109" s="15" t="n"/>
      <c r="D109" s="24" t="n"/>
      <c r="E109" s="24" t="n"/>
      <c r="F109" s="22">
        <f>IF(OR(D109="",E109=""),"",D109-E109)</f>
        <v/>
      </c>
      <c r="G109" s="23">
        <f>IF(OR(D109="",E109="",E109=0),"",(D109-E109)/E109)</f>
        <v/>
      </c>
      <c r="H109" s="15" t="n"/>
      <c r="I109" s="15" t="n"/>
      <c r="J109" s="18" t="n"/>
      <c r="K109" s="15" t="n"/>
      <c r="L109" s="15" t="n"/>
      <c r="M109" s="15" t="n"/>
      <c r="N109" s="15" t="n"/>
      <c r="O109" s="15" t="n"/>
      <c r="P109" s="16">
        <f>IF(O109="","",IF(O109&lt;&gt;N109,"Sim","NÃO"))</f>
        <v/>
      </c>
      <c r="Q109" s="16">
        <f>IF(A109="","",IF(K109="Sim","Não – critério",IF(AND(ISNUMBER(F109),ABS(F109)&lt;=Parametros!$B$3),"Não – dentro da tolerância",IF(P109="Sim","Sim","Aguarda revisão"))))</f>
        <v/>
      </c>
    </row>
    <row r="110">
      <c r="A110" s="15" t="n"/>
      <c r="B110" s="15" t="n"/>
      <c r="C110" s="15" t="n"/>
      <c r="D110" s="24" t="n"/>
      <c r="E110" s="24" t="n"/>
      <c r="F110" s="22">
        <f>IF(OR(D110="",E110=""),"",D110-E110)</f>
        <v/>
      </c>
      <c r="G110" s="23">
        <f>IF(OR(D110="",E110="",E110=0),"",(D110-E110)/E110)</f>
        <v/>
      </c>
      <c r="H110" s="15" t="n"/>
      <c r="I110" s="15" t="n"/>
      <c r="J110" s="18" t="n"/>
      <c r="K110" s="15" t="n"/>
      <c r="L110" s="15" t="n"/>
      <c r="M110" s="15" t="n"/>
      <c r="N110" s="15" t="n"/>
      <c r="O110" s="15" t="n"/>
      <c r="P110" s="16">
        <f>IF(O110="","",IF(O110&lt;&gt;N110,"Sim","NÃO"))</f>
        <v/>
      </c>
      <c r="Q110" s="16">
        <f>IF(A110="","",IF(K110="Sim","Não – critério",IF(AND(ISNUMBER(F110),ABS(F110)&lt;=Parametros!$B$3),"Não – dentro da tolerância",IF(P110="Sim","Sim","Aguarda revisão"))))</f>
        <v/>
      </c>
    </row>
    <row r="111">
      <c r="A111" s="15" t="n"/>
      <c r="B111" s="15" t="n"/>
      <c r="C111" s="15" t="n"/>
      <c r="D111" s="24" t="n"/>
      <c r="E111" s="24" t="n"/>
      <c r="F111" s="22">
        <f>IF(OR(D111="",E111=""),"",D111-E111)</f>
        <v/>
      </c>
      <c r="G111" s="23">
        <f>IF(OR(D111="",E111="",E111=0),"",(D111-E111)/E111)</f>
        <v/>
      </c>
      <c r="H111" s="15" t="n"/>
      <c r="I111" s="15" t="n"/>
      <c r="J111" s="18" t="n"/>
      <c r="K111" s="15" t="n"/>
      <c r="L111" s="15" t="n"/>
      <c r="M111" s="15" t="n"/>
      <c r="N111" s="15" t="n"/>
      <c r="O111" s="15" t="n"/>
      <c r="P111" s="16">
        <f>IF(O111="","",IF(O111&lt;&gt;N111,"Sim","NÃO"))</f>
        <v/>
      </c>
      <c r="Q111" s="16">
        <f>IF(A111="","",IF(K111="Sim","Não – critério",IF(AND(ISNUMBER(F111),ABS(F111)&lt;=Parametros!$B$3),"Não – dentro da tolerância",IF(P111="Sim","Sim","Aguarda revisão"))))</f>
        <v/>
      </c>
    </row>
    <row r="112">
      <c r="A112" s="15" t="n"/>
      <c r="B112" s="15" t="n"/>
      <c r="C112" s="15" t="n"/>
      <c r="D112" s="24" t="n"/>
      <c r="E112" s="24" t="n"/>
      <c r="F112" s="22">
        <f>IF(OR(D112="",E112=""),"",D112-E112)</f>
        <v/>
      </c>
      <c r="G112" s="23">
        <f>IF(OR(D112="",E112="",E112=0),"",(D112-E112)/E112)</f>
        <v/>
      </c>
      <c r="H112" s="15" t="n"/>
      <c r="I112" s="15" t="n"/>
      <c r="J112" s="18" t="n"/>
      <c r="K112" s="15" t="n"/>
      <c r="L112" s="15" t="n"/>
      <c r="M112" s="15" t="n"/>
      <c r="N112" s="15" t="n"/>
      <c r="O112" s="15" t="n"/>
      <c r="P112" s="16">
        <f>IF(O112="","",IF(O112&lt;&gt;N112,"Sim","NÃO"))</f>
        <v/>
      </c>
      <c r="Q112" s="16">
        <f>IF(A112="","",IF(K112="Sim","Não – critério",IF(AND(ISNUMBER(F112),ABS(F112)&lt;=Parametros!$B$3),"Não – dentro da tolerância",IF(P112="Sim","Sim","Aguarda revisão"))))</f>
        <v/>
      </c>
    </row>
    <row r="113">
      <c r="A113" s="15" t="n"/>
      <c r="B113" s="15" t="n"/>
      <c r="C113" s="15" t="n"/>
      <c r="D113" s="24" t="n"/>
      <c r="E113" s="24" t="n"/>
      <c r="F113" s="22">
        <f>IF(OR(D113="",E113=""),"",D113-E113)</f>
        <v/>
      </c>
      <c r="G113" s="23">
        <f>IF(OR(D113="",E113="",E113=0),"",(D113-E113)/E113)</f>
        <v/>
      </c>
      <c r="H113" s="15" t="n"/>
      <c r="I113" s="15" t="n"/>
      <c r="J113" s="18" t="n"/>
      <c r="K113" s="15" t="n"/>
      <c r="L113" s="15" t="n"/>
      <c r="M113" s="15" t="n"/>
      <c r="N113" s="15" t="n"/>
      <c r="O113" s="15" t="n"/>
      <c r="P113" s="16">
        <f>IF(O113="","",IF(O113&lt;&gt;N113,"Sim","NÃO"))</f>
        <v/>
      </c>
      <c r="Q113" s="16">
        <f>IF(A113="","",IF(K113="Sim","Não – critério",IF(AND(ISNUMBER(F113),ABS(F113)&lt;=Parametros!$B$3),"Não – dentro da tolerância",IF(P113="Sim","Sim","Aguarda revisão"))))</f>
        <v/>
      </c>
    </row>
    <row r="114">
      <c r="A114" s="15" t="n"/>
      <c r="B114" s="15" t="n"/>
      <c r="C114" s="15" t="n"/>
      <c r="D114" s="24" t="n"/>
      <c r="E114" s="24" t="n"/>
      <c r="F114" s="22">
        <f>IF(OR(D114="",E114=""),"",D114-E114)</f>
        <v/>
      </c>
      <c r="G114" s="23">
        <f>IF(OR(D114="",E114="",E114=0),"",(D114-E114)/E114)</f>
        <v/>
      </c>
      <c r="H114" s="15" t="n"/>
      <c r="I114" s="15" t="n"/>
      <c r="J114" s="18" t="n"/>
      <c r="K114" s="15" t="n"/>
      <c r="L114" s="15" t="n"/>
      <c r="M114" s="15" t="n"/>
      <c r="N114" s="15" t="n"/>
      <c r="O114" s="15" t="n"/>
      <c r="P114" s="16">
        <f>IF(O114="","",IF(O114&lt;&gt;N114,"Sim","NÃO"))</f>
        <v/>
      </c>
      <c r="Q114" s="16">
        <f>IF(A114="","",IF(K114="Sim","Não – critério",IF(AND(ISNUMBER(F114),ABS(F114)&lt;=Parametros!$B$3),"Não – dentro da tolerância",IF(P114="Sim","Sim","Aguarda revisão"))))</f>
        <v/>
      </c>
    </row>
    <row r="115">
      <c r="A115" s="15" t="n"/>
      <c r="B115" s="15" t="n"/>
      <c r="C115" s="15" t="n"/>
      <c r="D115" s="24" t="n"/>
      <c r="E115" s="24" t="n"/>
      <c r="F115" s="22">
        <f>IF(OR(D115="",E115=""),"",D115-E115)</f>
        <v/>
      </c>
      <c r="G115" s="23">
        <f>IF(OR(D115="",E115="",E115=0),"",(D115-E115)/E115)</f>
        <v/>
      </c>
      <c r="H115" s="15" t="n"/>
      <c r="I115" s="15" t="n"/>
      <c r="J115" s="18" t="n"/>
      <c r="K115" s="15" t="n"/>
      <c r="L115" s="15" t="n"/>
      <c r="M115" s="15" t="n"/>
      <c r="N115" s="15" t="n"/>
      <c r="O115" s="15" t="n"/>
      <c r="P115" s="16">
        <f>IF(O115="","",IF(O115&lt;&gt;N115,"Sim","NÃO"))</f>
        <v/>
      </c>
      <c r="Q115" s="16">
        <f>IF(A115="","",IF(K115="Sim","Não – critério",IF(AND(ISNUMBER(F115),ABS(F115)&lt;=Parametros!$B$3),"Não – dentro da tolerância",IF(P115="Sim","Sim","Aguarda revisão"))))</f>
        <v/>
      </c>
    </row>
    <row r="116">
      <c r="A116" s="15" t="n"/>
      <c r="B116" s="15" t="n"/>
      <c r="C116" s="15" t="n"/>
      <c r="D116" s="24" t="n"/>
      <c r="E116" s="24" t="n"/>
      <c r="F116" s="22">
        <f>IF(OR(D116="",E116=""),"",D116-E116)</f>
        <v/>
      </c>
      <c r="G116" s="23">
        <f>IF(OR(D116="",E116="",E116=0),"",(D116-E116)/E116)</f>
        <v/>
      </c>
      <c r="H116" s="15" t="n"/>
      <c r="I116" s="15" t="n"/>
      <c r="J116" s="18" t="n"/>
      <c r="K116" s="15" t="n"/>
      <c r="L116" s="15" t="n"/>
      <c r="M116" s="15" t="n"/>
      <c r="N116" s="15" t="n"/>
      <c r="O116" s="15" t="n"/>
      <c r="P116" s="16">
        <f>IF(O116="","",IF(O116&lt;&gt;N116,"Sim","NÃO"))</f>
        <v/>
      </c>
      <c r="Q116" s="16">
        <f>IF(A116="","",IF(K116="Sim","Não – critério",IF(AND(ISNUMBER(F116),ABS(F116)&lt;=Parametros!$B$3),"Não – dentro da tolerância",IF(P116="Sim","Sim","Aguarda revisão"))))</f>
        <v/>
      </c>
    </row>
    <row r="117">
      <c r="A117" s="15" t="n"/>
      <c r="B117" s="15" t="n"/>
      <c r="C117" s="15" t="n"/>
      <c r="D117" s="24" t="n"/>
      <c r="E117" s="24" t="n"/>
      <c r="F117" s="22">
        <f>IF(OR(D117="",E117=""),"",D117-E117)</f>
        <v/>
      </c>
      <c r="G117" s="23">
        <f>IF(OR(D117="",E117="",E117=0),"",(D117-E117)/E117)</f>
        <v/>
      </c>
      <c r="H117" s="15" t="n"/>
      <c r="I117" s="15" t="n"/>
      <c r="J117" s="18" t="n"/>
      <c r="K117" s="15" t="n"/>
      <c r="L117" s="15" t="n"/>
      <c r="M117" s="15" t="n"/>
      <c r="N117" s="15" t="n"/>
      <c r="O117" s="15" t="n"/>
      <c r="P117" s="16">
        <f>IF(O117="","",IF(O117&lt;&gt;N117,"Sim","NÃO"))</f>
        <v/>
      </c>
      <c r="Q117" s="16">
        <f>IF(A117="","",IF(K117="Sim","Não – critério",IF(AND(ISNUMBER(F117),ABS(F117)&lt;=Parametros!$B$3),"Não – dentro da tolerância",IF(P117="Sim","Sim","Aguarda revisão"))))</f>
        <v/>
      </c>
    </row>
    <row r="118">
      <c r="A118" s="15" t="n"/>
      <c r="B118" s="15" t="n"/>
      <c r="C118" s="15" t="n"/>
      <c r="D118" s="24" t="n"/>
      <c r="E118" s="24" t="n"/>
      <c r="F118" s="22">
        <f>IF(OR(D118="",E118=""),"",D118-E118)</f>
        <v/>
      </c>
      <c r="G118" s="23">
        <f>IF(OR(D118="",E118="",E118=0),"",(D118-E118)/E118)</f>
        <v/>
      </c>
      <c r="H118" s="15" t="n"/>
      <c r="I118" s="15" t="n"/>
      <c r="J118" s="18" t="n"/>
      <c r="K118" s="15" t="n"/>
      <c r="L118" s="15" t="n"/>
      <c r="M118" s="15" t="n"/>
      <c r="N118" s="15" t="n"/>
      <c r="O118" s="15" t="n"/>
      <c r="P118" s="16">
        <f>IF(O118="","",IF(O118&lt;&gt;N118,"Sim","NÃO"))</f>
        <v/>
      </c>
      <c r="Q118" s="16">
        <f>IF(A118="","",IF(K118="Sim","Não – critério",IF(AND(ISNUMBER(F118),ABS(F118)&lt;=Parametros!$B$3),"Não – dentro da tolerância",IF(P118="Sim","Sim","Aguarda revisão"))))</f>
        <v/>
      </c>
    </row>
    <row r="119">
      <c r="A119" s="15" t="n"/>
      <c r="B119" s="15" t="n"/>
      <c r="C119" s="15" t="n"/>
      <c r="D119" s="24" t="n"/>
      <c r="E119" s="24" t="n"/>
      <c r="F119" s="22">
        <f>IF(OR(D119="",E119=""),"",D119-E119)</f>
        <v/>
      </c>
      <c r="G119" s="23">
        <f>IF(OR(D119="",E119="",E119=0),"",(D119-E119)/E119)</f>
        <v/>
      </c>
      <c r="H119" s="15" t="n"/>
      <c r="I119" s="15" t="n"/>
      <c r="J119" s="18" t="n"/>
      <c r="K119" s="15" t="n"/>
      <c r="L119" s="15" t="n"/>
      <c r="M119" s="15" t="n"/>
      <c r="N119" s="15" t="n"/>
      <c r="O119" s="15" t="n"/>
      <c r="P119" s="16">
        <f>IF(O119="","",IF(O119&lt;&gt;N119,"Sim","NÃO"))</f>
        <v/>
      </c>
      <c r="Q119" s="16">
        <f>IF(A119="","",IF(K119="Sim","Não – critério",IF(AND(ISNUMBER(F119),ABS(F119)&lt;=Parametros!$B$3),"Não – dentro da tolerância",IF(P119="Sim","Sim","Aguarda revisão"))))</f>
        <v/>
      </c>
    </row>
    <row r="120">
      <c r="A120" s="15" t="n"/>
      <c r="B120" s="15" t="n"/>
      <c r="C120" s="15" t="n"/>
      <c r="D120" s="24" t="n"/>
      <c r="E120" s="24" t="n"/>
      <c r="F120" s="22">
        <f>IF(OR(D120="",E120=""),"",D120-E120)</f>
        <v/>
      </c>
      <c r="G120" s="23">
        <f>IF(OR(D120="",E120="",E120=0),"",(D120-E120)/E120)</f>
        <v/>
      </c>
      <c r="H120" s="15" t="n"/>
      <c r="I120" s="15" t="n"/>
      <c r="J120" s="18" t="n"/>
      <c r="K120" s="15" t="n"/>
      <c r="L120" s="15" t="n"/>
      <c r="M120" s="15" t="n"/>
      <c r="N120" s="15" t="n"/>
      <c r="O120" s="15" t="n"/>
      <c r="P120" s="16">
        <f>IF(O120="","",IF(O120&lt;&gt;N120,"Sim","NÃO"))</f>
        <v/>
      </c>
      <c r="Q120" s="16">
        <f>IF(A120="","",IF(K120="Sim","Não – critério",IF(AND(ISNUMBER(F120),ABS(F120)&lt;=Parametros!$B$3),"Não – dentro da tolerância",IF(P120="Sim","Sim","Aguarda revisão"))))</f>
        <v/>
      </c>
    </row>
    <row r="121">
      <c r="A121" s="15" t="n"/>
      <c r="B121" s="15" t="n"/>
      <c r="C121" s="15" t="n"/>
      <c r="D121" s="24" t="n"/>
      <c r="E121" s="24" t="n"/>
      <c r="F121" s="22">
        <f>IF(OR(D121="",E121=""),"",D121-E121)</f>
        <v/>
      </c>
      <c r="G121" s="23">
        <f>IF(OR(D121="",E121="",E121=0),"",(D121-E121)/E121)</f>
        <v/>
      </c>
      <c r="H121" s="15" t="n"/>
      <c r="I121" s="15" t="n"/>
      <c r="J121" s="18" t="n"/>
      <c r="K121" s="15" t="n"/>
      <c r="L121" s="15" t="n"/>
      <c r="M121" s="15" t="n"/>
      <c r="N121" s="15" t="n"/>
      <c r="O121" s="15" t="n"/>
      <c r="P121" s="16">
        <f>IF(O121="","",IF(O121&lt;&gt;N121,"Sim","NÃO"))</f>
        <v/>
      </c>
      <c r="Q121" s="16">
        <f>IF(A121="","",IF(K121="Sim","Não – critério",IF(AND(ISNUMBER(F121),ABS(F121)&lt;=Parametros!$B$3),"Não – dentro da tolerância",IF(P121="Sim","Sim","Aguarda revisão"))))</f>
        <v/>
      </c>
    </row>
    <row r="122">
      <c r="A122" s="15" t="n"/>
      <c r="B122" s="15" t="n"/>
      <c r="C122" s="15" t="n"/>
      <c r="D122" s="24" t="n"/>
      <c r="E122" s="24" t="n"/>
      <c r="F122" s="22">
        <f>IF(OR(D122="",E122=""),"",D122-E122)</f>
        <v/>
      </c>
      <c r="G122" s="23">
        <f>IF(OR(D122="",E122="",E122=0),"",(D122-E122)/E122)</f>
        <v/>
      </c>
      <c r="H122" s="15" t="n"/>
      <c r="I122" s="15" t="n"/>
      <c r="J122" s="18" t="n"/>
      <c r="K122" s="15" t="n"/>
      <c r="L122" s="15" t="n"/>
      <c r="M122" s="15" t="n"/>
      <c r="N122" s="15" t="n"/>
      <c r="O122" s="15" t="n"/>
      <c r="P122" s="16">
        <f>IF(O122="","",IF(O122&lt;&gt;N122,"Sim","NÃO"))</f>
        <v/>
      </c>
      <c r="Q122" s="16">
        <f>IF(A122="","",IF(K122="Sim","Não – critério",IF(AND(ISNUMBER(F122),ABS(F122)&lt;=Parametros!$B$3),"Não – dentro da tolerância",IF(P122="Sim","Sim","Aguarda revisão"))))</f>
        <v/>
      </c>
    </row>
    <row r="123">
      <c r="A123" s="15" t="n"/>
      <c r="B123" s="15" t="n"/>
      <c r="C123" s="15" t="n"/>
      <c r="D123" s="24" t="n"/>
      <c r="E123" s="24" t="n"/>
      <c r="F123" s="22">
        <f>IF(OR(D123="",E123=""),"",D123-E123)</f>
        <v/>
      </c>
      <c r="G123" s="23">
        <f>IF(OR(D123="",E123="",E123=0),"",(D123-E123)/E123)</f>
        <v/>
      </c>
      <c r="H123" s="15" t="n"/>
      <c r="I123" s="15" t="n"/>
      <c r="J123" s="18" t="n"/>
      <c r="K123" s="15" t="n"/>
      <c r="L123" s="15" t="n"/>
      <c r="M123" s="15" t="n"/>
      <c r="N123" s="15" t="n"/>
      <c r="O123" s="15" t="n"/>
      <c r="P123" s="16">
        <f>IF(O123="","",IF(O123&lt;&gt;N123,"Sim","NÃO"))</f>
        <v/>
      </c>
      <c r="Q123" s="16">
        <f>IF(A123="","",IF(K123="Sim","Não – critério",IF(AND(ISNUMBER(F123),ABS(F123)&lt;=Parametros!$B$3),"Não – dentro da tolerância",IF(P123="Sim","Sim","Aguarda revisão"))))</f>
        <v/>
      </c>
    </row>
    <row r="124">
      <c r="A124" s="15" t="n"/>
      <c r="B124" s="15" t="n"/>
      <c r="C124" s="15" t="n"/>
      <c r="D124" s="24" t="n"/>
      <c r="E124" s="24" t="n"/>
      <c r="F124" s="22">
        <f>IF(OR(D124="",E124=""),"",D124-E124)</f>
        <v/>
      </c>
      <c r="G124" s="23">
        <f>IF(OR(D124="",E124="",E124=0),"",(D124-E124)/E124)</f>
        <v/>
      </c>
      <c r="H124" s="15" t="n"/>
      <c r="I124" s="15" t="n"/>
      <c r="J124" s="18" t="n"/>
      <c r="K124" s="15" t="n"/>
      <c r="L124" s="15" t="n"/>
      <c r="M124" s="15" t="n"/>
      <c r="N124" s="15" t="n"/>
      <c r="O124" s="15" t="n"/>
      <c r="P124" s="16">
        <f>IF(O124="","",IF(O124&lt;&gt;N124,"Sim","NÃO"))</f>
        <v/>
      </c>
      <c r="Q124" s="16">
        <f>IF(A124="","",IF(K124="Sim","Não – critério",IF(AND(ISNUMBER(F124),ABS(F124)&lt;=Parametros!$B$3),"Não – dentro da tolerância",IF(P124="Sim","Sim","Aguarda revisão"))))</f>
        <v/>
      </c>
    </row>
    <row r="125">
      <c r="A125" s="15" t="n"/>
      <c r="B125" s="15" t="n"/>
      <c r="C125" s="15" t="n"/>
      <c r="D125" s="24" t="n"/>
      <c r="E125" s="24" t="n"/>
      <c r="F125" s="22">
        <f>IF(OR(D125="",E125=""),"",D125-E125)</f>
        <v/>
      </c>
      <c r="G125" s="23">
        <f>IF(OR(D125="",E125="",E125=0),"",(D125-E125)/E125)</f>
        <v/>
      </c>
      <c r="H125" s="15" t="n"/>
      <c r="I125" s="15" t="n"/>
      <c r="J125" s="18" t="n"/>
      <c r="K125" s="15" t="n"/>
      <c r="L125" s="15" t="n"/>
      <c r="M125" s="15" t="n"/>
      <c r="N125" s="15" t="n"/>
      <c r="O125" s="15" t="n"/>
      <c r="P125" s="16">
        <f>IF(O125="","",IF(O125&lt;&gt;N125,"Sim","NÃO"))</f>
        <v/>
      </c>
      <c r="Q125" s="16">
        <f>IF(A125="","",IF(K125="Sim","Não – critério",IF(AND(ISNUMBER(F125),ABS(F125)&lt;=Parametros!$B$3),"Não – dentro da tolerância",IF(P125="Sim","Sim","Aguarda revisão"))))</f>
        <v/>
      </c>
    </row>
    <row r="126">
      <c r="A126" s="15" t="n"/>
      <c r="B126" s="15" t="n"/>
      <c r="C126" s="15" t="n"/>
      <c r="D126" s="24" t="n"/>
      <c r="E126" s="24" t="n"/>
      <c r="F126" s="22">
        <f>IF(OR(D126="",E126=""),"",D126-E126)</f>
        <v/>
      </c>
      <c r="G126" s="23">
        <f>IF(OR(D126="",E126="",E126=0),"",(D126-E126)/E126)</f>
        <v/>
      </c>
      <c r="H126" s="15" t="n"/>
      <c r="I126" s="15" t="n"/>
      <c r="J126" s="18" t="n"/>
      <c r="K126" s="15" t="n"/>
      <c r="L126" s="15" t="n"/>
      <c r="M126" s="15" t="n"/>
      <c r="N126" s="15" t="n"/>
      <c r="O126" s="15" t="n"/>
      <c r="P126" s="16">
        <f>IF(O126="","",IF(O126&lt;&gt;N126,"Sim","NÃO"))</f>
        <v/>
      </c>
      <c r="Q126" s="16">
        <f>IF(A126="","",IF(K126="Sim","Não – critério",IF(AND(ISNUMBER(F126),ABS(F126)&lt;=Parametros!$B$3),"Não – dentro da tolerância",IF(P126="Sim","Sim","Aguarda revisão"))))</f>
        <v/>
      </c>
    </row>
    <row r="127">
      <c r="A127" s="15" t="n"/>
      <c r="B127" s="15" t="n"/>
      <c r="C127" s="15" t="n"/>
      <c r="D127" s="24" t="n"/>
      <c r="E127" s="24" t="n"/>
      <c r="F127" s="22">
        <f>IF(OR(D127="",E127=""),"",D127-E127)</f>
        <v/>
      </c>
      <c r="G127" s="23">
        <f>IF(OR(D127="",E127="",E127=0),"",(D127-E127)/E127)</f>
        <v/>
      </c>
      <c r="H127" s="15" t="n"/>
      <c r="I127" s="15" t="n"/>
      <c r="J127" s="18" t="n"/>
      <c r="K127" s="15" t="n"/>
      <c r="L127" s="15" t="n"/>
      <c r="M127" s="15" t="n"/>
      <c r="N127" s="15" t="n"/>
      <c r="O127" s="15" t="n"/>
      <c r="P127" s="16">
        <f>IF(O127="","",IF(O127&lt;&gt;N127,"Sim","NÃO"))</f>
        <v/>
      </c>
      <c r="Q127" s="16">
        <f>IF(A127="","",IF(K127="Sim","Não – critério",IF(AND(ISNUMBER(F127),ABS(F127)&lt;=Parametros!$B$3),"Não – dentro da tolerância",IF(P127="Sim","Sim","Aguarda revisão"))))</f>
        <v/>
      </c>
    </row>
    <row r="128">
      <c r="A128" s="15" t="n"/>
      <c r="B128" s="15" t="n"/>
      <c r="C128" s="15" t="n"/>
      <c r="D128" s="24" t="n"/>
      <c r="E128" s="24" t="n"/>
      <c r="F128" s="22">
        <f>IF(OR(D128="",E128=""),"",D128-E128)</f>
        <v/>
      </c>
      <c r="G128" s="23">
        <f>IF(OR(D128="",E128="",E128=0),"",(D128-E128)/E128)</f>
        <v/>
      </c>
      <c r="H128" s="15" t="n"/>
      <c r="I128" s="15" t="n"/>
      <c r="J128" s="18" t="n"/>
      <c r="K128" s="15" t="n"/>
      <c r="L128" s="15" t="n"/>
      <c r="M128" s="15" t="n"/>
      <c r="N128" s="15" t="n"/>
      <c r="O128" s="15" t="n"/>
      <c r="P128" s="16">
        <f>IF(O128="","",IF(O128&lt;&gt;N128,"Sim","NÃO"))</f>
        <v/>
      </c>
      <c r="Q128" s="16">
        <f>IF(A128="","",IF(K128="Sim","Não – critério",IF(AND(ISNUMBER(F128),ABS(F128)&lt;=Parametros!$B$3),"Não – dentro da tolerância",IF(P128="Sim","Sim","Aguarda revisão"))))</f>
        <v/>
      </c>
    </row>
    <row r="129">
      <c r="A129" s="15" t="n"/>
      <c r="B129" s="15" t="n"/>
      <c r="C129" s="15" t="n"/>
      <c r="D129" s="24" t="n"/>
      <c r="E129" s="24" t="n"/>
      <c r="F129" s="22">
        <f>IF(OR(D129="",E129=""),"",D129-E129)</f>
        <v/>
      </c>
      <c r="G129" s="23">
        <f>IF(OR(D129="",E129="",E129=0),"",(D129-E129)/E129)</f>
        <v/>
      </c>
      <c r="H129" s="15" t="n"/>
      <c r="I129" s="15" t="n"/>
      <c r="J129" s="18" t="n"/>
      <c r="K129" s="15" t="n"/>
      <c r="L129" s="15" t="n"/>
      <c r="M129" s="15" t="n"/>
      <c r="N129" s="15" t="n"/>
      <c r="O129" s="15" t="n"/>
      <c r="P129" s="16">
        <f>IF(O129="","",IF(O129&lt;&gt;N129,"Sim","NÃO"))</f>
        <v/>
      </c>
      <c r="Q129" s="16">
        <f>IF(A129="","",IF(K129="Sim","Não – critério",IF(AND(ISNUMBER(F129),ABS(F129)&lt;=Parametros!$B$3),"Não – dentro da tolerância",IF(P129="Sim","Sim","Aguarda revisão"))))</f>
        <v/>
      </c>
    </row>
    <row r="130">
      <c r="A130" s="15" t="n"/>
      <c r="B130" s="15" t="n"/>
      <c r="C130" s="15" t="n"/>
      <c r="D130" s="24" t="n"/>
      <c r="E130" s="24" t="n"/>
      <c r="F130" s="22">
        <f>IF(OR(D130="",E130=""),"",D130-E130)</f>
        <v/>
      </c>
      <c r="G130" s="23">
        <f>IF(OR(D130="",E130="",E130=0),"",(D130-E130)/E130)</f>
        <v/>
      </c>
      <c r="H130" s="15" t="n"/>
      <c r="I130" s="15" t="n"/>
      <c r="J130" s="18" t="n"/>
      <c r="K130" s="15" t="n"/>
      <c r="L130" s="15" t="n"/>
      <c r="M130" s="15" t="n"/>
      <c r="N130" s="15" t="n"/>
      <c r="O130" s="15" t="n"/>
      <c r="P130" s="16">
        <f>IF(O130="","",IF(O130&lt;&gt;N130,"Sim","NÃO"))</f>
        <v/>
      </c>
      <c r="Q130" s="16">
        <f>IF(A130="","",IF(K130="Sim","Não – critério",IF(AND(ISNUMBER(F130),ABS(F130)&lt;=Parametros!$B$3),"Não – dentro da tolerância",IF(P130="Sim","Sim","Aguarda revisão"))))</f>
        <v/>
      </c>
    </row>
    <row r="131">
      <c r="A131" s="15" t="n"/>
      <c r="B131" s="15" t="n"/>
      <c r="C131" s="15" t="n"/>
      <c r="D131" s="24" t="n"/>
      <c r="E131" s="24" t="n"/>
      <c r="F131" s="22">
        <f>IF(OR(D131="",E131=""),"",D131-E131)</f>
        <v/>
      </c>
      <c r="G131" s="23">
        <f>IF(OR(D131="",E131="",E131=0),"",(D131-E131)/E131)</f>
        <v/>
      </c>
      <c r="H131" s="15" t="n"/>
      <c r="I131" s="15" t="n"/>
      <c r="J131" s="18" t="n"/>
      <c r="K131" s="15" t="n"/>
      <c r="L131" s="15" t="n"/>
      <c r="M131" s="15" t="n"/>
      <c r="N131" s="15" t="n"/>
      <c r="O131" s="15" t="n"/>
      <c r="P131" s="16">
        <f>IF(O131="","",IF(O131&lt;&gt;N131,"Sim","NÃO"))</f>
        <v/>
      </c>
      <c r="Q131" s="16">
        <f>IF(A131="","",IF(K131="Sim","Não – critério",IF(AND(ISNUMBER(F131),ABS(F131)&lt;=Parametros!$B$3),"Não – dentro da tolerância",IF(P131="Sim","Sim","Aguarda revisão"))))</f>
        <v/>
      </c>
    </row>
    <row r="132">
      <c r="A132" s="15" t="n"/>
      <c r="B132" s="15" t="n"/>
      <c r="C132" s="15" t="n"/>
      <c r="D132" s="24" t="n"/>
      <c r="E132" s="24" t="n"/>
      <c r="F132" s="22">
        <f>IF(OR(D132="",E132=""),"",D132-E132)</f>
        <v/>
      </c>
      <c r="G132" s="23">
        <f>IF(OR(D132="",E132="",E132=0),"",(D132-E132)/E132)</f>
        <v/>
      </c>
      <c r="H132" s="15" t="n"/>
      <c r="I132" s="15" t="n"/>
      <c r="J132" s="18" t="n"/>
      <c r="K132" s="15" t="n"/>
      <c r="L132" s="15" t="n"/>
      <c r="M132" s="15" t="n"/>
      <c r="N132" s="15" t="n"/>
      <c r="O132" s="15" t="n"/>
      <c r="P132" s="16">
        <f>IF(O132="","",IF(O132&lt;&gt;N132,"Sim","NÃO"))</f>
        <v/>
      </c>
      <c r="Q132" s="16">
        <f>IF(A132="","",IF(K132="Sim","Não – critério",IF(AND(ISNUMBER(F132),ABS(F132)&lt;=Parametros!$B$3),"Não – dentro da tolerância",IF(P132="Sim","Sim","Aguarda revisão"))))</f>
        <v/>
      </c>
    </row>
    <row r="133">
      <c r="A133" s="15" t="n"/>
      <c r="B133" s="15" t="n"/>
      <c r="C133" s="15" t="n"/>
      <c r="D133" s="24" t="n"/>
      <c r="E133" s="24" t="n"/>
      <c r="F133" s="22">
        <f>IF(OR(D133="",E133=""),"",D133-E133)</f>
        <v/>
      </c>
      <c r="G133" s="23">
        <f>IF(OR(D133="",E133="",E133=0),"",(D133-E133)/E133)</f>
        <v/>
      </c>
      <c r="H133" s="15" t="n"/>
      <c r="I133" s="15" t="n"/>
      <c r="J133" s="18" t="n"/>
      <c r="K133" s="15" t="n"/>
      <c r="L133" s="15" t="n"/>
      <c r="M133" s="15" t="n"/>
      <c r="N133" s="15" t="n"/>
      <c r="O133" s="15" t="n"/>
      <c r="P133" s="16">
        <f>IF(O133="","",IF(O133&lt;&gt;N133,"Sim","NÃO"))</f>
        <v/>
      </c>
      <c r="Q133" s="16">
        <f>IF(A133="","",IF(K133="Sim","Não – critério",IF(AND(ISNUMBER(F133),ABS(F133)&lt;=Parametros!$B$3),"Não – dentro da tolerância",IF(P133="Sim","Sim","Aguarda revisão"))))</f>
        <v/>
      </c>
    </row>
    <row r="134">
      <c r="A134" s="15" t="n"/>
      <c r="B134" s="15" t="n"/>
      <c r="C134" s="15" t="n"/>
      <c r="D134" s="24" t="n"/>
      <c r="E134" s="24" t="n"/>
      <c r="F134" s="22">
        <f>IF(OR(D134="",E134=""),"",D134-E134)</f>
        <v/>
      </c>
      <c r="G134" s="23">
        <f>IF(OR(D134="",E134="",E134=0),"",(D134-E134)/E134)</f>
        <v/>
      </c>
      <c r="H134" s="15" t="n"/>
      <c r="I134" s="15" t="n"/>
      <c r="J134" s="18" t="n"/>
      <c r="K134" s="15" t="n"/>
      <c r="L134" s="15" t="n"/>
      <c r="M134" s="15" t="n"/>
      <c r="N134" s="15" t="n"/>
      <c r="O134" s="15" t="n"/>
      <c r="P134" s="16">
        <f>IF(O134="","",IF(O134&lt;&gt;N134,"Sim","NÃO"))</f>
        <v/>
      </c>
      <c r="Q134" s="16">
        <f>IF(A134="","",IF(K134="Sim","Não – critério",IF(AND(ISNUMBER(F134),ABS(F134)&lt;=Parametros!$B$3),"Não – dentro da tolerância",IF(P134="Sim","Sim","Aguarda revisão"))))</f>
        <v/>
      </c>
    </row>
    <row r="135">
      <c r="A135" s="15" t="n"/>
      <c r="B135" s="15" t="n"/>
      <c r="C135" s="15" t="n"/>
      <c r="D135" s="24" t="n"/>
      <c r="E135" s="24" t="n"/>
      <c r="F135" s="22">
        <f>IF(OR(D135="",E135=""),"",D135-E135)</f>
        <v/>
      </c>
      <c r="G135" s="23">
        <f>IF(OR(D135="",E135="",E135=0),"",(D135-E135)/E135)</f>
        <v/>
      </c>
      <c r="H135" s="15" t="n"/>
      <c r="I135" s="15" t="n"/>
      <c r="J135" s="18" t="n"/>
      <c r="K135" s="15" t="n"/>
      <c r="L135" s="15" t="n"/>
      <c r="M135" s="15" t="n"/>
      <c r="N135" s="15" t="n"/>
      <c r="O135" s="15" t="n"/>
      <c r="P135" s="16">
        <f>IF(O135="","",IF(O135&lt;&gt;N135,"Sim","NÃO"))</f>
        <v/>
      </c>
      <c r="Q135" s="16">
        <f>IF(A135="","",IF(K135="Sim","Não – critério",IF(AND(ISNUMBER(F135),ABS(F135)&lt;=Parametros!$B$3),"Não – dentro da tolerância",IF(P135="Sim","Sim","Aguarda revisão"))))</f>
        <v/>
      </c>
    </row>
    <row r="136">
      <c r="A136" s="15" t="n"/>
      <c r="B136" s="15" t="n"/>
      <c r="C136" s="15" t="n"/>
      <c r="D136" s="24" t="n"/>
      <c r="E136" s="24" t="n"/>
      <c r="F136" s="22">
        <f>IF(OR(D136="",E136=""),"",D136-E136)</f>
        <v/>
      </c>
      <c r="G136" s="23">
        <f>IF(OR(D136="",E136="",E136=0),"",(D136-E136)/E136)</f>
        <v/>
      </c>
      <c r="H136" s="15" t="n"/>
      <c r="I136" s="15" t="n"/>
      <c r="J136" s="18" t="n"/>
      <c r="K136" s="15" t="n"/>
      <c r="L136" s="15" t="n"/>
      <c r="M136" s="15" t="n"/>
      <c r="N136" s="15" t="n"/>
      <c r="O136" s="15" t="n"/>
      <c r="P136" s="16">
        <f>IF(O136="","",IF(O136&lt;&gt;N136,"Sim","NÃO"))</f>
        <v/>
      </c>
      <c r="Q136" s="16">
        <f>IF(A136="","",IF(K136="Sim","Não – critério",IF(AND(ISNUMBER(F136),ABS(F136)&lt;=Parametros!$B$3),"Não – dentro da tolerância",IF(P136="Sim","Sim","Aguarda revisão"))))</f>
        <v/>
      </c>
    </row>
    <row r="137">
      <c r="A137" s="15" t="n"/>
      <c r="B137" s="15" t="n"/>
      <c r="C137" s="15" t="n"/>
      <c r="D137" s="24" t="n"/>
      <c r="E137" s="24" t="n"/>
      <c r="F137" s="22">
        <f>IF(OR(D137="",E137=""),"",D137-E137)</f>
        <v/>
      </c>
      <c r="G137" s="23">
        <f>IF(OR(D137="",E137="",E137=0),"",(D137-E137)/E137)</f>
        <v/>
      </c>
      <c r="H137" s="15" t="n"/>
      <c r="I137" s="15" t="n"/>
      <c r="J137" s="18" t="n"/>
      <c r="K137" s="15" t="n"/>
      <c r="L137" s="15" t="n"/>
      <c r="M137" s="15" t="n"/>
      <c r="N137" s="15" t="n"/>
      <c r="O137" s="15" t="n"/>
      <c r="P137" s="16">
        <f>IF(O137="","",IF(O137&lt;&gt;N137,"Sim","NÃO"))</f>
        <v/>
      </c>
      <c r="Q137" s="16">
        <f>IF(A137="","",IF(K137="Sim","Não – critério",IF(AND(ISNUMBER(F137),ABS(F137)&lt;=Parametros!$B$3),"Não – dentro da tolerância",IF(P137="Sim","Sim","Aguarda revisão"))))</f>
        <v/>
      </c>
    </row>
    <row r="138">
      <c r="A138" s="15" t="n"/>
      <c r="B138" s="15" t="n"/>
      <c r="C138" s="15" t="n"/>
      <c r="D138" s="24" t="n"/>
      <c r="E138" s="24" t="n"/>
      <c r="F138" s="22">
        <f>IF(OR(D138="",E138=""),"",D138-E138)</f>
        <v/>
      </c>
      <c r="G138" s="23">
        <f>IF(OR(D138="",E138="",E138=0),"",(D138-E138)/E138)</f>
        <v/>
      </c>
      <c r="H138" s="15" t="n"/>
      <c r="I138" s="15" t="n"/>
      <c r="J138" s="18" t="n"/>
      <c r="K138" s="15" t="n"/>
      <c r="L138" s="15" t="n"/>
      <c r="M138" s="15" t="n"/>
      <c r="N138" s="15" t="n"/>
      <c r="O138" s="15" t="n"/>
      <c r="P138" s="16">
        <f>IF(O138="","",IF(O138&lt;&gt;N138,"Sim","NÃO"))</f>
        <v/>
      </c>
      <c r="Q138" s="16">
        <f>IF(A138="","",IF(K138="Sim","Não – critério",IF(AND(ISNUMBER(F138),ABS(F138)&lt;=Parametros!$B$3),"Não – dentro da tolerância",IF(P138="Sim","Sim","Aguarda revisão"))))</f>
        <v/>
      </c>
    </row>
    <row r="139">
      <c r="A139" s="15" t="n"/>
      <c r="B139" s="15" t="n"/>
      <c r="C139" s="15" t="n"/>
      <c r="D139" s="24" t="n"/>
      <c r="E139" s="24" t="n"/>
      <c r="F139" s="22">
        <f>IF(OR(D139="",E139=""),"",D139-E139)</f>
        <v/>
      </c>
      <c r="G139" s="23">
        <f>IF(OR(D139="",E139="",E139=0),"",(D139-E139)/E139)</f>
        <v/>
      </c>
      <c r="H139" s="15" t="n"/>
      <c r="I139" s="15" t="n"/>
      <c r="J139" s="18" t="n"/>
      <c r="K139" s="15" t="n"/>
      <c r="L139" s="15" t="n"/>
      <c r="M139" s="15" t="n"/>
      <c r="N139" s="15" t="n"/>
      <c r="O139" s="15" t="n"/>
      <c r="P139" s="16">
        <f>IF(O139="","",IF(O139&lt;&gt;N139,"Sim","NÃO"))</f>
        <v/>
      </c>
      <c r="Q139" s="16">
        <f>IF(A139="","",IF(K139="Sim","Não – critério",IF(AND(ISNUMBER(F139),ABS(F139)&lt;=Parametros!$B$3),"Não – dentro da tolerância",IF(P139="Sim","Sim","Aguarda revisão"))))</f>
        <v/>
      </c>
    </row>
    <row r="140">
      <c r="A140" s="15" t="n"/>
      <c r="B140" s="15" t="n"/>
      <c r="C140" s="15" t="n"/>
      <c r="D140" s="24" t="n"/>
      <c r="E140" s="24" t="n"/>
      <c r="F140" s="22">
        <f>IF(OR(D140="",E140=""),"",D140-E140)</f>
        <v/>
      </c>
      <c r="G140" s="23">
        <f>IF(OR(D140="",E140="",E140=0),"",(D140-E140)/E140)</f>
        <v/>
      </c>
      <c r="H140" s="15" t="n"/>
      <c r="I140" s="15" t="n"/>
      <c r="J140" s="18" t="n"/>
      <c r="K140" s="15" t="n"/>
      <c r="L140" s="15" t="n"/>
      <c r="M140" s="15" t="n"/>
      <c r="N140" s="15" t="n"/>
      <c r="O140" s="15" t="n"/>
      <c r="P140" s="16">
        <f>IF(O140="","",IF(O140&lt;&gt;N140,"Sim","NÃO"))</f>
        <v/>
      </c>
      <c r="Q140" s="16">
        <f>IF(A140="","",IF(K140="Sim","Não – critério",IF(AND(ISNUMBER(F140),ABS(F140)&lt;=Parametros!$B$3),"Não – dentro da tolerância",IF(P140="Sim","Sim","Aguarda revisão"))))</f>
        <v/>
      </c>
    </row>
    <row r="141">
      <c r="A141" s="15" t="n"/>
      <c r="B141" s="15" t="n"/>
      <c r="C141" s="15" t="n"/>
      <c r="D141" s="24" t="n"/>
      <c r="E141" s="24" t="n"/>
      <c r="F141" s="22">
        <f>IF(OR(D141="",E141=""),"",D141-E141)</f>
        <v/>
      </c>
      <c r="G141" s="23">
        <f>IF(OR(D141="",E141="",E141=0),"",(D141-E141)/E141)</f>
        <v/>
      </c>
      <c r="H141" s="15" t="n"/>
      <c r="I141" s="15" t="n"/>
      <c r="J141" s="18" t="n"/>
      <c r="K141" s="15" t="n"/>
      <c r="L141" s="15" t="n"/>
      <c r="M141" s="15" t="n"/>
      <c r="N141" s="15" t="n"/>
      <c r="O141" s="15" t="n"/>
      <c r="P141" s="16">
        <f>IF(O141="","",IF(O141&lt;&gt;N141,"Sim","NÃO"))</f>
        <v/>
      </c>
      <c r="Q141" s="16">
        <f>IF(A141="","",IF(K141="Sim","Não – critério",IF(AND(ISNUMBER(F141),ABS(F141)&lt;=Parametros!$B$3),"Não – dentro da tolerância",IF(P141="Sim","Sim","Aguarda revisão"))))</f>
        <v/>
      </c>
    </row>
    <row r="142">
      <c r="A142" s="15" t="n"/>
      <c r="B142" s="15" t="n"/>
      <c r="C142" s="15" t="n"/>
      <c r="D142" s="24" t="n"/>
      <c r="E142" s="24" t="n"/>
      <c r="F142" s="22">
        <f>IF(OR(D142="",E142=""),"",D142-E142)</f>
        <v/>
      </c>
      <c r="G142" s="23">
        <f>IF(OR(D142="",E142="",E142=0),"",(D142-E142)/E142)</f>
        <v/>
      </c>
      <c r="H142" s="15" t="n"/>
      <c r="I142" s="15" t="n"/>
      <c r="J142" s="18" t="n"/>
      <c r="K142" s="15" t="n"/>
      <c r="L142" s="15" t="n"/>
      <c r="M142" s="15" t="n"/>
      <c r="N142" s="15" t="n"/>
      <c r="O142" s="15" t="n"/>
      <c r="P142" s="16">
        <f>IF(O142="","",IF(O142&lt;&gt;N142,"Sim","NÃO"))</f>
        <v/>
      </c>
      <c r="Q142" s="16">
        <f>IF(A142="","",IF(K142="Sim","Não – critério",IF(AND(ISNUMBER(F142),ABS(F142)&lt;=Parametros!$B$3),"Não – dentro da tolerância",IF(P142="Sim","Sim","Aguarda revisão"))))</f>
        <v/>
      </c>
    </row>
    <row r="143">
      <c r="A143" s="15" t="n"/>
      <c r="B143" s="15" t="n"/>
      <c r="C143" s="15" t="n"/>
      <c r="D143" s="24" t="n"/>
      <c r="E143" s="24" t="n"/>
      <c r="F143" s="22">
        <f>IF(OR(D143="",E143=""),"",D143-E143)</f>
        <v/>
      </c>
      <c r="G143" s="23">
        <f>IF(OR(D143="",E143="",E143=0),"",(D143-E143)/E143)</f>
        <v/>
      </c>
      <c r="H143" s="15" t="n"/>
      <c r="I143" s="15" t="n"/>
      <c r="J143" s="18" t="n"/>
      <c r="K143" s="15" t="n"/>
      <c r="L143" s="15" t="n"/>
      <c r="M143" s="15" t="n"/>
      <c r="N143" s="15" t="n"/>
      <c r="O143" s="15" t="n"/>
      <c r="P143" s="16">
        <f>IF(O143="","",IF(O143&lt;&gt;N143,"Sim","NÃO"))</f>
        <v/>
      </c>
      <c r="Q143" s="16">
        <f>IF(A143="","",IF(K143="Sim","Não – critério",IF(AND(ISNUMBER(F143),ABS(F143)&lt;=Parametros!$B$3),"Não – dentro da tolerância",IF(P143="Sim","Sim","Aguarda revisão"))))</f>
        <v/>
      </c>
    </row>
    <row r="144">
      <c r="A144" s="15" t="n"/>
      <c r="B144" s="15" t="n"/>
      <c r="C144" s="15" t="n"/>
      <c r="D144" s="24" t="n"/>
      <c r="E144" s="24" t="n"/>
      <c r="F144" s="22">
        <f>IF(OR(D144="",E144=""),"",D144-E144)</f>
        <v/>
      </c>
      <c r="G144" s="23">
        <f>IF(OR(D144="",E144="",E144=0),"",(D144-E144)/E144)</f>
        <v/>
      </c>
      <c r="H144" s="15" t="n"/>
      <c r="I144" s="15" t="n"/>
      <c r="J144" s="18" t="n"/>
      <c r="K144" s="15" t="n"/>
      <c r="L144" s="15" t="n"/>
      <c r="M144" s="15" t="n"/>
      <c r="N144" s="15" t="n"/>
      <c r="O144" s="15" t="n"/>
      <c r="P144" s="16">
        <f>IF(O144="","",IF(O144&lt;&gt;N144,"Sim","NÃO"))</f>
        <v/>
      </c>
      <c r="Q144" s="16">
        <f>IF(A144="","",IF(K144="Sim","Não – critério",IF(AND(ISNUMBER(F144),ABS(F144)&lt;=Parametros!$B$3),"Não – dentro da tolerância",IF(P144="Sim","Sim","Aguarda revisão"))))</f>
        <v/>
      </c>
    </row>
    <row r="145">
      <c r="A145" s="15" t="n"/>
      <c r="B145" s="15" t="n"/>
      <c r="C145" s="15" t="n"/>
      <c r="D145" s="24" t="n"/>
      <c r="E145" s="24" t="n"/>
      <c r="F145" s="22">
        <f>IF(OR(D145="",E145=""),"",D145-E145)</f>
        <v/>
      </c>
      <c r="G145" s="23">
        <f>IF(OR(D145="",E145="",E145=0),"",(D145-E145)/E145)</f>
        <v/>
      </c>
      <c r="H145" s="15" t="n"/>
      <c r="I145" s="15" t="n"/>
      <c r="J145" s="18" t="n"/>
      <c r="K145" s="15" t="n"/>
      <c r="L145" s="15" t="n"/>
      <c r="M145" s="15" t="n"/>
      <c r="N145" s="15" t="n"/>
      <c r="O145" s="15" t="n"/>
      <c r="P145" s="16">
        <f>IF(O145="","",IF(O145&lt;&gt;N145,"Sim","NÃO"))</f>
        <v/>
      </c>
      <c r="Q145" s="16">
        <f>IF(A145="","",IF(K145="Sim","Não – critério",IF(AND(ISNUMBER(F145),ABS(F145)&lt;=Parametros!$B$3),"Não – dentro da tolerância",IF(P145="Sim","Sim","Aguarda revisão"))))</f>
        <v/>
      </c>
    </row>
    <row r="146">
      <c r="A146" s="15" t="n"/>
      <c r="B146" s="15" t="n"/>
      <c r="C146" s="15" t="n"/>
      <c r="D146" s="24" t="n"/>
      <c r="E146" s="24" t="n"/>
      <c r="F146" s="22">
        <f>IF(OR(D146="",E146=""),"",D146-E146)</f>
        <v/>
      </c>
      <c r="G146" s="23">
        <f>IF(OR(D146="",E146="",E146=0),"",(D146-E146)/E146)</f>
        <v/>
      </c>
      <c r="H146" s="15" t="n"/>
      <c r="I146" s="15" t="n"/>
      <c r="J146" s="18" t="n"/>
      <c r="K146" s="15" t="n"/>
      <c r="L146" s="15" t="n"/>
      <c r="M146" s="15" t="n"/>
      <c r="N146" s="15" t="n"/>
      <c r="O146" s="15" t="n"/>
      <c r="P146" s="16">
        <f>IF(O146="","",IF(O146&lt;&gt;N146,"Sim","NÃO"))</f>
        <v/>
      </c>
      <c r="Q146" s="16">
        <f>IF(A146="","",IF(K146="Sim","Não – critério",IF(AND(ISNUMBER(F146),ABS(F146)&lt;=Parametros!$B$3),"Não – dentro da tolerância",IF(P146="Sim","Sim","Aguarda revisão"))))</f>
        <v/>
      </c>
    </row>
    <row r="147">
      <c r="A147" s="15" t="n"/>
      <c r="B147" s="15" t="n"/>
      <c r="C147" s="15" t="n"/>
      <c r="D147" s="24" t="n"/>
      <c r="E147" s="24" t="n"/>
      <c r="F147" s="22">
        <f>IF(OR(D147="",E147=""),"",D147-E147)</f>
        <v/>
      </c>
      <c r="G147" s="23">
        <f>IF(OR(D147="",E147="",E147=0),"",(D147-E147)/E147)</f>
        <v/>
      </c>
      <c r="H147" s="15" t="n"/>
      <c r="I147" s="15" t="n"/>
      <c r="J147" s="18" t="n"/>
      <c r="K147" s="15" t="n"/>
      <c r="L147" s="15" t="n"/>
      <c r="M147" s="15" t="n"/>
      <c r="N147" s="15" t="n"/>
      <c r="O147" s="15" t="n"/>
      <c r="P147" s="16">
        <f>IF(O147="","",IF(O147&lt;&gt;N147,"Sim","NÃO"))</f>
        <v/>
      </c>
      <c r="Q147" s="16">
        <f>IF(A147="","",IF(K147="Sim","Não – critério",IF(AND(ISNUMBER(F147),ABS(F147)&lt;=Parametros!$B$3),"Não – dentro da tolerância",IF(P147="Sim","Sim","Aguarda revisão"))))</f>
        <v/>
      </c>
    </row>
    <row r="148">
      <c r="A148" s="15" t="n"/>
      <c r="B148" s="15" t="n"/>
      <c r="C148" s="15" t="n"/>
      <c r="D148" s="24" t="n"/>
      <c r="E148" s="24" t="n"/>
      <c r="F148" s="22">
        <f>IF(OR(D148="",E148=""),"",D148-E148)</f>
        <v/>
      </c>
      <c r="G148" s="23">
        <f>IF(OR(D148="",E148="",E148=0),"",(D148-E148)/E148)</f>
        <v/>
      </c>
      <c r="H148" s="15" t="n"/>
      <c r="I148" s="15" t="n"/>
      <c r="J148" s="18" t="n"/>
      <c r="K148" s="15" t="n"/>
      <c r="L148" s="15" t="n"/>
      <c r="M148" s="15" t="n"/>
      <c r="N148" s="15" t="n"/>
      <c r="O148" s="15" t="n"/>
      <c r="P148" s="16">
        <f>IF(O148="","",IF(O148&lt;&gt;N148,"Sim","NÃO"))</f>
        <v/>
      </c>
      <c r="Q148" s="16">
        <f>IF(A148="","",IF(K148="Sim","Não – critério",IF(AND(ISNUMBER(F148),ABS(F148)&lt;=Parametros!$B$3),"Não – dentro da tolerância",IF(P148="Sim","Sim","Aguarda revisão"))))</f>
        <v/>
      </c>
    </row>
    <row r="149">
      <c r="A149" s="15" t="n"/>
      <c r="B149" s="15" t="n"/>
      <c r="C149" s="15" t="n"/>
      <c r="D149" s="24" t="n"/>
      <c r="E149" s="24" t="n"/>
      <c r="F149" s="22">
        <f>IF(OR(D149="",E149=""),"",D149-E149)</f>
        <v/>
      </c>
      <c r="G149" s="23">
        <f>IF(OR(D149="",E149="",E149=0),"",(D149-E149)/E149)</f>
        <v/>
      </c>
      <c r="H149" s="15" t="n"/>
      <c r="I149" s="15" t="n"/>
      <c r="J149" s="18" t="n"/>
      <c r="K149" s="15" t="n"/>
      <c r="L149" s="15" t="n"/>
      <c r="M149" s="15" t="n"/>
      <c r="N149" s="15" t="n"/>
      <c r="O149" s="15" t="n"/>
      <c r="P149" s="16">
        <f>IF(O149="","",IF(O149&lt;&gt;N149,"Sim","NÃO"))</f>
        <v/>
      </c>
      <c r="Q149" s="16">
        <f>IF(A149="","",IF(K149="Sim","Não – critério",IF(AND(ISNUMBER(F149),ABS(F149)&lt;=Parametros!$B$3),"Não – dentro da tolerância",IF(P149="Sim","Sim","Aguarda revisão"))))</f>
        <v/>
      </c>
    </row>
    <row r="150">
      <c r="A150" s="15" t="n"/>
      <c r="B150" s="15" t="n"/>
      <c r="C150" s="15" t="n"/>
      <c r="D150" s="24" t="n"/>
      <c r="E150" s="24" t="n"/>
      <c r="F150" s="22">
        <f>IF(OR(D150="",E150=""),"",D150-E150)</f>
        <v/>
      </c>
      <c r="G150" s="23">
        <f>IF(OR(D150="",E150="",E150=0),"",(D150-E150)/E150)</f>
        <v/>
      </c>
      <c r="H150" s="15" t="n"/>
      <c r="I150" s="15" t="n"/>
      <c r="J150" s="18" t="n"/>
      <c r="K150" s="15" t="n"/>
      <c r="L150" s="15" t="n"/>
      <c r="M150" s="15" t="n"/>
      <c r="N150" s="15" t="n"/>
      <c r="O150" s="15" t="n"/>
      <c r="P150" s="16">
        <f>IF(O150="","",IF(O150&lt;&gt;N150,"Sim","NÃO"))</f>
        <v/>
      </c>
      <c r="Q150" s="16">
        <f>IF(A150="","",IF(K150="Sim","Não – critério",IF(AND(ISNUMBER(F150),ABS(F150)&lt;=Parametros!$B$3),"Não – dentro da tolerância",IF(P150="Sim","Sim","Aguarda revisão"))))</f>
        <v/>
      </c>
    </row>
    <row r="151">
      <c r="A151" s="15" t="n"/>
      <c r="B151" s="15" t="n"/>
      <c r="C151" s="15" t="n"/>
      <c r="D151" s="24" t="n"/>
      <c r="E151" s="24" t="n"/>
      <c r="F151" s="22">
        <f>IF(OR(D151="",E151=""),"",D151-E151)</f>
        <v/>
      </c>
      <c r="G151" s="23">
        <f>IF(OR(D151="",E151="",E151=0),"",(D151-E151)/E151)</f>
        <v/>
      </c>
      <c r="H151" s="15" t="n"/>
      <c r="I151" s="15" t="n"/>
      <c r="J151" s="18" t="n"/>
      <c r="K151" s="15" t="n"/>
      <c r="L151" s="15" t="n"/>
      <c r="M151" s="15" t="n"/>
      <c r="N151" s="15" t="n"/>
      <c r="O151" s="15" t="n"/>
      <c r="P151" s="16">
        <f>IF(O151="","",IF(O151&lt;&gt;N151,"Sim","NÃO"))</f>
        <v/>
      </c>
      <c r="Q151" s="16">
        <f>IF(A151="","",IF(K151="Sim","Não – critério",IF(AND(ISNUMBER(F151),ABS(F151)&lt;=Parametros!$B$3),"Não – dentro da tolerância",IF(P151="Sim","Sim","Aguarda revisão"))))</f>
        <v/>
      </c>
    </row>
    <row r="152">
      <c r="A152" s="15" t="n"/>
      <c r="B152" s="15" t="n"/>
      <c r="C152" s="15" t="n"/>
      <c r="D152" s="24" t="n"/>
      <c r="E152" s="24" t="n"/>
      <c r="F152" s="22">
        <f>IF(OR(D152="",E152=""),"",D152-E152)</f>
        <v/>
      </c>
      <c r="G152" s="23">
        <f>IF(OR(D152="",E152="",E152=0),"",(D152-E152)/E152)</f>
        <v/>
      </c>
      <c r="H152" s="15" t="n"/>
      <c r="I152" s="15" t="n"/>
      <c r="J152" s="18" t="n"/>
      <c r="K152" s="15" t="n"/>
      <c r="L152" s="15" t="n"/>
      <c r="M152" s="15" t="n"/>
      <c r="N152" s="15" t="n"/>
      <c r="O152" s="15" t="n"/>
      <c r="P152" s="16">
        <f>IF(O152="","",IF(O152&lt;&gt;N152,"Sim","NÃO"))</f>
        <v/>
      </c>
      <c r="Q152" s="16">
        <f>IF(A152="","",IF(K152="Sim","Não – critério",IF(AND(ISNUMBER(F152),ABS(F152)&lt;=Parametros!$B$3),"Não – dentro da tolerância",IF(P152="Sim","Sim","Aguarda revisão"))))</f>
        <v/>
      </c>
    </row>
    <row r="153">
      <c r="A153" s="15" t="n"/>
      <c r="B153" s="15" t="n"/>
      <c r="C153" s="15" t="n"/>
      <c r="D153" s="24" t="n"/>
      <c r="E153" s="24" t="n"/>
      <c r="F153" s="22">
        <f>IF(OR(D153="",E153=""),"",D153-E153)</f>
        <v/>
      </c>
      <c r="G153" s="23">
        <f>IF(OR(D153="",E153="",E153=0),"",(D153-E153)/E153)</f>
        <v/>
      </c>
      <c r="H153" s="15" t="n"/>
      <c r="I153" s="15" t="n"/>
      <c r="J153" s="18" t="n"/>
      <c r="K153" s="15" t="n"/>
      <c r="L153" s="15" t="n"/>
      <c r="M153" s="15" t="n"/>
      <c r="N153" s="15" t="n"/>
      <c r="O153" s="15" t="n"/>
      <c r="P153" s="16">
        <f>IF(O153="","",IF(O153&lt;&gt;N153,"Sim","NÃO"))</f>
        <v/>
      </c>
      <c r="Q153" s="16">
        <f>IF(A153="","",IF(K153="Sim","Não – critério",IF(AND(ISNUMBER(F153),ABS(F153)&lt;=Parametros!$B$3),"Não – dentro da tolerância",IF(P153="Sim","Sim","Aguarda revisão"))))</f>
        <v/>
      </c>
    </row>
    <row r="154">
      <c r="A154" s="15" t="n"/>
      <c r="B154" s="15" t="n"/>
      <c r="C154" s="15" t="n"/>
      <c r="D154" s="24" t="n"/>
      <c r="E154" s="24" t="n"/>
      <c r="F154" s="22">
        <f>IF(OR(D154="",E154=""),"",D154-E154)</f>
        <v/>
      </c>
      <c r="G154" s="23">
        <f>IF(OR(D154="",E154="",E154=0),"",(D154-E154)/E154)</f>
        <v/>
      </c>
      <c r="H154" s="15" t="n"/>
      <c r="I154" s="15" t="n"/>
      <c r="J154" s="18" t="n"/>
      <c r="K154" s="15" t="n"/>
      <c r="L154" s="15" t="n"/>
      <c r="M154" s="15" t="n"/>
      <c r="N154" s="15" t="n"/>
      <c r="O154" s="15" t="n"/>
      <c r="P154" s="16">
        <f>IF(O154="","",IF(O154&lt;&gt;N154,"Sim","NÃO"))</f>
        <v/>
      </c>
      <c r="Q154" s="16">
        <f>IF(A154="","",IF(K154="Sim","Não – critério",IF(AND(ISNUMBER(F154),ABS(F154)&lt;=Parametros!$B$3),"Não – dentro da tolerância",IF(P154="Sim","Sim","Aguarda revisão"))))</f>
        <v/>
      </c>
    </row>
    <row r="155">
      <c r="A155" s="15" t="n"/>
      <c r="B155" s="15" t="n"/>
      <c r="C155" s="15" t="n"/>
      <c r="D155" s="24" t="n"/>
      <c r="E155" s="24" t="n"/>
      <c r="F155" s="22">
        <f>IF(OR(D155="",E155=""),"",D155-E155)</f>
        <v/>
      </c>
      <c r="G155" s="23">
        <f>IF(OR(D155="",E155="",E155=0),"",(D155-E155)/E155)</f>
        <v/>
      </c>
      <c r="H155" s="15" t="n"/>
      <c r="I155" s="15" t="n"/>
      <c r="J155" s="18" t="n"/>
      <c r="K155" s="15" t="n"/>
      <c r="L155" s="15" t="n"/>
      <c r="M155" s="15" t="n"/>
      <c r="N155" s="15" t="n"/>
      <c r="O155" s="15" t="n"/>
      <c r="P155" s="16">
        <f>IF(O155="","",IF(O155&lt;&gt;N155,"Sim","NÃO"))</f>
        <v/>
      </c>
      <c r="Q155" s="16">
        <f>IF(A155="","",IF(K155="Sim","Não – critério",IF(AND(ISNUMBER(F155),ABS(F155)&lt;=Parametros!$B$3),"Não – dentro da tolerância",IF(P155="Sim","Sim","Aguarda revisão"))))</f>
        <v/>
      </c>
    </row>
    <row r="156">
      <c r="A156" s="15" t="n"/>
      <c r="B156" s="15" t="n"/>
      <c r="C156" s="15" t="n"/>
      <c r="D156" s="24" t="n"/>
      <c r="E156" s="24" t="n"/>
      <c r="F156" s="22">
        <f>IF(OR(D156="",E156=""),"",D156-E156)</f>
        <v/>
      </c>
      <c r="G156" s="23">
        <f>IF(OR(D156="",E156="",E156=0),"",(D156-E156)/E156)</f>
        <v/>
      </c>
      <c r="H156" s="15" t="n"/>
      <c r="I156" s="15" t="n"/>
      <c r="J156" s="18" t="n"/>
      <c r="K156" s="15" t="n"/>
      <c r="L156" s="15" t="n"/>
      <c r="M156" s="15" t="n"/>
      <c r="N156" s="15" t="n"/>
      <c r="O156" s="15" t="n"/>
      <c r="P156" s="16">
        <f>IF(O156="","",IF(O156&lt;&gt;N156,"Sim","NÃO"))</f>
        <v/>
      </c>
      <c r="Q156" s="16">
        <f>IF(A156="","",IF(K156="Sim","Não – critério",IF(AND(ISNUMBER(F156),ABS(F156)&lt;=Parametros!$B$3),"Não – dentro da tolerância",IF(P156="Sim","Sim","Aguarda revisão"))))</f>
        <v/>
      </c>
    </row>
    <row r="157">
      <c r="A157" s="15" t="n"/>
      <c r="B157" s="15" t="n"/>
      <c r="C157" s="15" t="n"/>
      <c r="D157" s="24" t="n"/>
      <c r="E157" s="24" t="n"/>
      <c r="F157" s="22">
        <f>IF(OR(D157="",E157=""),"",D157-E157)</f>
        <v/>
      </c>
      <c r="G157" s="23">
        <f>IF(OR(D157="",E157="",E157=0),"",(D157-E157)/E157)</f>
        <v/>
      </c>
      <c r="H157" s="15" t="n"/>
      <c r="I157" s="15" t="n"/>
      <c r="J157" s="18" t="n"/>
      <c r="K157" s="15" t="n"/>
      <c r="L157" s="15" t="n"/>
      <c r="M157" s="15" t="n"/>
      <c r="N157" s="15" t="n"/>
      <c r="O157" s="15" t="n"/>
      <c r="P157" s="16">
        <f>IF(O157="","",IF(O157&lt;&gt;N157,"Sim","NÃO"))</f>
        <v/>
      </c>
      <c r="Q157" s="16">
        <f>IF(A157="","",IF(K157="Sim","Não – critério",IF(AND(ISNUMBER(F157),ABS(F157)&lt;=Parametros!$B$3),"Não – dentro da tolerância",IF(P157="Sim","Sim","Aguarda revisão"))))</f>
        <v/>
      </c>
    </row>
    <row r="158">
      <c r="A158" s="15" t="n"/>
      <c r="B158" s="15" t="n"/>
      <c r="C158" s="15" t="n"/>
      <c r="D158" s="24" t="n"/>
      <c r="E158" s="24" t="n"/>
      <c r="F158" s="22">
        <f>IF(OR(D158="",E158=""),"",D158-E158)</f>
        <v/>
      </c>
      <c r="G158" s="23">
        <f>IF(OR(D158="",E158="",E158=0),"",(D158-E158)/E158)</f>
        <v/>
      </c>
      <c r="H158" s="15" t="n"/>
      <c r="I158" s="15" t="n"/>
      <c r="J158" s="18" t="n"/>
      <c r="K158" s="15" t="n"/>
      <c r="L158" s="15" t="n"/>
      <c r="M158" s="15" t="n"/>
      <c r="N158" s="15" t="n"/>
      <c r="O158" s="15" t="n"/>
      <c r="P158" s="16">
        <f>IF(O158="","",IF(O158&lt;&gt;N158,"Sim","NÃO"))</f>
        <v/>
      </c>
      <c r="Q158" s="16">
        <f>IF(A158="","",IF(K158="Sim","Não – critério",IF(AND(ISNUMBER(F158),ABS(F158)&lt;=Parametros!$B$3),"Não – dentro da tolerância",IF(P158="Sim","Sim","Aguarda revisão"))))</f>
        <v/>
      </c>
    </row>
    <row r="159">
      <c r="A159" s="15" t="n"/>
      <c r="B159" s="15" t="n"/>
      <c r="C159" s="15" t="n"/>
      <c r="D159" s="24" t="n"/>
      <c r="E159" s="24" t="n"/>
      <c r="F159" s="22">
        <f>IF(OR(D159="",E159=""),"",D159-E159)</f>
        <v/>
      </c>
      <c r="G159" s="23">
        <f>IF(OR(D159="",E159="",E159=0),"",(D159-E159)/E159)</f>
        <v/>
      </c>
      <c r="H159" s="15" t="n"/>
      <c r="I159" s="15" t="n"/>
      <c r="J159" s="18" t="n"/>
      <c r="K159" s="15" t="n"/>
      <c r="L159" s="15" t="n"/>
      <c r="M159" s="15" t="n"/>
      <c r="N159" s="15" t="n"/>
      <c r="O159" s="15" t="n"/>
      <c r="P159" s="16">
        <f>IF(O159="","",IF(O159&lt;&gt;N159,"Sim","NÃO"))</f>
        <v/>
      </c>
      <c r="Q159" s="16">
        <f>IF(A159="","",IF(K159="Sim","Não – critério",IF(AND(ISNUMBER(F159),ABS(F159)&lt;=Parametros!$B$3),"Não – dentro da tolerância",IF(P159="Sim","Sim","Aguarda revisão"))))</f>
        <v/>
      </c>
    </row>
    <row r="160">
      <c r="A160" s="15" t="n"/>
      <c r="B160" s="15" t="n"/>
      <c r="C160" s="15" t="n"/>
      <c r="D160" s="24" t="n"/>
      <c r="E160" s="24" t="n"/>
      <c r="F160" s="22">
        <f>IF(OR(D160="",E160=""),"",D160-E160)</f>
        <v/>
      </c>
      <c r="G160" s="23">
        <f>IF(OR(D160="",E160="",E160=0),"",(D160-E160)/E160)</f>
        <v/>
      </c>
      <c r="H160" s="15" t="n"/>
      <c r="I160" s="15" t="n"/>
      <c r="J160" s="18" t="n"/>
      <c r="K160" s="15" t="n"/>
      <c r="L160" s="15" t="n"/>
      <c r="M160" s="15" t="n"/>
      <c r="N160" s="15" t="n"/>
      <c r="O160" s="15" t="n"/>
      <c r="P160" s="16">
        <f>IF(O160="","",IF(O160&lt;&gt;N160,"Sim","NÃO"))</f>
        <v/>
      </c>
      <c r="Q160" s="16">
        <f>IF(A160="","",IF(K160="Sim","Não – critério",IF(AND(ISNUMBER(F160),ABS(F160)&lt;=Parametros!$B$3),"Não – dentro da tolerância",IF(P160="Sim","Sim","Aguarda revisão"))))</f>
        <v/>
      </c>
    </row>
    <row r="161">
      <c r="A161" s="15" t="n"/>
      <c r="B161" s="15" t="n"/>
      <c r="C161" s="15" t="n"/>
      <c r="D161" s="24" t="n"/>
      <c r="E161" s="24" t="n"/>
      <c r="F161" s="22">
        <f>IF(OR(D161="",E161=""),"",D161-E161)</f>
        <v/>
      </c>
      <c r="G161" s="23">
        <f>IF(OR(D161="",E161="",E161=0),"",(D161-E161)/E161)</f>
        <v/>
      </c>
      <c r="H161" s="15" t="n"/>
      <c r="I161" s="15" t="n"/>
      <c r="J161" s="18" t="n"/>
      <c r="K161" s="15" t="n"/>
      <c r="L161" s="15" t="n"/>
      <c r="M161" s="15" t="n"/>
      <c r="N161" s="15" t="n"/>
      <c r="O161" s="15" t="n"/>
      <c r="P161" s="16">
        <f>IF(O161="","",IF(O161&lt;&gt;N161,"Sim","NÃO"))</f>
        <v/>
      </c>
      <c r="Q161" s="16">
        <f>IF(A161="","",IF(K161="Sim","Não – critério",IF(AND(ISNUMBER(F161),ABS(F161)&lt;=Parametros!$B$3),"Não – dentro da tolerância",IF(P161="Sim","Sim","Aguarda revisão"))))</f>
        <v/>
      </c>
    </row>
    <row r="162">
      <c r="A162" s="15" t="n"/>
      <c r="B162" s="15" t="n"/>
      <c r="C162" s="15" t="n"/>
      <c r="D162" s="24" t="n"/>
      <c r="E162" s="24" t="n"/>
      <c r="F162" s="22">
        <f>IF(OR(D162="",E162=""),"",D162-E162)</f>
        <v/>
      </c>
      <c r="G162" s="23">
        <f>IF(OR(D162="",E162="",E162=0),"",(D162-E162)/E162)</f>
        <v/>
      </c>
      <c r="H162" s="15" t="n"/>
      <c r="I162" s="15" t="n"/>
      <c r="J162" s="18" t="n"/>
      <c r="K162" s="15" t="n"/>
      <c r="L162" s="15" t="n"/>
      <c r="M162" s="15" t="n"/>
      <c r="N162" s="15" t="n"/>
      <c r="O162" s="15" t="n"/>
      <c r="P162" s="16">
        <f>IF(O162="","",IF(O162&lt;&gt;N162,"Sim","NÃO"))</f>
        <v/>
      </c>
      <c r="Q162" s="16">
        <f>IF(A162="","",IF(K162="Sim","Não – critério",IF(AND(ISNUMBER(F162),ABS(F162)&lt;=Parametros!$B$3),"Não – dentro da tolerância",IF(P162="Sim","Sim","Aguarda revisão"))))</f>
        <v/>
      </c>
    </row>
    <row r="163">
      <c r="A163" s="15" t="n"/>
      <c r="B163" s="15" t="n"/>
      <c r="C163" s="15" t="n"/>
      <c r="D163" s="24" t="n"/>
      <c r="E163" s="24" t="n"/>
      <c r="F163" s="22">
        <f>IF(OR(D163="",E163=""),"",D163-E163)</f>
        <v/>
      </c>
      <c r="G163" s="23">
        <f>IF(OR(D163="",E163="",E163=0),"",(D163-E163)/E163)</f>
        <v/>
      </c>
      <c r="H163" s="15" t="n"/>
      <c r="I163" s="15" t="n"/>
      <c r="J163" s="18" t="n"/>
      <c r="K163" s="15" t="n"/>
      <c r="L163" s="15" t="n"/>
      <c r="M163" s="15" t="n"/>
      <c r="N163" s="15" t="n"/>
      <c r="O163" s="15" t="n"/>
      <c r="P163" s="16">
        <f>IF(O163="","",IF(O163&lt;&gt;N163,"Sim","NÃO"))</f>
        <v/>
      </c>
      <c r="Q163" s="16">
        <f>IF(A163="","",IF(K163="Sim","Não – critério",IF(AND(ISNUMBER(F163),ABS(F163)&lt;=Parametros!$B$3),"Não – dentro da tolerância",IF(P163="Sim","Sim","Aguarda revisão"))))</f>
        <v/>
      </c>
    </row>
    <row r="164">
      <c r="A164" s="15" t="n"/>
      <c r="B164" s="15" t="n"/>
      <c r="C164" s="15" t="n"/>
      <c r="D164" s="24" t="n"/>
      <c r="E164" s="24" t="n"/>
      <c r="F164" s="22">
        <f>IF(OR(D164="",E164=""),"",D164-E164)</f>
        <v/>
      </c>
      <c r="G164" s="23">
        <f>IF(OR(D164="",E164="",E164=0),"",(D164-E164)/E164)</f>
        <v/>
      </c>
      <c r="H164" s="15" t="n"/>
      <c r="I164" s="15" t="n"/>
      <c r="J164" s="18" t="n"/>
      <c r="K164" s="15" t="n"/>
      <c r="L164" s="15" t="n"/>
      <c r="M164" s="15" t="n"/>
      <c r="N164" s="15" t="n"/>
      <c r="O164" s="15" t="n"/>
      <c r="P164" s="16">
        <f>IF(O164="","",IF(O164&lt;&gt;N164,"Sim","NÃO"))</f>
        <v/>
      </c>
      <c r="Q164" s="16">
        <f>IF(A164="","",IF(K164="Sim","Não – critério",IF(AND(ISNUMBER(F164),ABS(F164)&lt;=Parametros!$B$3),"Não – dentro da tolerância",IF(P164="Sim","Sim","Aguarda revisão"))))</f>
        <v/>
      </c>
    </row>
    <row r="165">
      <c r="A165" s="15" t="n"/>
      <c r="B165" s="15" t="n"/>
      <c r="C165" s="15" t="n"/>
      <c r="D165" s="24" t="n"/>
      <c r="E165" s="24" t="n"/>
      <c r="F165" s="22">
        <f>IF(OR(D165="",E165=""),"",D165-E165)</f>
        <v/>
      </c>
      <c r="G165" s="23">
        <f>IF(OR(D165="",E165="",E165=0),"",(D165-E165)/E165)</f>
        <v/>
      </c>
      <c r="H165" s="15" t="n"/>
      <c r="I165" s="15" t="n"/>
      <c r="J165" s="18" t="n"/>
      <c r="K165" s="15" t="n"/>
      <c r="L165" s="15" t="n"/>
      <c r="M165" s="15" t="n"/>
      <c r="N165" s="15" t="n"/>
      <c r="O165" s="15" t="n"/>
      <c r="P165" s="16">
        <f>IF(O165="","",IF(O165&lt;&gt;N165,"Sim","NÃO"))</f>
        <v/>
      </c>
      <c r="Q165" s="16">
        <f>IF(A165="","",IF(K165="Sim","Não – critério",IF(AND(ISNUMBER(F165),ABS(F165)&lt;=Parametros!$B$3),"Não – dentro da tolerância",IF(P165="Sim","Sim","Aguarda revisão"))))</f>
        <v/>
      </c>
    </row>
    <row r="166">
      <c r="A166" s="15" t="n"/>
      <c r="B166" s="15" t="n"/>
      <c r="C166" s="15" t="n"/>
      <c r="D166" s="24" t="n"/>
      <c r="E166" s="24" t="n"/>
      <c r="F166" s="22">
        <f>IF(OR(D166="",E166=""),"",D166-E166)</f>
        <v/>
      </c>
      <c r="G166" s="23">
        <f>IF(OR(D166="",E166="",E166=0),"",(D166-E166)/E166)</f>
        <v/>
      </c>
      <c r="H166" s="15" t="n"/>
      <c r="I166" s="15" t="n"/>
      <c r="J166" s="18" t="n"/>
      <c r="K166" s="15" t="n"/>
      <c r="L166" s="15" t="n"/>
      <c r="M166" s="15" t="n"/>
      <c r="N166" s="15" t="n"/>
      <c r="O166" s="15" t="n"/>
      <c r="P166" s="16">
        <f>IF(O166="","",IF(O166&lt;&gt;N166,"Sim","NÃO"))</f>
        <v/>
      </c>
      <c r="Q166" s="16">
        <f>IF(A166="","",IF(K166="Sim","Não – critério",IF(AND(ISNUMBER(F166),ABS(F166)&lt;=Parametros!$B$3),"Não – dentro da tolerância",IF(P166="Sim","Sim","Aguarda revisão"))))</f>
        <v/>
      </c>
    </row>
    <row r="167">
      <c r="A167" s="15" t="n"/>
      <c r="B167" s="15" t="n"/>
      <c r="C167" s="15" t="n"/>
      <c r="D167" s="24" t="n"/>
      <c r="E167" s="24" t="n"/>
      <c r="F167" s="22">
        <f>IF(OR(D167="",E167=""),"",D167-E167)</f>
        <v/>
      </c>
      <c r="G167" s="23">
        <f>IF(OR(D167="",E167="",E167=0),"",(D167-E167)/E167)</f>
        <v/>
      </c>
      <c r="H167" s="15" t="n"/>
      <c r="I167" s="15" t="n"/>
      <c r="J167" s="18" t="n"/>
      <c r="K167" s="15" t="n"/>
      <c r="L167" s="15" t="n"/>
      <c r="M167" s="15" t="n"/>
      <c r="N167" s="15" t="n"/>
      <c r="O167" s="15" t="n"/>
      <c r="P167" s="16">
        <f>IF(O167="","",IF(O167&lt;&gt;N167,"Sim","NÃO"))</f>
        <v/>
      </c>
      <c r="Q167" s="16">
        <f>IF(A167="","",IF(K167="Sim","Não – critério",IF(AND(ISNUMBER(F167),ABS(F167)&lt;=Parametros!$B$3),"Não – dentro da tolerância",IF(P167="Sim","Sim","Aguarda revisão"))))</f>
        <v/>
      </c>
    </row>
    <row r="168">
      <c r="A168" s="15" t="n"/>
      <c r="B168" s="15" t="n"/>
      <c r="C168" s="15" t="n"/>
      <c r="D168" s="24" t="n"/>
      <c r="E168" s="24" t="n"/>
      <c r="F168" s="22">
        <f>IF(OR(D168="",E168=""),"",D168-E168)</f>
        <v/>
      </c>
      <c r="G168" s="23">
        <f>IF(OR(D168="",E168="",E168=0),"",(D168-E168)/E168)</f>
        <v/>
      </c>
      <c r="H168" s="15" t="n"/>
      <c r="I168" s="15" t="n"/>
      <c r="J168" s="18" t="n"/>
      <c r="K168" s="15" t="n"/>
      <c r="L168" s="15" t="n"/>
      <c r="M168" s="15" t="n"/>
      <c r="N168" s="15" t="n"/>
      <c r="O168" s="15" t="n"/>
      <c r="P168" s="16">
        <f>IF(O168="","",IF(O168&lt;&gt;N168,"Sim","NÃO"))</f>
        <v/>
      </c>
      <c r="Q168" s="16">
        <f>IF(A168="","",IF(K168="Sim","Não – critério",IF(AND(ISNUMBER(F168),ABS(F168)&lt;=Parametros!$B$3),"Não – dentro da tolerância",IF(P168="Sim","Sim","Aguarda revisão"))))</f>
        <v/>
      </c>
    </row>
    <row r="169">
      <c r="A169" s="15" t="n"/>
      <c r="B169" s="15" t="n"/>
      <c r="C169" s="15" t="n"/>
      <c r="D169" s="24" t="n"/>
      <c r="E169" s="24" t="n"/>
      <c r="F169" s="22">
        <f>IF(OR(D169="",E169=""),"",D169-E169)</f>
        <v/>
      </c>
      <c r="G169" s="23">
        <f>IF(OR(D169="",E169="",E169=0),"",(D169-E169)/E169)</f>
        <v/>
      </c>
      <c r="H169" s="15" t="n"/>
      <c r="I169" s="15" t="n"/>
      <c r="J169" s="18" t="n"/>
      <c r="K169" s="15" t="n"/>
      <c r="L169" s="15" t="n"/>
      <c r="M169" s="15" t="n"/>
      <c r="N169" s="15" t="n"/>
      <c r="O169" s="15" t="n"/>
      <c r="P169" s="16">
        <f>IF(O169="","",IF(O169&lt;&gt;N169,"Sim","NÃO"))</f>
        <v/>
      </c>
      <c r="Q169" s="16">
        <f>IF(A169="","",IF(K169="Sim","Não – critério",IF(AND(ISNUMBER(F169),ABS(F169)&lt;=Parametros!$B$3),"Não – dentro da tolerância",IF(P169="Sim","Sim","Aguarda revisão"))))</f>
        <v/>
      </c>
    </row>
    <row r="170">
      <c r="A170" s="15" t="n"/>
      <c r="B170" s="15" t="n"/>
      <c r="C170" s="15" t="n"/>
      <c r="D170" s="24" t="n"/>
      <c r="E170" s="24" t="n"/>
      <c r="F170" s="22">
        <f>IF(OR(D170="",E170=""),"",D170-E170)</f>
        <v/>
      </c>
      <c r="G170" s="23">
        <f>IF(OR(D170="",E170="",E170=0),"",(D170-E170)/E170)</f>
        <v/>
      </c>
      <c r="H170" s="15" t="n"/>
      <c r="I170" s="15" t="n"/>
      <c r="J170" s="18" t="n"/>
      <c r="K170" s="15" t="n"/>
      <c r="L170" s="15" t="n"/>
      <c r="M170" s="15" t="n"/>
      <c r="N170" s="15" t="n"/>
      <c r="O170" s="15" t="n"/>
      <c r="P170" s="16">
        <f>IF(O170="","",IF(O170&lt;&gt;N170,"Sim","NÃO"))</f>
        <v/>
      </c>
      <c r="Q170" s="16">
        <f>IF(A170="","",IF(K170="Sim","Não – critério",IF(AND(ISNUMBER(F170),ABS(F170)&lt;=Parametros!$B$3),"Não – dentro da tolerância",IF(P170="Sim","Sim","Aguarda revisão"))))</f>
        <v/>
      </c>
    </row>
    <row r="171">
      <c r="A171" s="15" t="n"/>
      <c r="B171" s="15" t="n"/>
      <c r="C171" s="15" t="n"/>
      <c r="D171" s="24" t="n"/>
      <c r="E171" s="24" t="n"/>
      <c r="F171" s="22">
        <f>IF(OR(D171="",E171=""),"",D171-E171)</f>
        <v/>
      </c>
      <c r="G171" s="23">
        <f>IF(OR(D171="",E171="",E171=0),"",(D171-E171)/E171)</f>
        <v/>
      </c>
      <c r="H171" s="15" t="n"/>
      <c r="I171" s="15" t="n"/>
      <c r="J171" s="18" t="n"/>
      <c r="K171" s="15" t="n"/>
      <c r="L171" s="15" t="n"/>
      <c r="M171" s="15" t="n"/>
      <c r="N171" s="15" t="n"/>
      <c r="O171" s="15" t="n"/>
      <c r="P171" s="16">
        <f>IF(O171="","",IF(O171&lt;&gt;N171,"Sim","NÃO"))</f>
        <v/>
      </c>
      <c r="Q171" s="16">
        <f>IF(A171="","",IF(K171="Sim","Não – critério",IF(AND(ISNUMBER(F171),ABS(F171)&lt;=Parametros!$B$3),"Não – dentro da tolerância",IF(P171="Sim","Sim","Aguarda revisão"))))</f>
        <v/>
      </c>
    </row>
    <row r="172">
      <c r="A172" s="15" t="n"/>
      <c r="B172" s="15" t="n"/>
      <c r="C172" s="15" t="n"/>
      <c r="D172" s="24" t="n"/>
      <c r="E172" s="24" t="n"/>
      <c r="F172" s="22">
        <f>IF(OR(D172="",E172=""),"",D172-E172)</f>
        <v/>
      </c>
      <c r="G172" s="23">
        <f>IF(OR(D172="",E172="",E172=0),"",(D172-E172)/E172)</f>
        <v/>
      </c>
      <c r="H172" s="15" t="n"/>
      <c r="I172" s="15" t="n"/>
      <c r="J172" s="18" t="n"/>
      <c r="K172" s="15" t="n"/>
      <c r="L172" s="15" t="n"/>
      <c r="M172" s="15" t="n"/>
      <c r="N172" s="15" t="n"/>
      <c r="O172" s="15" t="n"/>
      <c r="P172" s="16">
        <f>IF(O172="","",IF(O172&lt;&gt;N172,"Sim","NÃO"))</f>
        <v/>
      </c>
      <c r="Q172" s="16">
        <f>IF(A172="","",IF(K172="Sim","Não – critério",IF(AND(ISNUMBER(F172),ABS(F172)&lt;=Parametros!$B$3),"Não – dentro da tolerância",IF(P172="Sim","Sim","Aguarda revisão"))))</f>
        <v/>
      </c>
    </row>
    <row r="173">
      <c r="A173" s="15" t="n"/>
      <c r="B173" s="15" t="n"/>
      <c r="C173" s="15" t="n"/>
      <c r="D173" s="24" t="n"/>
      <c r="E173" s="24" t="n"/>
      <c r="F173" s="22">
        <f>IF(OR(D173="",E173=""),"",D173-E173)</f>
        <v/>
      </c>
      <c r="G173" s="23">
        <f>IF(OR(D173="",E173="",E173=0),"",(D173-E173)/E173)</f>
        <v/>
      </c>
      <c r="H173" s="15" t="n"/>
      <c r="I173" s="15" t="n"/>
      <c r="J173" s="18" t="n"/>
      <c r="K173" s="15" t="n"/>
      <c r="L173" s="15" t="n"/>
      <c r="M173" s="15" t="n"/>
      <c r="N173" s="15" t="n"/>
      <c r="O173" s="15" t="n"/>
      <c r="P173" s="16">
        <f>IF(O173="","",IF(O173&lt;&gt;N173,"Sim","NÃO"))</f>
        <v/>
      </c>
      <c r="Q173" s="16">
        <f>IF(A173="","",IF(K173="Sim","Não – critério",IF(AND(ISNUMBER(F173),ABS(F173)&lt;=Parametros!$B$3),"Não – dentro da tolerância",IF(P173="Sim","Sim","Aguarda revisão"))))</f>
        <v/>
      </c>
    </row>
    <row r="174">
      <c r="A174" s="15" t="n"/>
      <c r="B174" s="15" t="n"/>
      <c r="C174" s="15" t="n"/>
      <c r="D174" s="24" t="n"/>
      <c r="E174" s="24" t="n"/>
      <c r="F174" s="22">
        <f>IF(OR(D174="",E174=""),"",D174-E174)</f>
        <v/>
      </c>
      <c r="G174" s="23">
        <f>IF(OR(D174="",E174="",E174=0),"",(D174-E174)/E174)</f>
        <v/>
      </c>
      <c r="H174" s="15" t="n"/>
      <c r="I174" s="15" t="n"/>
      <c r="J174" s="18" t="n"/>
      <c r="K174" s="15" t="n"/>
      <c r="L174" s="15" t="n"/>
      <c r="M174" s="15" t="n"/>
      <c r="N174" s="15" t="n"/>
      <c r="O174" s="15" t="n"/>
      <c r="P174" s="16">
        <f>IF(O174="","",IF(O174&lt;&gt;N174,"Sim","NÃO"))</f>
        <v/>
      </c>
      <c r="Q174" s="16">
        <f>IF(A174="","",IF(K174="Sim","Não – critério",IF(AND(ISNUMBER(F174),ABS(F174)&lt;=Parametros!$B$3),"Não – dentro da tolerância",IF(P174="Sim","Sim","Aguarda revisão"))))</f>
        <v/>
      </c>
    </row>
    <row r="175">
      <c r="A175" s="15" t="n"/>
      <c r="B175" s="15" t="n"/>
      <c r="C175" s="15" t="n"/>
      <c r="D175" s="24" t="n"/>
      <c r="E175" s="24" t="n"/>
      <c r="F175" s="22">
        <f>IF(OR(D175="",E175=""),"",D175-E175)</f>
        <v/>
      </c>
      <c r="G175" s="23">
        <f>IF(OR(D175="",E175="",E175=0),"",(D175-E175)/E175)</f>
        <v/>
      </c>
      <c r="H175" s="15" t="n"/>
      <c r="I175" s="15" t="n"/>
      <c r="J175" s="18" t="n"/>
      <c r="K175" s="15" t="n"/>
      <c r="L175" s="15" t="n"/>
      <c r="M175" s="15" t="n"/>
      <c r="N175" s="15" t="n"/>
      <c r="O175" s="15" t="n"/>
      <c r="P175" s="16">
        <f>IF(O175="","",IF(O175&lt;&gt;N175,"Sim","NÃO"))</f>
        <v/>
      </c>
      <c r="Q175" s="16">
        <f>IF(A175="","",IF(K175="Sim","Não – critério",IF(AND(ISNUMBER(F175),ABS(F175)&lt;=Parametros!$B$3),"Não – dentro da tolerância",IF(P175="Sim","Sim","Aguarda revisão"))))</f>
        <v/>
      </c>
    </row>
    <row r="176">
      <c r="A176" s="15" t="n"/>
      <c r="B176" s="15" t="n"/>
      <c r="C176" s="15" t="n"/>
      <c r="D176" s="24" t="n"/>
      <c r="E176" s="24" t="n"/>
      <c r="F176" s="22">
        <f>IF(OR(D176="",E176=""),"",D176-E176)</f>
        <v/>
      </c>
      <c r="G176" s="23">
        <f>IF(OR(D176="",E176="",E176=0),"",(D176-E176)/E176)</f>
        <v/>
      </c>
      <c r="H176" s="15" t="n"/>
      <c r="I176" s="15" t="n"/>
      <c r="J176" s="18" t="n"/>
      <c r="K176" s="15" t="n"/>
      <c r="L176" s="15" t="n"/>
      <c r="M176" s="15" t="n"/>
      <c r="N176" s="15" t="n"/>
      <c r="O176" s="15" t="n"/>
      <c r="P176" s="16">
        <f>IF(O176="","",IF(O176&lt;&gt;N176,"Sim","NÃO"))</f>
        <v/>
      </c>
      <c r="Q176" s="16">
        <f>IF(A176="","",IF(K176="Sim","Não – critério",IF(AND(ISNUMBER(F176),ABS(F176)&lt;=Parametros!$B$3),"Não – dentro da tolerância",IF(P176="Sim","Sim","Aguarda revisão"))))</f>
        <v/>
      </c>
    </row>
    <row r="177">
      <c r="A177" s="15" t="n"/>
      <c r="B177" s="15" t="n"/>
      <c r="C177" s="15" t="n"/>
      <c r="D177" s="24" t="n"/>
      <c r="E177" s="24" t="n"/>
      <c r="F177" s="22">
        <f>IF(OR(D177="",E177=""),"",D177-E177)</f>
        <v/>
      </c>
      <c r="G177" s="23">
        <f>IF(OR(D177="",E177="",E177=0),"",(D177-E177)/E177)</f>
        <v/>
      </c>
      <c r="H177" s="15" t="n"/>
      <c r="I177" s="15" t="n"/>
      <c r="J177" s="18" t="n"/>
      <c r="K177" s="15" t="n"/>
      <c r="L177" s="15" t="n"/>
      <c r="M177" s="15" t="n"/>
      <c r="N177" s="15" t="n"/>
      <c r="O177" s="15" t="n"/>
      <c r="P177" s="16">
        <f>IF(O177="","",IF(O177&lt;&gt;N177,"Sim","NÃO"))</f>
        <v/>
      </c>
      <c r="Q177" s="16">
        <f>IF(A177="","",IF(K177="Sim","Não – critério",IF(AND(ISNUMBER(F177),ABS(F177)&lt;=Parametros!$B$3),"Não – dentro da tolerância",IF(P177="Sim","Sim","Aguarda revisão"))))</f>
        <v/>
      </c>
    </row>
    <row r="178">
      <c r="A178" s="15" t="n"/>
      <c r="B178" s="15" t="n"/>
      <c r="C178" s="15" t="n"/>
      <c r="D178" s="24" t="n"/>
      <c r="E178" s="24" t="n"/>
      <c r="F178" s="22">
        <f>IF(OR(D178="",E178=""),"",D178-E178)</f>
        <v/>
      </c>
      <c r="G178" s="23">
        <f>IF(OR(D178="",E178="",E178=0),"",(D178-E178)/E178)</f>
        <v/>
      </c>
      <c r="H178" s="15" t="n"/>
      <c r="I178" s="15" t="n"/>
      <c r="J178" s="18" t="n"/>
      <c r="K178" s="15" t="n"/>
      <c r="L178" s="15" t="n"/>
      <c r="M178" s="15" t="n"/>
      <c r="N178" s="15" t="n"/>
      <c r="O178" s="15" t="n"/>
      <c r="P178" s="16">
        <f>IF(O178="","",IF(O178&lt;&gt;N178,"Sim","NÃO"))</f>
        <v/>
      </c>
      <c r="Q178" s="16">
        <f>IF(A178="","",IF(K178="Sim","Não – critério",IF(AND(ISNUMBER(F178),ABS(F178)&lt;=Parametros!$B$3),"Não – dentro da tolerância",IF(P178="Sim","Sim","Aguarda revisão"))))</f>
        <v/>
      </c>
    </row>
    <row r="179">
      <c r="A179" s="15" t="n"/>
      <c r="B179" s="15" t="n"/>
      <c r="C179" s="15" t="n"/>
      <c r="D179" s="24" t="n"/>
      <c r="E179" s="24" t="n"/>
      <c r="F179" s="22">
        <f>IF(OR(D179="",E179=""),"",D179-E179)</f>
        <v/>
      </c>
      <c r="G179" s="23">
        <f>IF(OR(D179="",E179="",E179=0),"",(D179-E179)/E179)</f>
        <v/>
      </c>
      <c r="H179" s="15" t="n"/>
      <c r="I179" s="15" t="n"/>
      <c r="J179" s="18" t="n"/>
      <c r="K179" s="15" t="n"/>
      <c r="L179" s="15" t="n"/>
      <c r="M179" s="15" t="n"/>
      <c r="N179" s="15" t="n"/>
      <c r="O179" s="15" t="n"/>
      <c r="P179" s="16">
        <f>IF(O179="","",IF(O179&lt;&gt;N179,"Sim","NÃO"))</f>
        <v/>
      </c>
      <c r="Q179" s="16">
        <f>IF(A179="","",IF(K179="Sim","Não – critério",IF(AND(ISNUMBER(F179),ABS(F179)&lt;=Parametros!$B$3),"Não – dentro da tolerância",IF(P179="Sim","Sim","Aguarda revisão"))))</f>
        <v/>
      </c>
    </row>
    <row r="180">
      <c r="A180" s="15" t="n"/>
      <c r="B180" s="15" t="n"/>
      <c r="C180" s="15" t="n"/>
      <c r="D180" s="24" t="n"/>
      <c r="E180" s="24" t="n"/>
      <c r="F180" s="22">
        <f>IF(OR(D180="",E180=""),"",D180-E180)</f>
        <v/>
      </c>
      <c r="G180" s="23">
        <f>IF(OR(D180="",E180="",E180=0),"",(D180-E180)/E180)</f>
        <v/>
      </c>
      <c r="H180" s="15" t="n"/>
      <c r="I180" s="15" t="n"/>
      <c r="J180" s="18" t="n"/>
      <c r="K180" s="15" t="n"/>
      <c r="L180" s="15" t="n"/>
      <c r="M180" s="15" t="n"/>
      <c r="N180" s="15" t="n"/>
      <c r="O180" s="15" t="n"/>
      <c r="P180" s="16">
        <f>IF(O180="","",IF(O180&lt;&gt;N180,"Sim","NÃO"))</f>
        <v/>
      </c>
      <c r="Q180" s="16">
        <f>IF(A180="","",IF(K180="Sim","Não – critério",IF(AND(ISNUMBER(F180),ABS(F180)&lt;=Parametros!$B$3),"Não – dentro da tolerância",IF(P180="Sim","Sim","Aguarda revisão"))))</f>
        <v/>
      </c>
    </row>
    <row r="181">
      <c r="A181" s="15" t="n"/>
      <c r="B181" s="15" t="n"/>
      <c r="C181" s="15" t="n"/>
      <c r="D181" s="24" t="n"/>
      <c r="E181" s="24" t="n"/>
      <c r="F181" s="22">
        <f>IF(OR(D181="",E181=""),"",D181-E181)</f>
        <v/>
      </c>
      <c r="G181" s="23">
        <f>IF(OR(D181="",E181="",E181=0),"",(D181-E181)/E181)</f>
        <v/>
      </c>
      <c r="H181" s="15" t="n"/>
      <c r="I181" s="15" t="n"/>
      <c r="J181" s="18" t="n"/>
      <c r="K181" s="15" t="n"/>
      <c r="L181" s="15" t="n"/>
      <c r="M181" s="15" t="n"/>
      <c r="N181" s="15" t="n"/>
      <c r="O181" s="15" t="n"/>
      <c r="P181" s="16">
        <f>IF(O181="","",IF(O181&lt;&gt;N181,"Sim","NÃO"))</f>
        <v/>
      </c>
      <c r="Q181" s="16">
        <f>IF(A181="","",IF(K181="Sim","Não – critério",IF(AND(ISNUMBER(F181),ABS(F181)&lt;=Parametros!$B$3),"Não – dentro da tolerância",IF(P181="Sim","Sim","Aguarda revisão"))))</f>
        <v/>
      </c>
    </row>
    <row r="182">
      <c r="A182" s="15" t="n"/>
      <c r="B182" s="15" t="n"/>
      <c r="C182" s="15" t="n"/>
      <c r="D182" s="24" t="n"/>
      <c r="E182" s="24" t="n"/>
      <c r="F182" s="22">
        <f>IF(OR(D182="",E182=""),"",D182-E182)</f>
        <v/>
      </c>
      <c r="G182" s="23">
        <f>IF(OR(D182="",E182="",E182=0),"",(D182-E182)/E182)</f>
        <v/>
      </c>
      <c r="H182" s="15" t="n"/>
      <c r="I182" s="15" t="n"/>
      <c r="J182" s="18" t="n"/>
      <c r="K182" s="15" t="n"/>
      <c r="L182" s="15" t="n"/>
      <c r="M182" s="15" t="n"/>
      <c r="N182" s="15" t="n"/>
      <c r="O182" s="15" t="n"/>
      <c r="P182" s="16">
        <f>IF(O182="","",IF(O182&lt;&gt;N182,"Sim","NÃO"))</f>
        <v/>
      </c>
      <c r="Q182" s="16">
        <f>IF(A182="","",IF(K182="Sim","Não – critério",IF(AND(ISNUMBER(F182),ABS(F182)&lt;=Parametros!$B$3),"Não – dentro da tolerância",IF(P182="Sim","Sim","Aguarda revisão"))))</f>
        <v/>
      </c>
    </row>
    <row r="183">
      <c r="A183" s="15" t="n"/>
      <c r="B183" s="15" t="n"/>
      <c r="C183" s="15" t="n"/>
      <c r="D183" s="24" t="n"/>
      <c r="E183" s="24" t="n"/>
      <c r="F183" s="22">
        <f>IF(OR(D183="",E183=""),"",D183-E183)</f>
        <v/>
      </c>
      <c r="G183" s="23">
        <f>IF(OR(D183="",E183="",E183=0),"",(D183-E183)/E183)</f>
        <v/>
      </c>
      <c r="H183" s="15" t="n"/>
      <c r="I183" s="15" t="n"/>
      <c r="J183" s="18" t="n"/>
      <c r="K183" s="15" t="n"/>
      <c r="L183" s="15" t="n"/>
      <c r="M183" s="15" t="n"/>
      <c r="N183" s="15" t="n"/>
      <c r="O183" s="15" t="n"/>
      <c r="P183" s="16">
        <f>IF(O183="","",IF(O183&lt;&gt;N183,"Sim","NÃO"))</f>
        <v/>
      </c>
      <c r="Q183" s="16">
        <f>IF(A183="","",IF(K183="Sim","Não – critério",IF(AND(ISNUMBER(F183),ABS(F183)&lt;=Parametros!$B$3),"Não – dentro da tolerância",IF(P183="Sim","Sim","Aguarda revisão"))))</f>
        <v/>
      </c>
    </row>
    <row r="184">
      <c r="A184" s="15" t="n"/>
      <c r="B184" s="15" t="n"/>
      <c r="C184" s="15" t="n"/>
      <c r="D184" s="24" t="n"/>
      <c r="E184" s="24" t="n"/>
      <c r="F184" s="22">
        <f>IF(OR(D184="",E184=""),"",D184-E184)</f>
        <v/>
      </c>
      <c r="G184" s="23">
        <f>IF(OR(D184="",E184="",E184=0),"",(D184-E184)/E184)</f>
        <v/>
      </c>
      <c r="H184" s="15" t="n"/>
      <c r="I184" s="15" t="n"/>
      <c r="J184" s="18" t="n"/>
      <c r="K184" s="15" t="n"/>
      <c r="L184" s="15" t="n"/>
      <c r="M184" s="15" t="n"/>
      <c r="N184" s="15" t="n"/>
      <c r="O184" s="15" t="n"/>
      <c r="P184" s="16">
        <f>IF(O184="","",IF(O184&lt;&gt;N184,"Sim","NÃO"))</f>
        <v/>
      </c>
      <c r="Q184" s="16">
        <f>IF(A184="","",IF(K184="Sim","Não – critério",IF(AND(ISNUMBER(F184),ABS(F184)&lt;=Parametros!$B$3),"Não – dentro da tolerância",IF(P184="Sim","Sim","Aguarda revisão"))))</f>
        <v/>
      </c>
    </row>
    <row r="185">
      <c r="A185" s="15" t="n"/>
      <c r="B185" s="15" t="n"/>
      <c r="C185" s="15" t="n"/>
      <c r="D185" s="24" t="n"/>
      <c r="E185" s="24" t="n"/>
      <c r="F185" s="22">
        <f>IF(OR(D185="",E185=""),"",D185-E185)</f>
        <v/>
      </c>
      <c r="G185" s="23">
        <f>IF(OR(D185="",E185="",E185=0),"",(D185-E185)/E185)</f>
        <v/>
      </c>
      <c r="H185" s="15" t="n"/>
      <c r="I185" s="15" t="n"/>
      <c r="J185" s="18" t="n"/>
      <c r="K185" s="15" t="n"/>
      <c r="L185" s="15" t="n"/>
      <c r="M185" s="15" t="n"/>
      <c r="N185" s="15" t="n"/>
      <c r="O185" s="15" t="n"/>
      <c r="P185" s="16">
        <f>IF(O185="","",IF(O185&lt;&gt;N185,"Sim","NÃO"))</f>
        <v/>
      </c>
      <c r="Q185" s="16">
        <f>IF(A185="","",IF(K185="Sim","Não – critério",IF(AND(ISNUMBER(F185),ABS(F185)&lt;=Parametros!$B$3),"Não – dentro da tolerância",IF(P185="Sim","Sim","Aguarda revisão"))))</f>
        <v/>
      </c>
    </row>
    <row r="186">
      <c r="A186" s="15" t="n"/>
      <c r="B186" s="15" t="n"/>
      <c r="C186" s="15" t="n"/>
      <c r="D186" s="24" t="n"/>
      <c r="E186" s="24" t="n"/>
      <c r="F186" s="22">
        <f>IF(OR(D186="",E186=""),"",D186-E186)</f>
        <v/>
      </c>
      <c r="G186" s="23">
        <f>IF(OR(D186="",E186="",E186=0),"",(D186-E186)/E186)</f>
        <v/>
      </c>
      <c r="H186" s="15" t="n"/>
      <c r="I186" s="15" t="n"/>
      <c r="J186" s="18" t="n"/>
      <c r="K186" s="15" t="n"/>
      <c r="L186" s="15" t="n"/>
      <c r="M186" s="15" t="n"/>
      <c r="N186" s="15" t="n"/>
      <c r="O186" s="15" t="n"/>
      <c r="P186" s="16">
        <f>IF(O186="","",IF(O186&lt;&gt;N186,"Sim","NÃO"))</f>
        <v/>
      </c>
      <c r="Q186" s="16">
        <f>IF(A186="","",IF(K186="Sim","Não – critério",IF(AND(ISNUMBER(F186),ABS(F186)&lt;=Parametros!$B$3),"Não – dentro da tolerância",IF(P186="Sim","Sim","Aguarda revisão"))))</f>
        <v/>
      </c>
    </row>
    <row r="187">
      <c r="A187" s="15" t="n"/>
      <c r="B187" s="15" t="n"/>
      <c r="C187" s="15" t="n"/>
      <c r="D187" s="24" t="n"/>
      <c r="E187" s="24" t="n"/>
      <c r="F187" s="22">
        <f>IF(OR(D187="",E187=""),"",D187-E187)</f>
        <v/>
      </c>
      <c r="G187" s="23">
        <f>IF(OR(D187="",E187="",E187=0),"",(D187-E187)/E187)</f>
        <v/>
      </c>
      <c r="H187" s="15" t="n"/>
      <c r="I187" s="15" t="n"/>
      <c r="J187" s="18" t="n"/>
      <c r="K187" s="15" t="n"/>
      <c r="L187" s="15" t="n"/>
      <c r="M187" s="15" t="n"/>
      <c r="N187" s="15" t="n"/>
      <c r="O187" s="15" t="n"/>
      <c r="P187" s="16">
        <f>IF(O187="","",IF(O187&lt;&gt;N187,"Sim","NÃO"))</f>
        <v/>
      </c>
      <c r="Q187" s="16">
        <f>IF(A187="","",IF(K187="Sim","Não – critério",IF(AND(ISNUMBER(F187),ABS(F187)&lt;=Parametros!$B$3),"Não – dentro da tolerância",IF(P187="Sim","Sim","Aguarda revisão"))))</f>
        <v/>
      </c>
    </row>
    <row r="188">
      <c r="A188" s="15" t="n"/>
      <c r="B188" s="15" t="n"/>
      <c r="C188" s="15" t="n"/>
      <c r="D188" s="24" t="n"/>
      <c r="E188" s="24" t="n"/>
      <c r="F188" s="22">
        <f>IF(OR(D188="",E188=""),"",D188-E188)</f>
        <v/>
      </c>
      <c r="G188" s="23">
        <f>IF(OR(D188="",E188="",E188=0),"",(D188-E188)/E188)</f>
        <v/>
      </c>
      <c r="H188" s="15" t="n"/>
      <c r="I188" s="15" t="n"/>
      <c r="J188" s="18" t="n"/>
      <c r="K188" s="15" t="n"/>
      <c r="L188" s="15" t="n"/>
      <c r="M188" s="15" t="n"/>
      <c r="N188" s="15" t="n"/>
      <c r="O188" s="15" t="n"/>
      <c r="P188" s="16">
        <f>IF(O188="","",IF(O188&lt;&gt;N188,"Sim","NÃO"))</f>
        <v/>
      </c>
      <c r="Q188" s="16">
        <f>IF(A188="","",IF(K188="Sim","Não – critério",IF(AND(ISNUMBER(F188),ABS(F188)&lt;=Parametros!$B$3),"Não – dentro da tolerância",IF(P188="Sim","Sim","Aguarda revisão"))))</f>
        <v/>
      </c>
    </row>
    <row r="189">
      <c r="A189" s="15" t="n"/>
      <c r="B189" s="15" t="n"/>
      <c r="C189" s="15" t="n"/>
      <c r="D189" s="24" t="n"/>
      <c r="E189" s="24" t="n"/>
      <c r="F189" s="22">
        <f>IF(OR(D189="",E189=""),"",D189-E189)</f>
        <v/>
      </c>
      <c r="G189" s="23">
        <f>IF(OR(D189="",E189="",E189=0),"",(D189-E189)/E189)</f>
        <v/>
      </c>
      <c r="H189" s="15" t="n"/>
      <c r="I189" s="15" t="n"/>
      <c r="J189" s="18" t="n"/>
      <c r="K189" s="15" t="n"/>
      <c r="L189" s="15" t="n"/>
      <c r="M189" s="15" t="n"/>
      <c r="N189" s="15" t="n"/>
      <c r="O189" s="15" t="n"/>
      <c r="P189" s="16">
        <f>IF(O189="","",IF(O189&lt;&gt;N189,"Sim","NÃO"))</f>
        <v/>
      </c>
      <c r="Q189" s="16">
        <f>IF(A189="","",IF(K189="Sim","Não – critério",IF(AND(ISNUMBER(F189),ABS(F189)&lt;=Parametros!$B$3),"Não – dentro da tolerância",IF(P189="Sim","Sim","Aguarda revisão"))))</f>
        <v/>
      </c>
    </row>
    <row r="190">
      <c r="A190" s="15" t="n"/>
      <c r="B190" s="15" t="n"/>
      <c r="C190" s="15" t="n"/>
      <c r="D190" s="24" t="n"/>
      <c r="E190" s="24" t="n"/>
      <c r="F190" s="22">
        <f>IF(OR(D190="",E190=""),"",D190-E190)</f>
        <v/>
      </c>
      <c r="G190" s="23">
        <f>IF(OR(D190="",E190="",E190=0),"",(D190-E190)/E190)</f>
        <v/>
      </c>
      <c r="H190" s="15" t="n"/>
      <c r="I190" s="15" t="n"/>
      <c r="J190" s="18" t="n"/>
      <c r="K190" s="15" t="n"/>
      <c r="L190" s="15" t="n"/>
      <c r="M190" s="15" t="n"/>
      <c r="N190" s="15" t="n"/>
      <c r="O190" s="15" t="n"/>
      <c r="P190" s="16">
        <f>IF(O190="","",IF(O190&lt;&gt;N190,"Sim","NÃO"))</f>
        <v/>
      </c>
      <c r="Q190" s="16">
        <f>IF(A190="","",IF(K190="Sim","Não – critério",IF(AND(ISNUMBER(F190),ABS(F190)&lt;=Parametros!$B$3),"Não – dentro da tolerância",IF(P190="Sim","Sim","Aguarda revisão"))))</f>
        <v/>
      </c>
    </row>
    <row r="191">
      <c r="A191" s="15" t="n"/>
      <c r="B191" s="15" t="n"/>
      <c r="C191" s="15" t="n"/>
      <c r="D191" s="24" t="n"/>
      <c r="E191" s="24" t="n"/>
      <c r="F191" s="22">
        <f>IF(OR(D191="",E191=""),"",D191-E191)</f>
        <v/>
      </c>
      <c r="G191" s="23">
        <f>IF(OR(D191="",E191="",E191=0),"",(D191-E191)/E191)</f>
        <v/>
      </c>
      <c r="H191" s="15" t="n"/>
      <c r="I191" s="15" t="n"/>
      <c r="J191" s="18" t="n"/>
      <c r="K191" s="15" t="n"/>
      <c r="L191" s="15" t="n"/>
      <c r="M191" s="15" t="n"/>
      <c r="N191" s="15" t="n"/>
      <c r="O191" s="15" t="n"/>
      <c r="P191" s="16">
        <f>IF(O191="","",IF(O191&lt;&gt;N191,"Sim","NÃO"))</f>
        <v/>
      </c>
      <c r="Q191" s="16">
        <f>IF(A191="","",IF(K191="Sim","Não – critério",IF(AND(ISNUMBER(F191),ABS(F191)&lt;=Parametros!$B$3),"Não – dentro da tolerância",IF(P191="Sim","Sim","Aguarda revisão"))))</f>
        <v/>
      </c>
    </row>
    <row r="192">
      <c r="A192" s="15" t="n"/>
      <c r="B192" s="15" t="n"/>
      <c r="C192" s="15" t="n"/>
      <c r="D192" s="24" t="n"/>
      <c r="E192" s="24" t="n"/>
      <c r="F192" s="22">
        <f>IF(OR(D192="",E192=""),"",D192-E192)</f>
        <v/>
      </c>
      <c r="G192" s="23">
        <f>IF(OR(D192="",E192="",E192=0),"",(D192-E192)/E192)</f>
        <v/>
      </c>
      <c r="H192" s="15" t="n"/>
      <c r="I192" s="15" t="n"/>
      <c r="J192" s="18" t="n"/>
      <c r="K192" s="15" t="n"/>
      <c r="L192" s="15" t="n"/>
      <c r="M192" s="15" t="n"/>
      <c r="N192" s="15" t="n"/>
      <c r="O192" s="15" t="n"/>
      <c r="P192" s="16">
        <f>IF(O192="","",IF(O192&lt;&gt;N192,"Sim","NÃO"))</f>
        <v/>
      </c>
      <c r="Q192" s="16">
        <f>IF(A192="","",IF(K192="Sim","Não – critério",IF(AND(ISNUMBER(F192),ABS(F192)&lt;=Parametros!$B$3),"Não – dentro da tolerância",IF(P192="Sim","Sim","Aguarda revisão"))))</f>
        <v/>
      </c>
    </row>
    <row r="193">
      <c r="A193" s="15" t="n"/>
      <c r="B193" s="15" t="n"/>
      <c r="C193" s="15" t="n"/>
      <c r="D193" s="24" t="n"/>
      <c r="E193" s="24" t="n"/>
      <c r="F193" s="22">
        <f>IF(OR(D193="",E193=""),"",D193-E193)</f>
        <v/>
      </c>
      <c r="G193" s="23">
        <f>IF(OR(D193="",E193="",E193=0),"",(D193-E193)/E193)</f>
        <v/>
      </c>
      <c r="H193" s="15" t="n"/>
      <c r="I193" s="15" t="n"/>
      <c r="J193" s="18" t="n"/>
      <c r="K193" s="15" t="n"/>
      <c r="L193" s="15" t="n"/>
      <c r="M193" s="15" t="n"/>
      <c r="N193" s="15" t="n"/>
      <c r="O193" s="15" t="n"/>
      <c r="P193" s="16">
        <f>IF(O193="","",IF(O193&lt;&gt;N193,"Sim","NÃO"))</f>
        <v/>
      </c>
      <c r="Q193" s="16">
        <f>IF(A193="","",IF(K193="Sim","Não – critério",IF(AND(ISNUMBER(F193),ABS(F193)&lt;=Parametros!$B$3),"Não – dentro da tolerância",IF(P193="Sim","Sim","Aguarda revisão"))))</f>
        <v/>
      </c>
    </row>
    <row r="194">
      <c r="A194" s="15" t="n"/>
      <c r="B194" s="15" t="n"/>
      <c r="C194" s="15" t="n"/>
      <c r="D194" s="24" t="n"/>
      <c r="E194" s="24" t="n"/>
      <c r="F194" s="22">
        <f>IF(OR(D194="",E194=""),"",D194-E194)</f>
        <v/>
      </c>
      <c r="G194" s="23">
        <f>IF(OR(D194="",E194="",E194=0),"",(D194-E194)/E194)</f>
        <v/>
      </c>
      <c r="H194" s="15" t="n"/>
      <c r="I194" s="15" t="n"/>
      <c r="J194" s="18" t="n"/>
      <c r="K194" s="15" t="n"/>
      <c r="L194" s="15" t="n"/>
      <c r="M194" s="15" t="n"/>
      <c r="N194" s="15" t="n"/>
      <c r="O194" s="15" t="n"/>
      <c r="P194" s="16">
        <f>IF(O194="","",IF(O194&lt;&gt;N194,"Sim","NÃO"))</f>
        <v/>
      </c>
      <c r="Q194" s="16">
        <f>IF(A194="","",IF(K194="Sim","Não – critério",IF(AND(ISNUMBER(F194),ABS(F194)&lt;=Parametros!$B$3),"Não – dentro da tolerância",IF(P194="Sim","Sim","Aguarda revisão"))))</f>
        <v/>
      </c>
    </row>
    <row r="195">
      <c r="A195" s="15" t="n"/>
      <c r="B195" s="15" t="n"/>
      <c r="C195" s="15" t="n"/>
      <c r="D195" s="24" t="n"/>
      <c r="E195" s="24" t="n"/>
      <c r="F195" s="22">
        <f>IF(OR(D195="",E195=""),"",D195-E195)</f>
        <v/>
      </c>
      <c r="G195" s="23">
        <f>IF(OR(D195="",E195="",E195=0),"",(D195-E195)/E195)</f>
        <v/>
      </c>
      <c r="H195" s="15" t="n"/>
      <c r="I195" s="15" t="n"/>
      <c r="J195" s="18" t="n"/>
      <c r="K195" s="15" t="n"/>
      <c r="L195" s="15" t="n"/>
      <c r="M195" s="15" t="n"/>
      <c r="N195" s="15" t="n"/>
      <c r="O195" s="15" t="n"/>
      <c r="P195" s="16">
        <f>IF(O195="","",IF(O195&lt;&gt;N195,"Sim","NÃO"))</f>
        <v/>
      </c>
      <c r="Q195" s="16">
        <f>IF(A195="","",IF(K195="Sim","Não – critério",IF(AND(ISNUMBER(F195),ABS(F195)&lt;=Parametros!$B$3),"Não – dentro da tolerância",IF(P195="Sim","Sim","Aguarda revisão"))))</f>
        <v/>
      </c>
    </row>
    <row r="196">
      <c r="A196" s="15" t="n"/>
      <c r="B196" s="15" t="n"/>
      <c r="C196" s="15" t="n"/>
      <c r="D196" s="24" t="n"/>
      <c r="E196" s="24" t="n"/>
      <c r="F196" s="22">
        <f>IF(OR(D196="",E196=""),"",D196-E196)</f>
        <v/>
      </c>
      <c r="G196" s="23">
        <f>IF(OR(D196="",E196="",E196=0),"",(D196-E196)/E196)</f>
        <v/>
      </c>
      <c r="H196" s="15" t="n"/>
      <c r="I196" s="15" t="n"/>
      <c r="J196" s="18" t="n"/>
      <c r="K196" s="15" t="n"/>
      <c r="L196" s="15" t="n"/>
      <c r="M196" s="15" t="n"/>
      <c r="N196" s="15" t="n"/>
      <c r="O196" s="15" t="n"/>
      <c r="P196" s="16">
        <f>IF(O196="","",IF(O196&lt;&gt;N196,"Sim","NÃO"))</f>
        <v/>
      </c>
      <c r="Q196" s="16">
        <f>IF(A196="","",IF(K196="Sim","Não – critério",IF(AND(ISNUMBER(F196),ABS(F196)&lt;=Parametros!$B$3),"Não – dentro da tolerância",IF(P196="Sim","Sim","Aguarda revisão"))))</f>
        <v/>
      </c>
    </row>
    <row r="197">
      <c r="A197" s="15" t="n"/>
      <c r="B197" s="15" t="n"/>
      <c r="C197" s="15" t="n"/>
      <c r="D197" s="24" t="n"/>
      <c r="E197" s="24" t="n"/>
      <c r="F197" s="22">
        <f>IF(OR(D197="",E197=""),"",D197-E197)</f>
        <v/>
      </c>
      <c r="G197" s="23">
        <f>IF(OR(D197="",E197="",E197=0),"",(D197-E197)/E197)</f>
        <v/>
      </c>
      <c r="H197" s="15" t="n"/>
      <c r="I197" s="15" t="n"/>
      <c r="J197" s="18" t="n"/>
      <c r="K197" s="15" t="n"/>
      <c r="L197" s="15" t="n"/>
      <c r="M197" s="15" t="n"/>
      <c r="N197" s="15" t="n"/>
      <c r="O197" s="15" t="n"/>
      <c r="P197" s="16">
        <f>IF(O197="","",IF(O197&lt;&gt;N197,"Sim","NÃO"))</f>
        <v/>
      </c>
      <c r="Q197" s="16">
        <f>IF(A197="","",IF(K197="Sim","Não – critério",IF(AND(ISNUMBER(F197),ABS(F197)&lt;=Parametros!$B$3),"Não – dentro da tolerância",IF(P197="Sim","Sim","Aguarda revisão"))))</f>
        <v/>
      </c>
    </row>
    <row r="198">
      <c r="A198" s="15" t="n"/>
      <c r="B198" s="15" t="n"/>
      <c r="C198" s="15" t="n"/>
      <c r="D198" s="24" t="n"/>
      <c r="E198" s="24" t="n"/>
      <c r="F198" s="22">
        <f>IF(OR(D198="",E198=""),"",D198-E198)</f>
        <v/>
      </c>
      <c r="G198" s="23">
        <f>IF(OR(D198="",E198="",E198=0),"",(D198-E198)/E198)</f>
        <v/>
      </c>
      <c r="H198" s="15" t="n"/>
      <c r="I198" s="15" t="n"/>
      <c r="J198" s="18" t="n"/>
      <c r="K198" s="15" t="n"/>
      <c r="L198" s="15" t="n"/>
      <c r="M198" s="15" t="n"/>
      <c r="N198" s="15" t="n"/>
      <c r="O198" s="15" t="n"/>
      <c r="P198" s="16">
        <f>IF(O198="","",IF(O198&lt;&gt;N198,"Sim","NÃO"))</f>
        <v/>
      </c>
      <c r="Q198" s="16">
        <f>IF(A198="","",IF(K198="Sim","Não – critério",IF(AND(ISNUMBER(F198),ABS(F198)&lt;=Parametros!$B$3),"Não – dentro da tolerância",IF(P198="Sim","Sim","Aguarda revisão"))))</f>
        <v/>
      </c>
    </row>
    <row r="199">
      <c r="A199" s="15" t="n"/>
      <c r="B199" s="15" t="n"/>
      <c r="C199" s="15" t="n"/>
      <c r="D199" s="24" t="n"/>
      <c r="E199" s="24" t="n"/>
      <c r="F199" s="22">
        <f>IF(OR(D199="",E199=""),"",D199-E199)</f>
        <v/>
      </c>
      <c r="G199" s="23">
        <f>IF(OR(D199="",E199="",E199=0),"",(D199-E199)/E199)</f>
        <v/>
      </c>
      <c r="H199" s="15" t="n"/>
      <c r="I199" s="15" t="n"/>
      <c r="J199" s="18" t="n"/>
      <c r="K199" s="15" t="n"/>
      <c r="L199" s="15" t="n"/>
      <c r="M199" s="15" t="n"/>
      <c r="N199" s="15" t="n"/>
      <c r="O199" s="15" t="n"/>
      <c r="P199" s="16">
        <f>IF(O199="","",IF(O199&lt;&gt;N199,"Sim","NÃO"))</f>
        <v/>
      </c>
      <c r="Q199" s="16">
        <f>IF(A199="","",IF(K199="Sim","Não – critério",IF(AND(ISNUMBER(F199),ABS(F199)&lt;=Parametros!$B$3),"Não – dentro da tolerância",IF(P199="Sim","Sim","Aguarda revisão"))))</f>
        <v/>
      </c>
    </row>
    <row r="200">
      <c r="A200" s="15" t="n"/>
      <c r="B200" s="15" t="n"/>
      <c r="C200" s="15" t="n"/>
      <c r="D200" s="24" t="n"/>
      <c r="E200" s="24" t="n"/>
      <c r="F200" s="22">
        <f>IF(OR(D200="",E200=""),"",D200-E200)</f>
        <v/>
      </c>
      <c r="G200" s="23">
        <f>IF(OR(D200="",E200="",E200=0),"",(D200-E200)/E200)</f>
        <v/>
      </c>
      <c r="H200" s="15" t="n"/>
      <c r="I200" s="15" t="n"/>
      <c r="J200" s="18" t="n"/>
      <c r="K200" s="15" t="n"/>
      <c r="L200" s="15" t="n"/>
      <c r="M200" s="15" t="n"/>
      <c r="N200" s="15" t="n"/>
      <c r="O200" s="15" t="n"/>
      <c r="P200" s="16">
        <f>IF(O200="","",IF(O200&lt;&gt;N200,"Sim","NÃO"))</f>
        <v/>
      </c>
      <c r="Q200" s="16">
        <f>IF(A200="","",IF(K200="Sim","Não – critério",IF(AND(ISNUMBER(F200),ABS(F200)&lt;=Parametros!$B$3),"Não – dentro da tolerância",IF(P200="Sim","Sim","Aguarda revisão"))))</f>
        <v/>
      </c>
    </row>
    <row r="201">
      <c r="A201" s="15" t="n"/>
      <c r="B201" s="15" t="n"/>
      <c r="C201" s="15" t="n"/>
      <c r="D201" s="24" t="n"/>
      <c r="E201" s="24" t="n"/>
      <c r="F201" s="22">
        <f>IF(OR(D201="",E201=""),"",D201-E201)</f>
        <v/>
      </c>
      <c r="G201" s="23">
        <f>IF(OR(D201="",E201="",E201=0),"",(D201-E201)/E201)</f>
        <v/>
      </c>
      <c r="H201" s="15" t="n"/>
      <c r="I201" s="15" t="n"/>
      <c r="J201" s="18" t="n"/>
      <c r="K201" s="15" t="n"/>
      <c r="L201" s="15" t="n"/>
      <c r="M201" s="15" t="n"/>
      <c r="N201" s="15" t="n"/>
      <c r="O201" s="15" t="n"/>
      <c r="P201" s="16">
        <f>IF(O201="","",IF(O201&lt;&gt;N201,"Sim","NÃO"))</f>
        <v/>
      </c>
      <c r="Q201" s="16">
        <f>IF(A201="","",IF(K201="Sim","Não – critério",IF(AND(ISNUMBER(F201),ABS(F201)&lt;=Parametros!$B$3),"Não – dentro da tolerância",IF(P201="Sim","Sim","Aguarda revisão"))))</f>
        <v/>
      </c>
    </row>
    <row r="202">
      <c r="A202" s="15" t="n"/>
      <c r="B202" s="15" t="n"/>
      <c r="C202" s="15" t="n"/>
      <c r="D202" s="24" t="n"/>
      <c r="E202" s="24" t="n"/>
      <c r="F202" s="22">
        <f>IF(OR(D202="",E202=""),"",D202-E202)</f>
        <v/>
      </c>
      <c r="G202" s="23">
        <f>IF(OR(D202="",E202="",E202=0),"",(D202-E202)/E202)</f>
        <v/>
      </c>
      <c r="H202" s="15" t="n"/>
      <c r="I202" s="15" t="n"/>
      <c r="J202" s="18" t="n"/>
      <c r="K202" s="15" t="n"/>
      <c r="L202" s="15" t="n"/>
      <c r="M202" s="15" t="n"/>
      <c r="N202" s="15" t="n"/>
      <c r="O202" s="15" t="n"/>
      <c r="P202" s="16">
        <f>IF(O202="","",IF(O202&lt;&gt;N202,"Sim","NÃO"))</f>
        <v/>
      </c>
      <c r="Q202" s="16">
        <f>IF(A202="","",IF(K202="Sim","Não – critério",IF(AND(ISNUMBER(F202),ABS(F202)&lt;=Parametros!$B$3),"Não – dentro da tolerância",IF(P202="Sim","Sim","Aguarda revisão"))))</f>
        <v/>
      </c>
    </row>
    <row r="203">
      <c r="A203" s="15" t="n"/>
      <c r="B203" s="15" t="n"/>
      <c r="C203" s="15" t="n"/>
      <c r="D203" s="24" t="n"/>
      <c r="E203" s="24" t="n"/>
      <c r="F203" s="22">
        <f>IF(OR(D203="",E203=""),"",D203-E203)</f>
        <v/>
      </c>
      <c r="G203" s="23">
        <f>IF(OR(D203="",E203="",E203=0),"",(D203-E203)/E203)</f>
        <v/>
      </c>
      <c r="H203" s="15" t="n"/>
      <c r="I203" s="15" t="n"/>
      <c r="J203" s="18" t="n"/>
      <c r="K203" s="15" t="n"/>
      <c r="L203" s="15" t="n"/>
      <c r="M203" s="15" t="n"/>
      <c r="N203" s="15" t="n"/>
      <c r="O203" s="15" t="n"/>
      <c r="P203" s="16">
        <f>IF(O203="","",IF(O203&lt;&gt;N203,"Sim","NÃO"))</f>
        <v/>
      </c>
      <c r="Q203" s="16">
        <f>IF(A203="","",IF(K203="Sim","Não – critério",IF(AND(ISNUMBER(F203),ABS(F203)&lt;=Parametros!$B$3),"Não – dentro da tolerância",IF(P203="Sim","Sim","Aguarda revisão"))))</f>
        <v/>
      </c>
    </row>
    <row r="204">
      <c r="A204" s="15" t="n"/>
      <c r="B204" s="15" t="n"/>
      <c r="C204" s="15" t="n"/>
      <c r="D204" s="24" t="n"/>
      <c r="E204" s="24" t="n"/>
      <c r="F204" s="22">
        <f>IF(OR(D204="",E204=""),"",D204-E204)</f>
        <v/>
      </c>
      <c r="G204" s="23">
        <f>IF(OR(D204="",E204="",E204=0),"",(D204-E204)/E204)</f>
        <v/>
      </c>
      <c r="H204" s="15" t="n"/>
      <c r="I204" s="15" t="n"/>
      <c r="J204" s="18" t="n"/>
      <c r="K204" s="15" t="n"/>
      <c r="L204" s="15" t="n"/>
      <c r="M204" s="15" t="n"/>
      <c r="N204" s="15" t="n"/>
      <c r="O204" s="15" t="n"/>
      <c r="P204" s="16">
        <f>IF(O204="","",IF(O204&lt;&gt;N204,"Sim","NÃO"))</f>
        <v/>
      </c>
      <c r="Q204" s="16">
        <f>IF(A204="","",IF(K204="Sim","Não – critério",IF(AND(ISNUMBER(F204),ABS(F204)&lt;=Parametros!$B$3),"Não – dentro da tolerância",IF(P204="Sim","Sim","Aguarda revisão"))))</f>
        <v/>
      </c>
    </row>
    <row r="205">
      <c r="A205" s="15" t="n"/>
      <c r="B205" s="15" t="n"/>
      <c r="C205" s="15" t="n"/>
      <c r="D205" s="24" t="n"/>
      <c r="E205" s="24" t="n"/>
      <c r="F205" s="22">
        <f>IF(OR(D205="",E205=""),"",D205-E205)</f>
        <v/>
      </c>
      <c r="G205" s="23">
        <f>IF(OR(D205="",E205="",E205=0),"",(D205-E205)/E205)</f>
        <v/>
      </c>
      <c r="H205" s="15" t="n"/>
      <c r="I205" s="15" t="n"/>
      <c r="J205" s="18" t="n"/>
      <c r="K205" s="15" t="n"/>
      <c r="L205" s="15" t="n"/>
      <c r="M205" s="15" t="n"/>
      <c r="N205" s="15" t="n"/>
      <c r="O205" s="15" t="n"/>
      <c r="P205" s="16">
        <f>IF(O205="","",IF(O205&lt;&gt;N205,"Sim","NÃO"))</f>
        <v/>
      </c>
      <c r="Q205" s="16">
        <f>IF(A205="","",IF(K205="Sim","Não – critério",IF(AND(ISNUMBER(F205),ABS(F205)&lt;=Parametros!$B$3),"Não – dentro da tolerância",IF(P205="Sim","Sim","Aguarda revisão"))))</f>
        <v/>
      </c>
    </row>
    <row r="206">
      <c r="A206" s="15" t="n"/>
      <c r="B206" s="15" t="n"/>
      <c r="C206" s="15" t="n"/>
      <c r="D206" s="24" t="n"/>
      <c r="E206" s="24" t="n"/>
      <c r="F206" s="22">
        <f>IF(OR(D206="",E206=""),"",D206-E206)</f>
        <v/>
      </c>
      <c r="G206" s="23">
        <f>IF(OR(D206="",E206="",E206=0),"",(D206-E206)/E206)</f>
        <v/>
      </c>
      <c r="H206" s="15" t="n"/>
      <c r="I206" s="15" t="n"/>
      <c r="J206" s="18" t="n"/>
      <c r="K206" s="15" t="n"/>
      <c r="L206" s="15" t="n"/>
      <c r="M206" s="15" t="n"/>
      <c r="N206" s="15" t="n"/>
      <c r="O206" s="15" t="n"/>
      <c r="P206" s="16">
        <f>IF(O206="","",IF(O206&lt;&gt;N206,"Sim","NÃO"))</f>
        <v/>
      </c>
      <c r="Q206" s="16">
        <f>IF(A206="","",IF(K206="Sim","Não – critério",IF(AND(ISNUMBER(F206),ABS(F206)&lt;=Parametros!$B$3),"Não – dentro da tolerância",IF(P206="Sim","Sim","Aguarda revisão"))))</f>
        <v/>
      </c>
    </row>
    <row r="207">
      <c r="A207" s="15" t="n"/>
      <c r="B207" s="15" t="n"/>
      <c r="C207" s="15" t="n"/>
      <c r="D207" s="24" t="n"/>
      <c r="E207" s="24" t="n"/>
      <c r="F207" s="22">
        <f>IF(OR(D207="",E207=""),"",D207-E207)</f>
        <v/>
      </c>
      <c r="G207" s="23">
        <f>IF(OR(D207="",E207="",E207=0),"",(D207-E207)/E207)</f>
        <v/>
      </c>
      <c r="H207" s="15" t="n"/>
      <c r="I207" s="15" t="n"/>
      <c r="J207" s="18" t="n"/>
      <c r="K207" s="15" t="n"/>
      <c r="L207" s="15" t="n"/>
      <c r="M207" s="15" t="n"/>
      <c r="N207" s="15" t="n"/>
      <c r="O207" s="15" t="n"/>
      <c r="P207" s="16">
        <f>IF(O207="","",IF(O207&lt;&gt;N207,"Sim","NÃO"))</f>
        <v/>
      </c>
      <c r="Q207" s="16">
        <f>IF(A207="","",IF(K207="Sim","Não – critério",IF(AND(ISNUMBER(F207),ABS(F207)&lt;=Parametros!$B$3),"Não – dentro da tolerância",IF(P207="Sim","Sim","Aguarda revisão"))))</f>
        <v/>
      </c>
    </row>
    <row r="208">
      <c r="A208" s="15" t="n"/>
      <c r="B208" s="15" t="n"/>
      <c r="C208" s="15" t="n"/>
      <c r="D208" s="24" t="n"/>
      <c r="E208" s="24" t="n"/>
      <c r="F208" s="22">
        <f>IF(OR(D208="",E208=""),"",D208-E208)</f>
        <v/>
      </c>
      <c r="G208" s="23">
        <f>IF(OR(D208="",E208="",E208=0),"",(D208-E208)/E208)</f>
        <v/>
      </c>
      <c r="H208" s="15" t="n"/>
      <c r="I208" s="15" t="n"/>
      <c r="J208" s="18" t="n"/>
      <c r="K208" s="15" t="n"/>
      <c r="L208" s="15" t="n"/>
      <c r="M208" s="15" t="n"/>
      <c r="N208" s="15" t="n"/>
      <c r="O208" s="15" t="n"/>
      <c r="P208" s="16">
        <f>IF(O208="","",IF(O208&lt;&gt;N208,"Sim","NÃO"))</f>
        <v/>
      </c>
      <c r="Q208" s="16">
        <f>IF(A208="","",IF(K208="Sim","Não – critério",IF(AND(ISNUMBER(F208),ABS(F208)&lt;=Parametros!$B$3),"Não – dentro da tolerância",IF(P208="Sim","Sim","Aguarda revisão"))))</f>
        <v/>
      </c>
    </row>
    <row r="209">
      <c r="A209" s="15" t="n"/>
      <c r="B209" s="15" t="n"/>
      <c r="C209" s="15" t="n"/>
      <c r="D209" s="24" t="n"/>
      <c r="E209" s="24" t="n"/>
      <c r="F209" s="22">
        <f>IF(OR(D209="",E209=""),"",D209-E209)</f>
        <v/>
      </c>
      <c r="G209" s="23">
        <f>IF(OR(D209="",E209="",E209=0),"",(D209-E209)/E209)</f>
        <v/>
      </c>
      <c r="H209" s="15" t="n"/>
      <c r="I209" s="15" t="n"/>
      <c r="J209" s="18" t="n"/>
      <c r="K209" s="15" t="n"/>
      <c r="L209" s="15" t="n"/>
      <c r="M209" s="15" t="n"/>
      <c r="N209" s="15" t="n"/>
      <c r="O209" s="15" t="n"/>
      <c r="P209" s="16">
        <f>IF(O209="","",IF(O209&lt;&gt;N209,"Sim","NÃO"))</f>
        <v/>
      </c>
      <c r="Q209" s="16">
        <f>IF(A209="","",IF(K209="Sim","Não – critério",IF(AND(ISNUMBER(F209),ABS(F209)&lt;=Parametros!$B$3),"Não – dentro da tolerância",IF(P209="Sim","Sim","Aguarda revisão"))))</f>
        <v/>
      </c>
    </row>
    <row r="210">
      <c r="A210" s="15" t="n"/>
      <c r="B210" s="15" t="n"/>
      <c r="C210" s="15" t="n"/>
      <c r="D210" s="24" t="n"/>
      <c r="E210" s="24" t="n"/>
      <c r="F210" s="22">
        <f>IF(OR(D210="",E210=""),"",D210-E210)</f>
        <v/>
      </c>
      <c r="G210" s="23">
        <f>IF(OR(D210="",E210="",E210=0),"",(D210-E210)/E210)</f>
        <v/>
      </c>
      <c r="H210" s="15" t="n"/>
      <c r="I210" s="15" t="n"/>
      <c r="J210" s="18" t="n"/>
      <c r="K210" s="15" t="n"/>
      <c r="L210" s="15" t="n"/>
      <c r="M210" s="15" t="n"/>
      <c r="N210" s="15" t="n"/>
      <c r="O210" s="15" t="n"/>
      <c r="P210" s="16">
        <f>IF(O210="","",IF(O210&lt;&gt;N210,"Sim","NÃO"))</f>
        <v/>
      </c>
      <c r="Q210" s="16">
        <f>IF(A210="","",IF(K210="Sim","Não – critério",IF(AND(ISNUMBER(F210),ABS(F210)&lt;=Parametros!$B$3),"Não – dentro da tolerância",IF(P210="Sim","Sim","Aguarda revisão"))))</f>
        <v/>
      </c>
    </row>
    <row r="211">
      <c r="A211" s="15" t="n"/>
      <c r="B211" s="15" t="n"/>
      <c r="C211" s="15" t="n"/>
      <c r="D211" s="24" t="n"/>
      <c r="E211" s="24" t="n"/>
      <c r="F211" s="22">
        <f>IF(OR(D211="",E211=""),"",D211-E211)</f>
        <v/>
      </c>
      <c r="G211" s="23">
        <f>IF(OR(D211="",E211="",E211=0),"",(D211-E211)/E211)</f>
        <v/>
      </c>
      <c r="H211" s="15" t="n"/>
      <c r="I211" s="15" t="n"/>
      <c r="J211" s="18" t="n"/>
      <c r="K211" s="15" t="n"/>
      <c r="L211" s="15" t="n"/>
      <c r="M211" s="15" t="n"/>
      <c r="N211" s="15" t="n"/>
      <c r="O211" s="15" t="n"/>
      <c r="P211" s="16">
        <f>IF(O211="","",IF(O211&lt;&gt;N211,"Sim","NÃO"))</f>
        <v/>
      </c>
      <c r="Q211" s="16">
        <f>IF(A211="","",IF(K211="Sim","Não – critério",IF(AND(ISNUMBER(F211),ABS(F211)&lt;=Parametros!$B$3),"Não – dentro da tolerância",IF(P211="Sim","Sim","Aguarda revisão"))))</f>
        <v/>
      </c>
    </row>
    <row r="212">
      <c r="A212" s="15" t="n"/>
      <c r="B212" s="15" t="n"/>
      <c r="C212" s="15" t="n"/>
      <c r="D212" s="24" t="n"/>
      <c r="E212" s="24" t="n"/>
      <c r="F212" s="22">
        <f>IF(OR(D212="",E212=""),"",D212-E212)</f>
        <v/>
      </c>
      <c r="G212" s="23">
        <f>IF(OR(D212="",E212="",E212=0),"",(D212-E212)/E212)</f>
        <v/>
      </c>
      <c r="H212" s="15" t="n"/>
      <c r="I212" s="15" t="n"/>
      <c r="J212" s="18" t="n"/>
      <c r="K212" s="15" t="n"/>
      <c r="L212" s="15" t="n"/>
      <c r="M212" s="15" t="n"/>
      <c r="N212" s="15" t="n"/>
      <c r="O212" s="15" t="n"/>
      <c r="P212" s="16">
        <f>IF(O212="","",IF(O212&lt;&gt;N212,"Sim","NÃO"))</f>
        <v/>
      </c>
      <c r="Q212" s="16">
        <f>IF(A212="","",IF(K212="Sim","Não – critério",IF(AND(ISNUMBER(F212),ABS(F212)&lt;=Parametros!$B$3),"Não – dentro da tolerância",IF(P212="Sim","Sim","Aguarda revisão"))))</f>
        <v/>
      </c>
    </row>
    <row r="213">
      <c r="A213" s="15" t="n"/>
      <c r="B213" s="15" t="n"/>
      <c r="C213" s="15" t="n"/>
      <c r="D213" s="24" t="n"/>
      <c r="E213" s="24" t="n"/>
      <c r="F213" s="22">
        <f>IF(OR(D213="",E213=""),"",D213-E213)</f>
        <v/>
      </c>
      <c r="G213" s="23">
        <f>IF(OR(D213="",E213="",E213=0),"",(D213-E213)/E213)</f>
        <v/>
      </c>
      <c r="H213" s="15" t="n"/>
      <c r="I213" s="15" t="n"/>
      <c r="J213" s="18" t="n"/>
      <c r="K213" s="15" t="n"/>
      <c r="L213" s="15" t="n"/>
      <c r="M213" s="15" t="n"/>
      <c r="N213" s="15" t="n"/>
      <c r="O213" s="15" t="n"/>
      <c r="P213" s="16">
        <f>IF(O213="","",IF(O213&lt;&gt;N213,"Sim","NÃO"))</f>
        <v/>
      </c>
      <c r="Q213" s="16">
        <f>IF(A213="","",IF(K213="Sim","Não – critério",IF(AND(ISNUMBER(F213),ABS(F213)&lt;=Parametros!$B$3),"Não – dentro da tolerância",IF(P213="Sim","Sim","Aguarda revisão"))))</f>
        <v/>
      </c>
    </row>
    <row r="214">
      <c r="A214" s="15" t="n"/>
      <c r="B214" s="15" t="n"/>
      <c r="C214" s="15" t="n"/>
      <c r="D214" s="24" t="n"/>
      <c r="E214" s="24" t="n"/>
      <c r="F214" s="22">
        <f>IF(OR(D214="",E214=""),"",D214-E214)</f>
        <v/>
      </c>
      <c r="G214" s="23">
        <f>IF(OR(D214="",E214="",E214=0),"",(D214-E214)/E214)</f>
        <v/>
      </c>
      <c r="H214" s="15" t="n"/>
      <c r="I214" s="15" t="n"/>
      <c r="J214" s="18" t="n"/>
      <c r="K214" s="15" t="n"/>
      <c r="L214" s="15" t="n"/>
      <c r="M214" s="15" t="n"/>
      <c r="N214" s="15" t="n"/>
      <c r="O214" s="15" t="n"/>
      <c r="P214" s="16">
        <f>IF(O214="","",IF(O214&lt;&gt;N214,"Sim","NÃO"))</f>
        <v/>
      </c>
      <c r="Q214" s="16">
        <f>IF(A214="","",IF(K214="Sim","Não – critério",IF(AND(ISNUMBER(F214),ABS(F214)&lt;=Parametros!$B$3),"Não – dentro da tolerância",IF(P214="Sim","Sim","Aguarda revisão"))))</f>
        <v/>
      </c>
    </row>
    <row r="215">
      <c r="A215" s="15" t="n"/>
      <c r="B215" s="15" t="n"/>
      <c r="C215" s="15" t="n"/>
      <c r="D215" s="24" t="n"/>
      <c r="E215" s="24" t="n"/>
      <c r="F215" s="22">
        <f>IF(OR(D215="",E215=""),"",D215-E215)</f>
        <v/>
      </c>
      <c r="G215" s="23">
        <f>IF(OR(D215="",E215="",E215=0),"",(D215-E215)/E215)</f>
        <v/>
      </c>
      <c r="H215" s="15" t="n"/>
      <c r="I215" s="15" t="n"/>
      <c r="J215" s="18" t="n"/>
      <c r="K215" s="15" t="n"/>
      <c r="L215" s="15" t="n"/>
      <c r="M215" s="15" t="n"/>
      <c r="N215" s="15" t="n"/>
      <c r="O215" s="15" t="n"/>
      <c r="P215" s="16">
        <f>IF(O215="","",IF(O215&lt;&gt;N215,"Sim","NÃO"))</f>
        <v/>
      </c>
      <c r="Q215" s="16">
        <f>IF(A215="","",IF(K215="Sim","Não – critério",IF(AND(ISNUMBER(F215),ABS(F215)&lt;=Parametros!$B$3),"Não – dentro da tolerância",IF(P215="Sim","Sim","Aguarda revisão"))))</f>
        <v/>
      </c>
    </row>
    <row r="216">
      <c r="A216" s="15" t="n"/>
      <c r="B216" s="15" t="n"/>
      <c r="C216" s="15" t="n"/>
      <c r="D216" s="24" t="n"/>
      <c r="E216" s="24" t="n"/>
      <c r="F216" s="22">
        <f>IF(OR(D216="",E216=""),"",D216-E216)</f>
        <v/>
      </c>
      <c r="G216" s="23">
        <f>IF(OR(D216="",E216="",E216=0),"",(D216-E216)/E216)</f>
        <v/>
      </c>
      <c r="H216" s="15" t="n"/>
      <c r="I216" s="15" t="n"/>
      <c r="J216" s="18" t="n"/>
      <c r="K216" s="15" t="n"/>
      <c r="L216" s="15" t="n"/>
      <c r="M216" s="15" t="n"/>
      <c r="N216" s="15" t="n"/>
      <c r="O216" s="15" t="n"/>
      <c r="P216" s="16">
        <f>IF(O216="","",IF(O216&lt;&gt;N216,"Sim","NÃO"))</f>
        <v/>
      </c>
      <c r="Q216" s="16">
        <f>IF(A216="","",IF(K216="Sim","Não – critério",IF(AND(ISNUMBER(F216),ABS(F216)&lt;=Parametros!$B$3),"Não – dentro da tolerância",IF(P216="Sim","Sim","Aguarda revisão"))))</f>
        <v/>
      </c>
    </row>
    <row r="217">
      <c r="A217" s="15" t="n"/>
      <c r="B217" s="15" t="n"/>
      <c r="C217" s="15" t="n"/>
      <c r="D217" s="24" t="n"/>
      <c r="E217" s="24" t="n"/>
      <c r="F217" s="22">
        <f>IF(OR(D217="",E217=""),"",D217-E217)</f>
        <v/>
      </c>
      <c r="G217" s="23">
        <f>IF(OR(D217="",E217="",E217=0),"",(D217-E217)/E217)</f>
        <v/>
      </c>
      <c r="H217" s="15" t="n"/>
      <c r="I217" s="15" t="n"/>
      <c r="J217" s="18" t="n"/>
      <c r="K217" s="15" t="n"/>
      <c r="L217" s="15" t="n"/>
      <c r="M217" s="15" t="n"/>
      <c r="N217" s="15" t="n"/>
      <c r="O217" s="15" t="n"/>
      <c r="P217" s="16">
        <f>IF(O217="","",IF(O217&lt;&gt;N217,"Sim","NÃO"))</f>
        <v/>
      </c>
      <c r="Q217" s="16">
        <f>IF(A217="","",IF(K217="Sim","Não – critério",IF(AND(ISNUMBER(F217),ABS(F217)&lt;=Parametros!$B$3),"Não – dentro da tolerância",IF(P217="Sim","Sim","Aguarda revisão"))))</f>
        <v/>
      </c>
    </row>
    <row r="218">
      <c r="A218" s="15" t="n"/>
      <c r="B218" s="15" t="n"/>
      <c r="C218" s="15" t="n"/>
      <c r="D218" s="24" t="n"/>
      <c r="E218" s="24" t="n"/>
      <c r="F218" s="22">
        <f>IF(OR(D218="",E218=""),"",D218-E218)</f>
        <v/>
      </c>
      <c r="G218" s="23">
        <f>IF(OR(D218="",E218="",E218=0),"",(D218-E218)/E218)</f>
        <v/>
      </c>
      <c r="H218" s="15" t="n"/>
      <c r="I218" s="15" t="n"/>
      <c r="J218" s="18" t="n"/>
      <c r="K218" s="15" t="n"/>
      <c r="L218" s="15" t="n"/>
      <c r="M218" s="15" t="n"/>
      <c r="N218" s="15" t="n"/>
      <c r="O218" s="15" t="n"/>
      <c r="P218" s="16">
        <f>IF(O218="","",IF(O218&lt;&gt;N218,"Sim","NÃO"))</f>
        <v/>
      </c>
      <c r="Q218" s="16">
        <f>IF(A218="","",IF(K218="Sim","Não – critério",IF(AND(ISNUMBER(F218),ABS(F218)&lt;=Parametros!$B$3),"Não – dentro da tolerância",IF(P218="Sim","Sim","Aguarda revisão"))))</f>
        <v/>
      </c>
    </row>
    <row r="219">
      <c r="A219" s="15" t="n"/>
      <c r="B219" s="15" t="n"/>
      <c r="C219" s="15" t="n"/>
      <c r="D219" s="24" t="n"/>
      <c r="E219" s="24" t="n"/>
      <c r="F219" s="22">
        <f>IF(OR(D219="",E219=""),"",D219-E219)</f>
        <v/>
      </c>
      <c r="G219" s="23">
        <f>IF(OR(D219="",E219="",E219=0),"",(D219-E219)/E219)</f>
        <v/>
      </c>
      <c r="H219" s="15" t="n"/>
      <c r="I219" s="15" t="n"/>
      <c r="J219" s="18" t="n"/>
      <c r="K219" s="15" t="n"/>
      <c r="L219" s="15" t="n"/>
      <c r="M219" s="15" t="n"/>
      <c r="N219" s="15" t="n"/>
      <c r="O219" s="15" t="n"/>
      <c r="P219" s="16">
        <f>IF(O219="","",IF(O219&lt;&gt;N219,"Sim","NÃO"))</f>
        <v/>
      </c>
      <c r="Q219" s="16">
        <f>IF(A219="","",IF(K219="Sim","Não – critério",IF(AND(ISNUMBER(F219),ABS(F219)&lt;=Parametros!$B$3),"Não – dentro da tolerância",IF(P219="Sim","Sim","Aguarda revisão"))))</f>
        <v/>
      </c>
    </row>
    <row r="220">
      <c r="A220" s="15" t="n"/>
      <c r="B220" s="15" t="n"/>
      <c r="C220" s="15" t="n"/>
      <c r="D220" s="24" t="n"/>
      <c r="E220" s="24" t="n"/>
      <c r="F220" s="22">
        <f>IF(OR(D220="",E220=""),"",D220-E220)</f>
        <v/>
      </c>
      <c r="G220" s="23">
        <f>IF(OR(D220="",E220="",E220=0),"",(D220-E220)/E220)</f>
        <v/>
      </c>
      <c r="H220" s="15" t="n"/>
      <c r="I220" s="15" t="n"/>
      <c r="J220" s="18" t="n"/>
      <c r="K220" s="15" t="n"/>
      <c r="L220" s="15" t="n"/>
      <c r="M220" s="15" t="n"/>
      <c r="N220" s="15" t="n"/>
      <c r="O220" s="15" t="n"/>
      <c r="P220" s="16">
        <f>IF(O220="","",IF(O220&lt;&gt;N220,"Sim","NÃO"))</f>
        <v/>
      </c>
      <c r="Q220" s="16">
        <f>IF(A220="","",IF(K220="Sim","Não – critério",IF(AND(ISNUMBER(F220),ABS(F220)&lt;=Parametros!$B$3),"Não – dentro da tolerância",IF(P220="Sim","Sim","Aguarda revisão"))))</f>
        <v/>
      </c>
    </row>
    <row r="221">
      <c r="A221" s="15" t="n"/>
      <c r="B221" s="15" t="n"/>
      <c r="C221" s="15" t="n"/>
      <c r="D221" s="24" t="n"/>
      <c r="E221" s="24" t="n"/>
      <c r="F221" s="22">
        <f>IF(OR(D221="",E221=""),"",D221-E221)</f>
        <v/>
      </c>
      <c r="G221" s="23">
        <f>IF(OR(D221="",E221="",E221=0),"",(D221-E221)/E221)</f>
        <v/>
      </c>
      <c r="H221" s="15" t="n"/>
      <c r="I221" s="15" t="n"/>
      <c r="J221" s="18" t="n"/>
      <c r="K221" s="15" t="n"/>
      <c r="L221" s="15" t="n"/>
      <c r="M221" s="15" t="n"/>
      <c r="N221" s="15" t="n"/>
      <c r="O221" s="15" t="n"/>
      <c r="P221" s="16">
        <f>IF(O221="","",IF(O221&lt;&gt;N221,"Sim","NÃO"))</f>
        <v/>
      </c>
      <c r="Q221" s="16">
        <f>IF(A221="","",IF(K221="Sim","Não – critério",IF(AND(ISNUMBER(F221),ABS(F221)&lt;=Parametros!$B$3),"Não – dentro da tolerância",IF(P221="Sim","Sim","Aguarda revisão"))))</f>
        <v/>
      </c>
    </row>
    <row r="222">
      <c r="A222" s="15" t="n"/>
      <c r="B222" s="15" t="n"/>
      <c r="C222" s="15" t="n"/>
      <c r="D222" s="24" t="n"/>
      <c r="E222" s="24" t="n"/>
      <c r="F222" s="22">
        <f>IF(OR(D222="",E222=""),"",D222-E222)</f>
        <v/>
      </c>
      <c r="G222" s="23">
        <f>IF(OR(D222="",E222="",E222=0),"",(D222-E222)/E222)</f>
        <v/>
      </c>
      <c r="H222" s="15" t="n"/>
      <c r="I222" s="15" t="n"/>
      <c r="J222" s="18" t="n"/>
      <c r="K222" s="15" t="n"/>
      <c r="L222" s="15" t="n"/>
      <c r="M222" s="15" t="n"/>
      <c r="N222" s="15" t="n"/>
      <c r="O222" s="15" t="n"/>
      <c r="P222" s="16">
        <f>IF(O222="","",IF(O222&lt;&gt;N222,"Sim","NÃO"))</f>
        <v/>
      </c>
      <c r="Q222" s="16">
        <f>IF(A222="","",IF(K222="Sim","Não – critério",IF(AND(ISNUMBER(F222),ABS(F222)&lt;=Parametros!$B$3),"Não – dentro da tolerância",IF(P222="Sim","Sim","Aguarda revisão"))))</f>
        <v/>
      </c>
    </row>
    <row r="223">
      <c r="A223" s="15" t="n"/>
      <c r="B223" s="15" t="n"/>
      <c r="C223" s="15" t="n"/>
      <c r="D223" s="24" t="n"/>
      <c r="E223" s="24" t="n"/>
      <c r="F223" s="22">
        <f>IF(OR(D223="",E223=""),"",D223-E223)</f>
        <v/>
      </c>
      <c r="G223" s="23">
        <f>IF(OR(D223="",E223="",E223=0),"",(D223-E223)/E223)</f>
        <v/>
      </c>
      <c r="H223" s="15" t="n"/>
      <c r="I223" s="15" t="n"/>
      <c r="J223" s="18" t="n"/>
      <c r="K223" s="15" t="n"/>
      <c r="L223" s="15" t="n"/>
      <c r="M223" s="15" t="n"/>
      <c r="N223" s="15" t="n"/>
      <c r="O223" s="15" t="n"/>
      <c r="P223" s="16">
        <f>IF(O223="","",IF(O223&lt;&gt;N223,"Sim","NÃO"))</f>
        <v/>
      </c>
      <c r="Q223" s="16">
        <f>IF(A223="","",IF(K223="Sim","Não – critério",IF(AND(ISNUMBER(F223),ABS(F223)&lt;=Parametros!$B$3),"Não – dentro da tolerância",IF(P223="Sim","Sim","Aguarda revisão"))))</f>
        <v/>
      </c>
    </row>
    <row r="224">
      <c r="A224" s="15" t="n"/>
      <c r="B224" s="15" t="n"/>
      <c r="C224" s="15" t="n"/>
      <c r="D224" s="24" t="n"/>
      <c r="E224" s="24" t="n"/>
      <c r="F224" s="22">
        <f>IF(OR(D224="",E224=""),"",D224-E224)</f>
        <v/>
      </c>
      <c r="G224" s="23">
        <f>IF(OR(D224="",E224="",E224=0),"",(D224-E224)/E224)</f>
        <v/>
      </c>
      <c r="H224" s="15" t="n"/>
      <c r="I224" s="15" t="n"/>
      <c r="J224" s="18" t="n"/>
      <c r="K224" s="15" t="n"/>
      <c r="L224" s="15" t="n"/>
      <c r="M224" s="15" t="n"/>
      <c r="N224" s="15" t="n"/>
      <c r="O224" s="15" t="n"/>
      <c r="P224" s="16">
        <f>IF(O224="","",IF(O224&lt;&gt;N224,"Sim","NÃO"))</f>
        <v/>
      </c>
      <c r="Q224" s="16">
        <f>IF(A224="","",IF(K224="Sim","Não – critério",IF(AND(ISNUMBER(F224),ABS(F224)&lt;=Parametros!$B$3),"Não – dentro da tolerância",IF(P224="Sim","Sim","Aguarda revisão"))))</f>
        <v/>
      </c>
    </row>
    <row r="225">
      <c r="A225" s="15" t="n"/>
      <c r="B225" s="15" t="n"/>
      <c r="C225" s="15" t="n"/>
      <c r="D225" s="24" t="n"/>
      <c r="E225" s="24" t="n"/>
      <c r="F225" s="22">
        <f>IF(OR(D225="",E225=""),"",D225-E225)</f>
        <v/>
      </c>
      <c r="G225" s="23">
        <f>IF(OR(D225="",E225="",E225=0),"",(D225-E225)/E225)</f>
        <v/>
      </c>
      <c r="H225" s="15" t="n"/>
      <c r="I225" s="15" t="n"/>
      <c r="J225" s="18" t="n"/>
      <c r="K225" s="15" t="n"/>
      <c r="L225" s="15" t="n"/>
      <c r="M225" s="15" t="n"/>
      <c r="N225" s="15" t="n"/>
      <c r="O225" s="15" t="n"/>
      <c r="P225" s="16">
        <f>IF(O225="","",IF(O225&lt;&gt;N225,"Sim","NÃO"))</f>
        <v/>
      </c>
      <c r="Q225" s="16">
        <f>IF(A225="","",IF(K225="Sim","Não – critério",IF(AND(ISNUMBER(F225),ABS(F225)&lt;=Parametros!$B$3),"Não – dentro da tolerância",IF(P225="Sim","Sim","Aguarda revisão"))))</f>
        <v/>
      </c>
    </row>
    <row r="226">
      <c r="A226" s="15" t="n"/>
      <c r="B226" s="15" t="n"/>
      <c r="C226" s="15" t="n"/>
      <c r="D226" s="24" t="n"/>
      <c r="E226" s="24" t="n"/>
      <c r="F226" s="22">
        <f>IF(OR(D226="",E226=""),"",D226-E226)</f>
        <v/>
      </c>
      <c r="G226" s="23">
        <f>IF(OR(D226="",E226="",E226=0),"",(D226-E226)/E226)</f>
        <v/>
      </c>
      <c r="H226" s="15" t="n"/>
      <c r="I226" s="15" t="n"/>
      <c r="J226" s="18" t="n"/>
      <c r="K226" s="15" t="n"/>
      <c r="L226" s="15" t="n"/>
      <c r="M226" s="15" t="n"/>
      <c r="N226" s="15" t="n"/>
      <c r="O226" s="15" t="n"/>
      <c r="P226" s="16">
        <f>IF(O226="","",IF(O226&lt;&gt;N226,"Sim","NÃO"))</f>
        <v/>
      </c>
      <c r="Q226" s="16">
        <f>IF(A226="","",IF(K226="Sim","Não – critério",IF(AND(ISNUMBER(F226),ABS(F226)&lt;=Parametros!$B$3),"Não – dentro da tolerância",IF(P226="Sim","Sim","Aguarda revisão"))))</f>
        <v/>
      </c>
    </row>
    <row r="227">
      <c r="A227" s="15" t="n"/>
      <c r="B227" s="15" t="n"/>
      <c r="C227" s="15" t="n"/>
      <c r="D227" s="24" t="n"/>
      <c r="E227" s="24" t="n"/>
      <c r="F227" s="22">
        <f>IF(OR(D227="",E227=""),"",D227-E227)</f>
        <v/>
      </c>
      <c r="G227" s="23">
        <f>IF(OR(D227="",E227="",E227=0),"",(D227-E227)/E227)</f>
        <v/>
      </c>
      <c r="H227" s="15" t="n"/>
      <c r="I227" s="15" t="n"/>
      <c r="J227" s="18" t="n"/>
      <c r="K227" s="15" t="n"/>
      <c r="L227" s="15" t="n"/>
      <c r="M227" s="15" t="n"/>
      <c r="N227" s="15" t="n"/>
      <c r="O227" s="15" t="n"/>
      <c r="P227" s="16">
        <f>IF(O227="","",IF(O227&lt;&gt;N227,"Sim","NÃO"))</f>
        <v/>
      </c>
      <c r="Q227" s="16">
        <f>IF(A227="","",IF(K227="Sim","Não – critério",IF(AND(ISNUMBER(F227),ABS(F227)&lt;=Parametros!$B$3),"Não – dentro da tolerância",IF(P227="Sim","Sim","Aguarda revisão"))))</f>
        <v/>
      </c>
    </row>
    <row r="228">
      <c r="A228" s="15" t="n"/>
      <c r="B228" s="15" t="n"/>
      <c r="C228" s="15" t="n"/>
      <c r="D228" s="24" t="n"/>
      <c r="E228" s="24" t="n"/>
      <c r="F228" s="22">
        <f>IF(OR(D228="",E228=""),"",D228-E228)</f>
        <v/>
      </c>
      <c r="G228" s="23">
        <f>IF(OR(D228="",E228="",E228=0),"",(D228-E228)/E228)</f>
        <v/>
      </c>
      <c r="H228" s="15" t="n"/>
      <c r="I228" s="15" t="n"/>
      <c r="J228" s="18" t="n"/>
      <c r="K228" s="15" t="n"/>
      <c r="L228" s="15" t="n"/>
      <c r="M228" s="15" t="n"/>
      <c r="N228" s="15" t="n"/>
      <c r="O228" s="15" t="n"/>
      <c r="P228" s="16">
        <f>IF(O228="","",IF(O228&lt;&gt;N228,"Sim","NÃO"))</f>
        <v/>
      </c>
      <c r="Q228" s="16">
        <f>IF(A228="","",IF(K228="Sim","Não – critério",IF(AND(ISNUMBER(F228),ABS(F228)&lt;=Parametros!$B$3),"Não – dentro da tolerância",IF(P228="Sim","Sim","Aguarda revisão"))))</f>
        <v/>
      </c>
    </row>
    <row r="229">
      <c r="A229" s="15" t="n"/>
      <c r="B229" s="15" t="n"/>
      <c r="C229" s="15" t="n"/>
      <c r="D229" s="24" t="n"/>
      <c r="E229" s="24" t="n"/>
      <c r="F229" s="22">
        <f>IF(OR(D229="",E229=""),"",D229-E229)</f>
        <v/>
      </c>
      <c r="G229" s="23">
        <f>IF(OR(D229="",E229="",E229=0),"",(D229-E229)/E229)</f>
        <v/>
      </c>
      <c r="H229" s="15" t="n"/>
      <c r="I229" s="15" t="n"/>
      <c r="J229" s="18" t="n"/>
      <c r="K229" s="15" t="n"/>
      <c r="L229" s="15" t="n"/>
      <c r="M229" s="15" t="n"/>
      <c r="N229" s="15" t="n"/>
      <c r="O229" s="15" t="n"/>
      <c r="P229" s="16">
        <f>IF(O229="","",IF(O229&lt;&gt;N229,"Sim","NÃO"))</f>
        <v/>
      </c>
      <c r="Q229" s="16">
        <f>IF(A229="","",IF(K229="Sim","Não – critério",IF(AND(ISNUMBER(F229),ABS(F229)&lt;=Parametros!$B$3),"Não – dentro da tolerância",IF(P229="Sim","Sim","Aguarda revisão"))))</f>
        <v/>
      </c>
    </row>
    <row r="230">
      <c r="A230" s="15" t="n"/>
      <c r="B230" s="15" t="n"/>
      <c r="C230" s="15" t="n"/>
      <c r="D230" s="24" t="n"/>
      <c r="E230" s="24" t="n"/>
      <c r="F230" s="22">
        <f>IF(OR(D230="",E230=""),"",D230-E230)</f>
        <v/>
      </c>
      <c r="G230" s="23">
        <f>IF(OR(D230="",E230="",E230=0),"",(D230-E230)/E230)</f>
        <v/>
      </c>
      <c r="H230" s="15" t="n"/>
      <c r="I230" s="15" t="n"/>
      <c r="J230" s="18" t="n"/>
      <c r="K230" s="15" t="n"/>
      <c r="L230" s="15" t="n"/>
      <c r="M230" s="15" t="n"/>
      <c r="N230" s="15" t="n"/>
      <c r="O230" s="15" t="n"/>
      <c r="P230" s="16">
        <f>IF(O230="","",IF(O230&lt;&gt;N230,"Sim","NÃO"))</f>
        <v/>
      </c>
      <c r="Q230" s="16">
        <f>IF(A230="","",IF(K230="Sim","Não – critério",IF(AND(ISNUMBER(F230),ABS(F230)&lt;=Parametros!$B$3),"Não – dentro da tolerância",IF(P230="Sim","Sim","Aguarda revisão"))))</f>
        <v/>
      </c>
    </row>
    <row r="231">
      <c r="A231" s="15" t="n"/>
      <c r="B231" s="15" t="n"/>
      <c r="C231" s="15" t="n"/>
      <c r="D231" s="24" t="n"/>
      <c r="E231" s="24" t="n"/>
      <c r="F231" s="22">
        <f>IF(OR(D231="",E231=""),"",D231-E231)</f>
        <v/>
      </c>
      <c r="G231" s="23">
        <f>IF(OR(D231="",E231="",E231=0),"",(D231-E231)/E231)</f>
        <v/>
      </c>
      <c r="H231" s="15" t="n"/>
      <c r="I231" s="15" t="n"/>
      <c r="J231" s="18" t="n"/>
      <c r="K231" s="15" t="n"/>
      <c r="L231" s="15" t="n"/>
      <c r="M231" s="15" t="n"/>
      <c r="N231" s="15" t="n"/>
      <c r="O231" s="15" t="n"/>
      <c r="P231" s="16">
        <f>IF(O231="","",IF(O231&lt;&gt;N231,"Sim","NÃO"))</f>
        <v/>
      </c>
      <c r="Q231" s="16">
        <f>IF(A231="","",IF(K231="Sim","Não – critério",IF(AND(ISNUMBER(F231),ABS(F231)&lt;=Parametros!$B$3),"Não – dentro da tolerância",IF(P231="Sim","Sim","Aguarda revisão"))))</f>
        <v/>
      </c>
    </row>
    <row r="232">
      <c r="A232" s="15" t="n"/>
      <c r="B232" s="15" t="n"/>
      <c r="C232" s="15" t="n"/>
      <c r="D232" s="24" t="n"/>
      <c r="E232" s="24" t="n"/>
      <c r="F232" s="22">
        <f>IF(OR(D232="",E232=""),"",D232-E232)</f>
        <v/>
      </c>
      <c r="G232" s="23">
        <f>IF(OR(D232="",E232="",E232=0),"",(D232-E232)/E232)</f>
        <v/>
      </c>
      <c r="H232" s="15" t="n"/>
      <c r="I232" s="15" t="n"/>
      <c r="J232" s="18" t="n"/>
      <c r="K232" s="15" t="n"/>
      <c r="L232" s="15" t="n"/>
      <c r="M232" s="15" t="n"/>
      <c r="N232" s="15" t="n"/>
      <c r="O232" s="15" t="n"/>
      <c r="P232" s="16">
        <f>IF(O232="","",IF(O232&lt;&gt;N232,"Sim","NÃO"))</f>
        <v/>
      </c>
      <c r="Q232" s="16">
        <f>IF(A232="","",IF(K232="Sim","Não – critério",IF(AND(ISNUMBER(F232),ABS(F232)&lt;=Parametros!$B$3),"Não – dentro da tolerância",IF(P232="Sim","Sim","Aguarda revisão"))))</f>
        <v/>
      </c>
    </row>
    <row r="233">
      <c r="A233" s="15" t="n"/>
      <c r="B233" s="15" t="n"/>
      <c r="C233" s="15" t="n"/>
      <c r="D233" s="24" t="n"/>
      <c r="E233" s="24" t="n"/>
      <c r="F233" s="22">
        <f>IF(OR(D233="",E233=""),"",D233-E233)</f>
        <v/>
      </c>
      <c r="G233" s="23">
        <f>IF(OR(D233="",E233="",E233=0),"",(D233-E233)/E233)</f>
        <v/>
      </c>
      <c r="H233" s="15" t="n"/>
      <c r="I233" s="15" t="n"/>
      <c r="J233" s="18" t="n"/>
      <c r="K233" s="15" t="n"/>
      <c r="L233" s="15" t="n"/>
      <c r="M233" s="15" t="n"/>
      <c r="N233" s="15" t="n"/>
      <c r="O233" s="15" t="n"/>
      <c r="P233" s="16">
        <f>IF(O233="","",IF(O233&lt;&gt;N233,"Sim","NÃO"))</f>
        <v/>
      </c>
      <c r="Q233" s="16">
        <f>IF(A233="","",IF(K233="Sim","Não – critério",IF(AND(ISNUMBER(F233),ABS(F233)&lt;=Parametros!$B$3),"Não – dentro da tolerância",IF(P233="Sim","Sim","Aguarda revisão"))))</f>
        <v/>
      </c>
    </row>
    <row r="234">
      <c r="A234" s="15" t="n"/>
      <c r="B234" s="15" t="n"/>
      <c r="C234" s="15" t="n"/>
      <c r="D234" s="24" t="n"/>
      <c r="E234" s="24" t="n"/>
      <c r="F234" s="22">
        <f>IF(OR(D234="",E234=""),"",D234-E234)</f>
        <v/>
      </c>
      <c r="G234" s="23">
        <f>IF(OR(D234="",E234="",E234=0),"",(D234-E234)/E234)</f>
        <v/>
      </c>
      <c r="H234" s="15" t="n"/>
      <c r="I234" s="15" t="n"/>
      <c r="J234" s="18" t="n"/>
      <c r="K234" s="15" t="n"/>
      <c r="L234" s="15" t="n"/>
      <c r="M234" s="15" t="n"/>
      <c r="N234" s="15" t="n"/>
      <c r="O234" s="15" t="n"/>
      <c r="P234" s="16">
        <f>IF(O234="","",IF(O234&lt;&gt;N234,"Sim","NÃO"))</f>
        <v/>
      </c>
      <c r="Q234" s="16">
        <f>IF(A234="","",IF(K234="Sim","Não – critério",IF(AND(ISNUMBER(F234),ABS(F234)&lt;=Parametros!$B$3),"Não – dentro da tolerância",IF(P234="Sim","Sim","Aguarda revisão"))))</f>
        <v/>
      </c>
    </row>
    <row r="235">
      <c r="A235" s="15" t="n"/>
      <c r="B235" s="15" t="n"/>
      <c r="C235" s="15" t="n"/>
      <c r="D235" s="24" t="n"/>
      <c r="E235" s="24" t="n"/>
      <c r="F235" s="22">
        <f>IF(OR(D235="",E235=""),"",D235-E235)</f>
        <v/>
      </c>
      <c r="G235" s="23">
        <f>IF(OR(D235="",E235="",E235=0),"",(D235-E235)/E235)</f>
        <v/>
      </c>
      <c r="H235" s="15" t="n"/>
      <c r="I235" s="15" t="n"/>
      <c r="J235" s="18" t="n"/>
      <c r="K235" s="15" t="n"/>
      <c r="L235" s="15" t="n"/>
      <c r="M235" s="15" t="n"/>
      <c r="N235" s="15" t="n"/>
      <c r="O235" s="15" t="n"/>
      <c r="P235" s="16">
        <f>IF(O235="","",IF(O235&lt;&gt;N235,"Sim","NÃO"))</f>
        <v/>
      </c>
      <c r="Q235" s="16">
        <f>IF(A235="","",IF(K235="Sim","Não – critério",IF(AND(ISNUMBER(F235),ABS(F235)&lt;=Parametros!$B$3),"Não – dentro da tolerância",IF(P235="Sim","Sim","Aguarda revisão"))))</f>
        <v/>
      </c>
    </row>
    <row r="236">
      <c r="A236" s="15" t="n"/>
      <c r="B236" s="15" t="n"/>
      <c r="C236" s="15" t="n"/>
      <c r="D236" s="24" t="n"/>
      <c r="E236" s="24" t="n"/>
      <c r="F236" s="22">
        <f>IF(OR(D236="",E236=""),"",D236-E236)</f>
        <v/>
      </c>
      <c r="G236" s="23">
        <f>IF(OR(D236="",E236="",E236=0),"",(D236-E236)/E236)</f>
        <v/>
      </c>
      <c r="H236" s="15" t="n"/>
      <c r="I236" s="15" t="n"/>
      <c r="J236" s="18" t="n"/>
      <c r="K236" s="15" t="n"/>
      <c r="L236" s="15" t="n"/>
      <c r="M236" s="15" t="n"/>
      <c r="N236" s="15" t="n"/>
      <c r="O236" s="15" t="n"/>
      <c r="P236" s="16">
        <f>IF(O236="","",IF(O236&lt;&gt;N236,"Sim","NÃO"))</f>
        <v/>
      </c>
      <c r="Q236" s="16">
        <f>IF(A236="","",IF(K236="Sim","Não – critério",IF(AND(ISNUMBER(F236),ABS(F236)&lt;=Parametros!$B$3),"Não – dentro da tolerância",IF(P236="Sim","Sim","Aguarda revisão"))))</f>
        <v/>
      </c>
    </row>
    <row r="237">
      <c r="A237" s="15" t="n"/>
      <c r="B237" s="15" t="n"/>
      <c r="C237" s="15" t="n"/>
      <c r="D237" s="24" t="n"/>
      <c r="E237" s="24" t="n"/>
      <c r="F237" s="22">
        <f>IF(OR(D237="",E237=""),"",D237-E237)</f>
        <v/>
      </c>
      <c r="G237" s="23">
        <f>IF(OR(D237="",E237="",E237=0),"",(D237-E237)/E237)</f>
        <v/>
      </c>
      <c r="H237" s="15" t="n"/>
      <c r="I237" s="15" t="n"/>
      <c r="J237" s="18" t="n"/>
      <c r="K237" s="15" t="n"/>
      <c r="L237" s="15" t="n"/>
      <c r="M237" s="15" t="n"/>
      <c r="N237" s="15" t="n"/>
      <c r="O237" s="15" t="n"/>
      <c r="P237" s="16">
        <f>IF(O237="","",IF(O237&lt;&gt;N237,"Sim","NÃO"))</f>
        <v/>
      </c>
      <c r="Q237" s="16">
        <f>IF(A237="","",IF(K237="Sim","Não – critério",IF(AND(ISNUMBER(F237),ABS(F237)&lt;=Parametros!$B$3),"Não – dentro da tolerância",IF(P237="Sim","Sim","Aguarda revisão"))))</f>
        <v/>
      </c>
    </row>
    <row r="238">
      <c r="A238" s="15" t="n"/>
      <c r="B238" s="15" t="n"/>
      <c r="C238" s="15" t="n"/>
      <c r="D238" s="24" t="n"/>
      <c r="E238" s="24" t="n"/>
      <c r="F238" s="22">
        <f>IF(OR(D238="",E238=""),"",D238-E238)</f>
        <v/>
      </c>
      <c r="G238" s="23">
        <f>IF(OR(D238="",E238="",E238=0),"",(D238-E238)/E238)</f>
        <v/>
      </c>
      <c r="H238" s="15" t="n"/>
      <c r="I238" s="15" t="n"/>
      <c r="J238" s="18" t="n"/>
      <c r="K238" s="15" t="n"/>
      <c r="L238" s="15" t="n"/>
      <c r="M238" s="15" t="n"/>
      <c r="N238" s="15" t="n"/>
      <c r="O238" s="15" t="n"/>
      <c r="P238" s="16">
        <f>IF(O238="","",IF(O238&lt;&gt;N238,"Sim","NÃO"))</f>
        <v/>
      </c>
      <c r="Q238" s="16">
        <f>IF(A238="","",IF(K238="Sim","Não – critério",IF(AND(ISNUMBER(F238),ABS(F238)&lt;=Parametros!$B$3),"Não – dentro da tolerância",IF(P238="Sim","Sim","Aguarda revisão"))))</f>
        <v/>
      </c>
    </row>
    <row r="239">
      <c r="A239" s="15" t="n"/>
      <c r="B239" s="15" t="n"/>
      <c r="C239" s="15" t="n"/>
      <c r="D239" s="24" t="n"/>
      <c r="E239" s="24" t="n"/>
      <c r="F239" s="22">
        <f>IF(OR(D239="",E239=""),"",D239-E239)</f>
        <v/>
      </c>
      <c r="G239" s="23">
        <f>IF(OR(D239="",E239="",E239=0),"",(D239-E239)/E239)</f>
        <v/>
      </c>
      <c r="H239" s="15" t="n"/>
      <c r="I239" s="15" t="n"/>
      <c r="J239" s="18" t="n"/>
      <c r="K239" s="15" t="n"/>
      <c r="L239" s="15" t="n"/>
      <c r="M239" s="15" t="n"/>
      <c r="N239" s="15" t="n"/>
      <c r="O239" s="15" t="n"/>
      <c r="P239" s="16">
        <f>IF(O239="","",IF(O239&lt;&gt;N239,"Sim","NÃO"))</f>
        <v/>
      </c>
      <c r="Q239" s="16">
        <f>IF(A239="","",IF(K239="Sim","Não – critério",IF(AND(ISNUMBER(F239),ABS(F239)&lt;=Parametros!$B$3),"Não – dentro da tolerância",IF(P239="Sim","Sim","Aguarda revisão"))))</f>
        <v/>
      </c>
    </row>
    <row r="240">
      <c r="A240" s="15" t="n"/>
      <c r="B240" s="15" t="n"/>
      <c r="C240" s="15" t="n"/>
      <c r="D240" s="24" t="n"/>
      <c r="E240" s="24" t="n"/>
      <c r="F240" s="22">
        <f>IF(OR(D240="",E240=""),"",D240-E240)</f>
        <v/>
      </c>
      <c r="G240" s="23">
        <f>IF(OR(D240="",E240="",E240=0),"",(D240-E240)/E240)</f>
        <v/>
      </c>
      <c r="H240" s="15" t="n"/>
      <c r="I240" s="15" t="n"/>
      <c r="J240" s="18" t="n"/>
      <c r="K240" s="15" t="n"/>
      <c r="L240" s="15" t="n"/>
      <c r="M240" s="15" t="n"/>
      <c r="N240" s="15" t="n"/>
      <c r="O240" s="15" t="n"/>
      <c r="P240" s="16">
        <f>IF(O240="","",IF(O240&lt;&gt;N240,"Sim","NÃO"))</f>
        <v/>
      </c>
      <c r="Q240" s="16">
        <f>IF(A240="","",IF(K240="Sim","Não – critério",IF(AND(ISNUMBER(F240),ABS(F240)&lt;=Parametros!$B$3),"Não – dentro da tolerância",IF(P240="Sim","Sim","Aguarda revisão"))))</f>
        <v/>
      </c>
    </row>
    <row r="241">
      <c r="A241" s="15" t="n"/>
      <c r="B241" s="15" t="n"/>
      <c r="C241" s="15" t="n"/>
      <c r="D241" s="24" t="n"/>
      <c r="E241" s="24" t="n"/>
      <c r="F241" s="22">
        <f>IF(OR(D241="",E241=""),"",D241-E241)</f>
        <v/>
      </c>
      <c r="G241" s="23">
        <f>IF(OR(D241="",E241="",E241=0),"",(D241-E241)/E241)</f>
        <v/>
      </c>
      <c r="H241" s="15" t="n"/>
      <c r="I241" s="15" t="n"/>
      <c r="J241" s="18" t="n"/>
      <c r="K241" s="15" t="n"/>
      <c r="L241" s="15" t="n"/>
      <c r="M241" s="15" t="n"/>
      <c r="N241" s="15" t="n"/>
      <c r="O241" s="15" t="n"/>
      <c r="P241" s="16">
        <f>IF(O241="","",IF(O241&lt;&gt;N241,"Sim","NÃO"))</f>
        <v/>
      </c>
      <c r="Q241" s="16">
        <f>IF(A241="","",IF(K241="Sim","Não – critério",IF(AND(ISNUMBER(F241),ABS(F241)&lt;=Parametros!$B$3),"Não – dentro da tolerância",IF(P241="Sim","Sim","Aguarda revisão"))))</f>
        <v/>
      </c>
    </row>
    <row r="242">
      <c r="A242" s="15" t="n"/>
      <c r="B242" s="15" t="n"/>
      <c r="C242" s="15" t="n"/>
      <c r="D242" s="24" t="n"/>
      <c r="E242" s="24" t="n"/>
      <c r="F242" s="22">
        <f>IF(OR(D242="",E242=""),"",D242-E242)</f>
        <v/>
      </c>
      <c r="G242" s="23">
        <f>IF(OR(D242="",E242="",E242=0),"",(D242-E242)/E242)</f>
        <v/>
      </c>
      <c r="H242" s="15" t="n"/>
      <c r="I242" s="15" t="n"/>
      <c r="J242" s="18" t="n"/>
      <c r="K242" s="15" t="n"/>
      <c r="L242" s="15" t="n"/>
      <c r="M242" s="15" t="n"/>
      <c r="N242" s="15" t="n"/>
      <c r="O242" s="15" t="n"/>
      <c r="P242" s="16">
        <f>IF(O242="","",IF(O242&lt;&gt;N242,"Sim","NÃO"))</f>
        <v/>
      </c>
      <c r="Q242" s="16">
        <f>IF(A242="","",IF(K242="Sim","Não – critério",IF(AND(ISNUMBER(F242),ABS(F242)&lt;=Parametros!$B$3),"Não – dentro da tolerância",IF(P242="Sim","Sim","Aguarda revisão"))))</f>
        <v/>
      </c>
    </row>
    <row r="243">
      <c r="A243" s="15" t="n"/>
      <c r="B243" s="15" t="n"/>
      <c r="C243" s="15" t="n"/>
      <c r="D243" s="24" t="n"/>
      <c r="E243" s="24" t="n"/>
      <c r="F243" s="22">
        <f>IF(OR(D243="",E243=""),"",D243-E243)</f>
        <v/>
      </c>
      <c r="G243" s="23">
        <f>IF(OR(D243="",E243="",E243=0),"",(D243-E243)/E243)</f>
        <v/>
      </c>
      <c r="H243" s="15" t="n"/>
      <c r="I243" s="15" t="n"/>
      <c r="J243" s="18" t="n"/>
      <c r="K243" s="15" t="n"/>
      <c r="L243" s="15" t="n"/>
      <c r="M243" s="15" t="n"/>
      <c r="N243" s="15" t="n"/>
      <c r="O243" s="15" t="n"/>
      <c r="P243" s="16">
        <f>IF(O243="","",IF(O243&lt;&gt;N243,"Sim","NÃO"))</f>
        <v/>
      </c>
      <c r="Q243" s="16">
        <f>IF(A243="","",IF(K243="Sim","Não – critério",IF(AND(ISNUMBER(F243),ABS(F243)&lt;=Parametros!$B$3),"Não – dentro da tolerância",IF(P243="Sim","Sim","Aguarda revisão"))))</f>
        <v/>
      </c>
    </row>
    <row r="244">
      <c r="A244" s="15" t="n"/>
      <c r="B244" s="15" t="n"/>
      <c r="C244" s="15" t="n"/>
      <c r="D244" s="24" t="n"/>
      <c r="E244" s="24" t="n"/>
      <c r="F244" s="22">
        <f>IF(OR(D244="",E244=""),"",D244-E244)</f>
        <v/>
      </c>
      <c r="G244" s="23">
        <f>IF(OR(D244="",E244="",E244=0),"",(D244-E244)/E244)</f>
        <v/>
      </c>
      <c r="H244" s="15" t="n"/>
      <c r="I244" s="15" t="n"/>
      <c r="J244" s="18" t="n"/>
      <c r="K244" s="15" t="n"/>
      <c r="L244" s="15" t="n"/>
      <c r="M244" s="15" t="n"/>
      <c r="N244" s="15" t="n"/>
      <c r="O244" s="15" t="n"/>
      <c r="P244" s="16">
        <f>IF(O244="","",IF(O244&lt;&gt;N244,"Sim","NÃO"))</f>
        <v/>
      </c>
      <c r="Q244" s="16">
        <f>IF(A244="","",IF(K244="Sim","Não – critério",IF(AND(ISNUMBER(F244),ABS(F244)&lt;=Parametros!$B$3),"Não – dentro da tolerância",IF(P244="Sim","Sim","Aguarda revisão"))))</f>
        <v/>
      </c>
    </row>
    <row r="245">
      <c r="A245" s="15" t="n"/>
      <c r="B245" s="15" t="n"/>
      <c r="C245" s="15" t="n"/>
      <c r="D245" s="24" t="n"/>
      <c r="E245" s="24" t="n"/>
      <c r="F245" s="22">
        <f>IF(OR(D245="",E245=""),"",D245-E245)</f>
        <v/>
      </c>
      <c r="G245" s="23">
        <f>IF(OR(D245="",E245="",E245=0),"",(D245-E245)/E245)</f>
        <v/>
      </c>
      <c r="H245" s="15" t="n"/>
      <c r="I245" s="15" t="n"/>
      <c r="J245" s="18" t="n"/>
      <c r="K245" s="15" t="n"/>
      <c r="L245" s="15" t="n"/>
      <c r="M245" s="15" t="n"/>
      <c r="N245" s="15" t="n"/>
      <c r="O245" s="15" t="n"/>
      <c r="P245" s="16">
        <f>IF(O245="","",IF(O245&lt;&gt;N245,"Sim","NÃO"))</f>
        <v/>
      </c>
      <c r="Q245" s="16">
        <f>IF(A245="","",IF(K245="Sim","Não – critério",IF(AND(ISNUMBER(F245),ABS(F245)&lt;=Parametros!$B$3),"Não – dentro da tolerância",IF(P245="Sim","Sim","Aguarda revisão"))))</f>
        <v/>
      </c>
    </row>
    <row r="246">
      <c r="A246" s="15" t="n"/>
      <c r="B246" s="15" t="n"/>
      <c r="C246" s="15" t="n"/>
      <c r="D246" s="24" t="n"/>
      <c r="E246" s="24" t="n"/>
      <c r="F246" s="22">
        <f>IF(OR(D246="",E246=""),"",D246-E246)</f>
        <v/>
      </c>
      <c r="G246" s="23">
        <f>IF(OR(D246="",E246="",E246=0),"",(D246-E246)/E246)</f>
        <v/>
      </c>
      <c r="H246" s="15" t="n"/>
      <c r="I246" s="15" t="n"/>
      <c r="J246" s="18" t="n"/>
      <c r="K246" s="15" t="n"/>
      <c r="L246" s="15" t="n"/>
      <c r="M246" s="15" t="n"/>
      <c r="N246" s="15" t="n"/>
      <c r="O246" s="15" t="n"/>
      <c r="P246" s="16">
        <f>IF(O246="","",IF(O246&lt;&gt;N246,"Sim","NÃO"))</f>
        <v/>
      </c>
      <c r="Q246" s="16">
        <f>IF(A246="","",IF(K246="Sim","Não – critério",IF(AND(ISNUMBER(F246),ABS(F246)&lt;=Parametros!$B$3),"Não – dentro da tolerância",IF(P246="Sim","Sim","Aguarda revisão"))))</f>
        <v/>
      </c>
    </row>
    <row r="247">
      <c r="A247" s="15" t="n"/>
      <c r="B247" s="15" t="n"/>
      <c r="C247" s="15" t="n"/>
      <c r="D247" s="24" t="n"/>
      <c r="E247" s="24" t="n"/>
      <c r="F247" s="22">
        <f>IF(OR(D247="",E247=""),"",D247-E247)</f>
        <v/>
      </c>
      <c r="G247" s="23">
        <f>IF(OR(D247="",E247="",E247=0),"",(D247-E247)/E247)</f>
        <v/>
      </c>
      <c r="H247" s="15" t="n"/>
      <c r="I247" s="15" t="n"/>
      <c r="J247" s="18" t="n"/>
      <c r="K247" s="15" t="n"/>
      <c r="L247" s="15" t="n"/>
      <c r="M247" s="15" t="n"/>
      <c r="N247" s="15" t="n"/>
      <c r="O247" s="15" t="n"/>
      <c r="P247" s="16">
        <f>IF(O247="","",IF(O247&lt;&gt;N247,"Sim","NÃO"))</f>
        <v/>
      </c>
      <c r="Q247" s="16">
        <f>IF(A247="","",IF(K247="Sim","Não – critério",IF(AND(ISNUMBER(F247),ABS(F247)&lt;=Parametros!$B$3),"Não – dentro da tolerância",IF(P247="Sim","Sim","Aguarda revisão"))))</f>
        <v/>
      </c>
    </row>
    <row r="248">
      <c r="A248" s="15" t="n"/>
      <c r="B248" s="15" t="n"/>
      <c r="C248" s="15" t="n"/>
      <c r="D248" s="24" t="n"/>
      <c r="E248" s="24" t="n"/>
      <c r="F248" s="22">
        <f>IF(OR(D248="",E248=""),"",D248-E248)</f>
        <v/>
      </c>
      <c r="G248" s="23">
        <f>IF(OR(D248="",E248="",E248=0),"",(D248-E248)/E248)</f>
        <v/>
      </c>
      <c r="H248" s="15" t="n"/>
      <c r="I248" s="15" t="n"/>
      <c r="J248" s="18" t="n"/>
      <c r="K248" s="15" t="n"/>
      <c r="L248" s="15" t="n"/>
      <c r="M248" s="15" t="n"/>
      <c r="N248" s="15" t="n"/>
      <c r="O248" s="15" t="n"/>
      <c r="P248" s="16">
        <f>IF(O248="","",IF(O248&lt;&gt;N248,"Sim","NÃO"))</f>
        <v/>
      </c>
      <c r="Q248" s="16">
        <f>IF(A248="","",IF(K248="Sim","Não – critério",IF(AND(ISNUMBER(F248),ABS(F248)&lt;=Parametros!$B$3),"Não – dentro da tolerância",IF(P248="Sim","Sim","Aguarda revisão"))))</f>
        <v/>
      </c>
    </row>
    <row r="249">
      <c r="A249" s="15" t="n"/>
      <c r="B249" s="15" t="n"/>
      <c r="C249" s="15" t="n"/>
      <c r="D249" s="24" t="n"/>
      <c r="E249" s="24" t="n"/>
      <c r="F249" s="22">
        <f>IF(OR(D249="",E249=""),"",D249-E249)</f>
        <v/>
      </c>
      <c r="G249" s="23">
        <f>IF(OR(D249="",E249="",E249=0),"",(D249-E249)/E249)</f>
        <v/>
      </c>
      <c r="H249" s="15" t="n"/>
      <c r="I249" s="15" t="n"/>
      <c r="J249" s="18" t="n"/>
      <c r="K249" s="15" t="n"/>
      <c r="L249" s="15" t="n"/>
      <c r="M249" s="15" t="n"/>
      <c r="N249" s="15" t="n"/>
      <c r="O249" s="15" t="n"/>
      <c r="P249" s="16">
        <f>IF(O249="","",IF(O249&lt;&gt;N249,"Sim","NÃO"))</f>
        <v/>
      </c>
      <c r="Q249" s="16">
        <f>IF(A249="","",IF(K249="Sim","Não – critério",IF(AND(ISNUMBER(F249),ABS(F249)&lt;=Parametros!$B$3),"Não – dentro da tolerância",IF(P249="Sim","Sim","Aguarda revisão"))))</f>
        <v/>
      </c>
    </row>
    <row r="250">
      <c r="A250" s="15" t="n"/>
      <c r="B250" s="15" t="n"/>
      <c r="C250" s="15" t="n"/>
      <c r="D250" s="24" t="n"/>
      <c r="E250" s="24" t="n"/>
      <c r="F250" s="22">
        <f>IF(OR(D250="",E250=""),"",D250-E250)</f>
        <v/>
      </c>
      <c r="G250" s="23">
        <f>IF(OR(D250="",E250="",E250=0),"",(D250-E250)/E250)</f>
        <v/>
      </c>
      <c r="H250" s="15" t="n"/>
      <c r="I250" s="15" t="n"/>
      <c r="J250" s="18" t="n"/>
      <c r="K250" s="15" t="n"/>
      <c r="L250" s="15" t="n"/>
      <c r="M250" s="15" t="n"/>
      <c r="N250" s="15" t="n"/>
      <c r="O250" s="15" t="n"/>
      <c r="P250" s="16">
        <f>IF(O250="","",IF(O250&lt;&gt;N250,"Sim","NÃO"))</f>
        <v/>
      </c>
      <c r="Q250" s="16">
        <f>IF(A250="","",IF(K250="Sim","Não – critério",IF(AND(ISNUMBER(F250),ABS(F250)&lt;=Parametros!$B$3),"Não – dentro da tolerância",IF(P250="Sim","Sim","Aguarda revisão"))))</f>
        <v/>
      </c>
    </row>
    <row r="251">
      <c r="A251" s="15" t="n"/>
      <c r="B251" s="15" t="n"/>
      <c r="C251" s="15" t="n"/>
      <c r="D251" s="24" t="n"/>
      <c r="E251" s="24" t="n"/>
      <c r="F251" s="22">
        <f>IF(OR(D251="",E251=""),"",D251-E251)</f>
        <v/>
      </c>
      <c r="G251" s="23">
        <f>IF(OR(D251="",E251="",E251=0),"",(D251-E251)/E251)</f>
        <v/>
      </c>
      <c r="H251" s="15" t="n"/>
      <c r="I251" s="15" t="n"/>
      <c r="J251" s="18" t="n"/>
      <c r="K251" s="15" t="n"/>
      <c r="L251" s="15" t="n"/>
      <c r="M251" s="15" t="n"/>
      <c r="N251" s="15" t="n"/>
      <c r="O251" s="15" t="n"/>
      <c r="P251" s="16">
        <f>IF(O251="","",IF(O251&lt;&gt;N251,"Sim","NÃO"))</f>
        <v/>
      </c>
      <c r="Q251" s="16">
        <f>IF(A251="","",IF(K251="Sim","Não – critério",IF(AND(ISNUMBER(F251),ABS(F251)&lt;=Parametros!$B$3),"Não – dentro da tolerância",IF(P251="Sim","Sim","Aguarda revisão"))))</f>
        <v/>
      </c>
    </row>
    <row r="252">
      <c r="A252" s="15" t="n"/>
      <c r="B252" s="15" t="n"/>
      <c r="C252" s="15" t="n"/>
      <c r="D252" s="24" t="n"/>
      <c r="E252" s="24" t="n"/>
      <c r="F252" s="22">
        <f>IF(OR(D252="",E252=""),"",D252-E252)</f>
        <v/>
      </c>
      <c r="G252" s="23">
        <f>IF(OR(D252="",E252="",E252=0),"",(D252-E252)/E252)</f>
        <v/>
      </c>
      <c r="H252" s="15" t="n"/>
      <c r="I252" s="15" t="n"/>
      <c r="J252" s="18" t="n"/>
      <c r="K252" s="15" t="n"/>
      <c r="L252" s="15" t="n"/>
      <c r="M252" s="15" t="n"/>
      <c r="N252" s="15" t="n"/>
      <c r="O252" s="15" t="n"/>
      <c r="P252" s="16">
        <f>IF(O252="","",IF(O252&lt;&gt;N252,"Sim","NÃO"))</f>
        <v/>
      </c>
      <c r="Q252" s="16">
        <f>IF(A252="","",IF(K252="Sim","Não – critério",IF(AND(ISNUMBER(F252),ABS(F252)&lt;=Parametros!$B$3),"Não – dentro da tolerância",IF(P252="Sim","Sim","Aguarda revisão"))))</f>
        <v/>
      </c>
    </row>
    <row r="253">
      <c r="A253" s="15" t="n"/>
      <c r="B253" s="15" t="n"/>
      <c r="C253" s="15" t="n"/>
      <c r="D253" s="24" t="n"/>
      <c r="E253" s="24" t="n"/>
      <c r="F253" s="22">
        <f>IF(OR(D253="",E253=""),"",D253-E253)</f>
        <v/>
      </c>
      <c r="G253" s="23">
        <f>IF(OR(D253="",E253="",E253=0),"",(D253-E253)/E253)</f>
        <v/>
      </c>
      <c r="H253" s="15" t="n"/>
      <c r="I253" s="15" t="n"/>
      <c r="J253" s="18" t="n"/>
      <c r="K253" s="15" t="n"/>
      <c r="L253" s="15" t="n"/>
      <c r="M253" s="15" t="n"/>
      <c r="N253" s="15" t="n"/>
      <c r="O253" s="15" t="n"/>
      <c r="P253" s="16">
        <f>IF(O253="","",IF(O253&lt;&gt;N253,"Sim","NÃO"))</f>
        <v/>
      </c>
      <c r="Q253" s="16">
        <f>IF(A253="","",IF(K253="Sim","Não – critério",IF(AND(ISNUMBER(F253),ABS(F253)&lt;=Parametros!$B$3),"Não – dentro da tolerância",IF(P253="Sim","Sim","Aguarda revisão"))))</f>
        <v/>
      </c>
    </row>
    <row r="254">
      <c r="A254" s="15" t="n"/>
      <c r="B254" s="15" t="n"/>
      <c r="C254" s="15" t="n"/>
      <c r="D254" s="24" t="n"/>
      <c r="E254" s="24" t="n"/>
      <c r="F254" s="22">
        <f>IF(OR(D254="",E254=""),"",D254-E254)</f>
        <v/>
      </c>
      <c r="G254" s="23">
        <f>IF(OR(D254="",E254="",E254=0),"",(D254-E254)/E254)</f>
        <v/>
      </c>
      <c r="H254" s="15" t="n"/>
      <c r="I254" s="15" t="n"/>
      <c r="J254" s="18" t="n"/>
      <c r="K254" s="15" t="n"/>
      <c r="L254" s="15" t="n"/>
      <c r="M254" s="15" t="n"/>
      <c r="N254" s="15" t="n"/>
      <c r="O254" s="15" t="n"/>
      <c r="P254" s="16">
        <f>IF(O254="","",IF(O254&lt;&gt;N254,"Sim","NÃO"))</f>
        <v/>
      </c>
      <c r="Q254" s="16">
        <f>IF(A254="","",IF(K254="Sim","Não – critério",IF(AND(ISNUMBER(F254),ABS(F254)&lt;=Parametros!$B$3),"Não – dentro da tolerância",IF(P254="Sim","Sim","Aguarda revisão"))))</f>
        <v/>
      </c>
    </row>
    <row r="255">
      <c r="A255" s="15" t="n"/>
      <c r="B255" s="15" t="n"/>
      <c r="C255" s="15" t="n"/>
      <c r="D255" s="24" t="n"/>
      <c r="E255" s="24" t="n"/>
      <c r="F255" s="22">
        <f>IF(OR(D255="",E255=""),"",D255-E255)</f>
        <v/>
      </c>
      <c r="G255" s="23">
        <f>IF(OR(D255="",E255="",E255=0),"",(D255-E255)/E255)</f>
        <v/>
      </c>
      <c r="H255" s="15" t="n"/>
      <c r="I255" s="15" t="n"/>
      <c r="J255" s="18" t="n"/>
      <c r="K255" s="15" t="n"/>
      <c r="L255" s="15" t="n"/>
      <c r="M255" s="15" t="n"/>
      <c r="N255" s="15" t="n"/>
      <c r="O255" s="15" t="n"/>
      <c r="P255" s="16">
        <f>IF(O255="","",IF(O255&lt;&gt;N255,"Sim","NÃO"))</f>
        <v/>
      </c>
      <c r="Q255" s="16">
        <f>IF(A255="","",IF(K255="Sim","Não – critério",IF(AND(ISNUMBER(F255),ABS(F255)&lt;=Parametros!$B$3),"Não – dentro da tolerância",IF(P255="Sim","Sim","Aguarda revisão"))))</f>
        <v/>
      </c>
    </row>
    <row r="256">
      <c r="A256" s="15" t="n"/>
      <c r="B256" s="15" t="n"/>
      <c r="C256" s="15" t="n"/>
      <c r="D256" s="24" t="n"/>
      <c r="E256" s="24" t="n"/>
      <c r="F256" s="22">
        <f>IF(OR(D256="",E256=""),"",D256-E256)</f>
        <v/>
      </c>
      <c r="G256" s="23">
        <f>IF(OR(D256="",E256="",E256=0),"",(D256-E256)/E256)</f>
        <v/>
      </c>
      <c r="H256" s="15" t="n"/>
      <c r="I256" s="15" t="n"/>
      <c r="J256" s="18" t="n"/>
      <c r="K256" s="15" t="n"/>
      <c r="L256" s="15" t="n"/>
      <c r="M256" s="15" t="n"/>
      <c r="N256" s="15" t="n"/>
      <c r="O256" s="15" t="n"/>
      <c r="P256" s="16">
        <f>IF(O256="","",IF(O256&lt;&gt;N256,"Sim","NÃO"))</f>
        <v/>
      </c>
      <c r="Q256" s="16">
        <f>IF(A256="","",IF(K256="Sim","Não – critério",IF(AND(ISNUMBER(F256),ABS(F256)&lt;=Parametros!$B$3),"Não – dentro da tolerância",IF(P256="Sim","Sim","Aguarda revisão"))))</f>
        <v/>
      </c>
    </row>
    <row r="257">
      <c r="A257" s="15" t="n"/>
      <c r="B257" s="15" t="n"/>
      <c r="C257" s="15" t="n"/>
      <c r="D257" s="24" t="n"/>
      <c r="E257" s="24" t="n"/>
      <c r="F257" s="22">
        <f>IF(OR(D257="",E257=""),"",D257-E257)</f>
        <v/>
      </c>
      <c r="G257" s="23">
        <f>IF(OR(D257="",E257="",E257=0),"",(D257-E257)/E257)</f>
        <v/>
      </c>
      <c r="H257" s="15" t="n"/>
      <c r="I257" s="15" t="n"/>
      <c r="J257" s="18" t="n"/>
      <c r="K257" s="15" t="n"/>
      <c r="L257" s="15" t="n"/>
      <c r="M257" s="15" t="n"/>
      <c r="N257" s="15" t="n"/>
      <c r="O257" s="15" t="n"/>
      <c r="P257" s="16">
        <f>IF(O257="","",IF(O257&lt;&gt;N257,"Sim","NÃO"))</f>
        <v/>
      </c>
      <c r="Q257" s="16">
        <f>IF(A257="","",IF(K257="Sim","Não – critério",IF(AND(ISNUMBER(F257),ABS(F257)&lt;=Parametros!$B$3),"Não – dentro da tolerância",IF(P257="Sim","Sim","Aguarda revisão"))))</f>
        <v/>
      </c>
    </row>
    <row r="258">
      <c r="A258" s="15" t="n"/>
      <c r="B258" s="15" t="n"/>
      <c r="C258" s="15" t="n"/>
      <c r="D258" s="24" t="n"/>
      <c r="E258" s="24" t="n"/>
      <c r="F258" s="22">
        <f>IF(OR(D258="",E258=""),"",D258-E258)</f>
        <v/>
      </c>
      <c r="G258" s="23">
        <f>IF(OR(D258="",E258="",E258=0),"",(D258-E258)/E258)</f>
        <v/>
      </c>
      <c r="H258" s="15" t="n"/>
      <c r="I258" s="15" t="n"/>
      <c r="J258" s="18" t="n"/>
      <c r="K258" s="15" t="n"/>
      <c r="L258" s="15" t="n"/>
      <c r="M258" s="15" t="n"/>
      <c r="N258" s="15" t="n"/>
      <c r="O258" s="15" t="n"/>
      <c r="P258" s="16">
        <f>IF(O258="","",IF(O258&lt;&gt;N258,"Sim","NÃO"))</f>
        <v/>
      </c>
      <c r="Q258" s="16">
        <f>IF(A258="","",IF(K258="Sim","Não – critério",IF(AND(ISNUMBER(F258),ABS(F258)&lt;=Parametros!$B$3),"Não – dentro da tolerância",IF(P258="Sim","Sim","Aguarda revisão"))))</f>
        <v/>
      </c>
    </row>
    <row r="259">
      <c r="A259" s="15" t="n"/>
      <c r="B259" s="15" t="n"/>
      <c r="C259" s="15" t="n"/>
      <c r="D259" s="24" t="n"/>
      <c r="E259" s="24" t="n"/>
      <c r="F259" s="22">
        <f>IF(OR(D259="",E259=""),"",D259-E259)</f>
        <v/>
      </c>
      <c r="G259" s="23">
        <f>IF(OR(D259="",E259="",E259=0),"",(D259-E259)/E259)</f>
        <v/>
      </c>
      <c r="H259" s="15" t="n"/>
      <c r="I259" s="15" t="n"/>
      <c r="J259" s="18" t="n"/>
      <c r="K259" s="15" t="n"/>
      <c r="L259" s="15" t="n"/>
      <c r="M259" s="15" t="n"/>
      <c r="N259" s="15" t="n"/>
      <c r="O259" s="15" t="n"/>
      <c r="P259" s="16">
        <f>IF(O259="","",IF(O259&lt;&gt;N259,"Sim","NÃO"))</f>
        <v/>
      </c>
      <c r="Q259" s="16">
        <f>IF(A259="","",IF(K259="Sim","Não – critério",IF(AND(ISNUMBER(F259),ABS(F259)&lt;=Parametros!$B$3),"Não – dentro da tolerância",IF(P259="Sim","Sim","Aguarda revisão"))))</f>
        <v/>
      </c>
    </row>
    <row r="260">
      <c r="A260" s="15" t="n"/>
      <c r="B260" s="15" t="n"/>
      <c r="C260" s="15" t="n"/>
      <c r="D260" s="24" t="n"/>
      <c r="E260" s="24" t="n"/>
      <c r="F260" s="22">
        <f>IF(OR(D260="",E260=""),"",D260-E260)</f>
        <v/>
      </c>
      <c r="G260" s="23">
        <f>IF(OR(D260="",E260="",E260=0),"",(D260-E260)/E260)</f>
        <v/>
      </c>
      <c r="H260" s="15" t="n"/>
      <c r="I260" s="15" t="n"/>
      <c r="J260" s="18" t="n"/>
      <c r="K260" s="15" t="n"/>
      <c r="L260" s="15" t="n"/>
      <c r="M260" s="15" t="n"/>
      <c r="N260" s="15" t="n"/>
      <c r="O260" s="15" t="n"/>
      <c r="P260" s="16">
        <f>IF(O260="","",IF(O260&lt;&gt;N260,"Sim","NÃO"))</f>
        <v/>
      </c>
      <c r="Q260" s="16">
        <f>IF(A260="","",IF(K260="Sim","Não – critério",IF(AND(ISNUMBER(F260),ABS(F260)&lt;=Parametros!$B$3),"Não – dentro da tolerância",IF(P260="Sim","Sim","Aguarda revisão"))))</f>
        <v/>
      </c>
    </row>
    <row r="261">
      <c r="A261" s="15" t="n"/>
      <c r="B261" s="15" t="n"/>
      <c r="C261" s="15" t="n"/>
      <c r="D261" s="24" t="n"/>
      <c r="E261" s="24" t="n"/>
      <c r="F261" s="22">
        <f>IF(OR(D261="",E261=""),"",D261-E261)</f>
        <v/>
      </c>
      <c r="G261" s="23">
        <f>IF(OR(D261="",E261="",E261=0),"",(D261-E261)/E261)</f>
        <v/>
      </c>
      <c r="H261" s="15" t="n"/>
      <c r="I261" s="15" t="n"/>
      <c r="J261" s="18" t="n"/>
      <c r="K261" s="15" t="n"/>
      <c r="L261" s="15" t="n"/>
      <c r="M261" s="15" t="n"/>
      <c r="N261" s="15" t="n"/>
      <c r="O261" s="15" t="n"/>
      <c r="P261" s="16">
        <f>IF(O261="","",IF(O261&lt;&gt;N261,"Sim","NÃO"))</f>
        <v/>
      </c>
      <c r="Q261" s="16">
        <f>IF(A261="","",IF(K261="Sim","Não – critério",IF(AND(ISNUMBER(F261),ABS(F261)&lt;=Parametros!$B$3),"Não – dentro da tolerância",IF(P261="Sim","Sim","Aguarda revisão"))))</f>
        <v/>
      </c>
    </row>
    <row r="262">
      <c r="A262" s="15" t="n"/>
      <c r="B262" s="15" t="n"/>
      <c r="C262" s="15" t="n"/>
      <c r="D262" s="24" t="n"/>
      <c r="E262" s="24" t="n"/>
      <c r="F262" s="22">
        <f>IF(OR(D262="",E262=""),"",D262-E262)</f>
        <v/>
      </c>
      <c r="G262" s="23">
        <f>IF(OR(D262="",E262="",E262=0),"",(D262-E262)/E262)</f>
        <v/>
      </c>
      <c r="H262" s="15" t="n"/>
      <c r="I262" s="15" t="n"/>
      <c r="J262" s="18" t="n"/>
      <c r="K262" s="15" t="n"/>
      <c r="L262" s="15" t="n"/>
      <c r="M262" s="15" t="n"/>
      <c r="N262" s="15" t="n"/>
      <c r="O262" s="15" t="n"/>
      <c r="P262" s="16">
        <f>IF(O262="","",IF(O262&lt;&gt;N262,"Sim","NÃO"))</f>
        <v/>
      </c>
      <c r="Q262" s="16">
        <f>IF(A262="","",IF(K262="Sim","Não – critério",IF(AND(ISNUMBER(F262),ABS(F262)&lt;=Parametros!$B$3),"Não – dentro da tolerância",IF(P262="Sim","Sim","Aguarda revisão"))))</f>
        <v/>
      </c>
    </row>
    <row r="263">
      <c r="A263" s="15" t="n"/>
      <c r="B263" s="15" t="n"/>
      <c r="C263" s="15" t="n"/>
      <c r="D263" s="24" t="n"/>
      <c r="E263" s="24" t="n"/>
      <c r="F263" s="22">
        <f>IF(OR(D263="",E263=""),"",D263-E263)</f>
        <v/>
      </c>
      <c r="G263" s="23">
        <f>IF(OR(D263="",E263="",E263=0),"",(D263-E263)/E263)</f>
        <v/>
      </c>
      <c r="H263" s="15" t="n"/>
      <c r="I263" s="15" t="n"/>
      <c r="J263" s="18" t="n"/>
      <c r="K263" s="15" t="n"/>
      <c r="L263" s="15" t="n"/>
      <c r="M263" s="15" t="n"/>
      <c r="N263" s="15" t="n"/>
      <c r="O263" s="15" t="n"/>
      <c r="P263" s="16">
        <f>IF(O263="","",IF(O263&lt;&gt;N263,"Sim","NÃO"))</f>
        <v/>
      </c>
      <c r="Q263" s="16">
        <f>IF(A263="","",IF(K263="Sim","Não – critério",IF(AND(ISNUMBER(F263),ABS(F263)&lt;=Parametros!$B$3),"Não – dentro da tolerância",IF(P263="Sim","Sim","Aguarda revisão"))))</f>
        <v/>
      </c>
    </row>
    <row r="264">
      <c r="A264" s="15" t="n"/>
      <c r="B264" s="15" t="n"/>
      <c r="C264" s="15" t="n"/>
      <c r="D264" s="24" t="n"/>
      <c r="E264" s="24" t="n"/>
      <c r="F264" s="22">
        <f>IF(OR(D264="",E264=""),"",D264-E264)</f>
        <v/>
      </c>
      <c r="G264" s="23">
        <f>IF(OR(D264="",E264="",E264=0),"",(D264-E264)/E264)</f>
        <v/>
      </c>
      <c r="H264" s="15" t="n"/>
      <c r="I264" s="15" t="n"/>
      <c r="J264" s="18" t="n"/>
      <c r="K264" s="15" t="n"/>
      <c r="L264" s="15" t="n"/>
      <c r="M264" s="15" t="n"/>
      <c r="N264" s="15" t="n"/>
      <c r="O264" s="15" t="n"/>
      <c r="P264" s="16">
        <f>IF(O264="","",IF(O264&lt;&gt;N264,"Sim","NÃO"))</f>
        <v/>
      </c>
      <c r="Q264" s="16">
        <f>IF(A264="","",IF(K264="Sim","Não – critério",IF(AND(ISNUMBER(F264),ABS(F264)&lt;=Parametros!$B$3),"Não – dentro da tolerância",IF(P264="Sim","Sim","Aguarda revisão"))))</f>
        <v/>
      </c>
    </row>
    <row r="265">
      <c r="A265" s="15" t="n"/>
      <c r="B265" s="15" t="n"/>
      <c r="C265" s="15" t="n"/>
      <c r="D265" s="24" t="n"/>
      <c r="E265" s="24" t="n"/>
      <c r="F265" s="22">
        <f>IF(OR(D265="",E265=""),"",D265-E265)</f>
        <v/>
      </c>
      <c r="G265" s="23">
        <f>IF(OR(D265="",E265="",E265=0),"",(D265-E265)/E265)</f>
        <v/>
      </c>
      <c r="H265" s="15" t="n"/>
      <c r="I265" s="15" t="n"/>
      <c r="J265" s="18" t="n"/>
      <c r="K265" s="15" t="n"/>
      <c r="L265" s="15" t="n"/>
      <c r="M265" s="15" t="n"/>
      <c r="N265" s="15" t="n"/>
      <c r="O265" s="15" t="n"/>
      <c r="P265" s="16">
        <f>IF(O265="","",IF(O265&lt;&gt;N265,"Sim","NÃO"))</f>
        <v/>
      </c>
      <c r="Q265" s="16">
        <f>IF(A265="","",IF(K265="Sim","Não – critério",IF(AND(ISNUMBER(F265),ABS(F265)&lt;=Parametros!$B$3),"Não – dentro da tolerância",IF(P265="Sim","Sim","Aguarda revisão"))))</f>
        <v/>
      </c>
    </row>
    <row r="266">
      <c r="A266" s="15" t="n"/>
      <c r="B266" s="15" t="n"/>
      <c r="C266" s="15" t="n"/>
      <c r="D266" s="24" t="n"/>
      <c r="E266" s="24" t="n"/>
      <c r="F266" s="22">
        <f>IF(OR(D266="",E266=""),"",D266-E266)</f>
        <v/>
      </c>
      <c r="G266" s="23">
        <f>IF(OR(D266="",E266="",E266=0),"",(D266-E266)/E266)</f>
        <v/>
      </c>
      <c r="H266" s="15" t="n"/>
      <c r="I266" s="15" t="n"/>
      <c r="J266" s="18" t="n"/>
      <c r="K266" s="15" t="n"/>
      <c r="L266" s="15" t="n"/>
      <c r="M266" s="15" t="n"/>
      <c r="N266" s="15" t="n"/>
      <c r="O266" s="15" t="n"/>
      <c r="P266" s="16">
        <f>IF(O266="","",IF(O266&lt;&gt;N266,"Sim","NÃO"))</f>
        <v/>
      </c>
      <c r="Q266" s="16">
        <f>IF(A266="","",IF(K266="Sim","Não – critério",IF(AND(ISNUMBER(F266),ABS(F266)&lt;=Parametros!$B$3),"Não – dentro da tolerância",IF(P266="Sim","Sim","Aguarda revisão"))))</f>
        <v/>
      </c>
    </row>
    <row r="267">
      <c r="A267" s="15" t="n"/>
      <c r="B267" s="15" t="n"/>
      <c r="C267" s="15" t="n"/>
      <c r="D267" s="24" t="n"/>
      <c r="E267" s="24" t="n"/>
      <c r="F267" s="22">
        <f>IF(OR(D267="",E267=""),"",D267-E267)</f>
        <v/>
      </c>
      <c r="G267" s="23">
        <f>IF(OR(D267="",E267="",E267=0),"",(D267-E267)/E267)</f>
        <v/>
      </c>
      <c r="H267" s="15" t="n"/>
      <c r="I267" s="15" t="n"/>
      <c r="J267" s="18" t="n"/>
      <c r="K267" s="15" t="n"/>
      <c r="L267" s="15" t="n"/>
      <c r="M267" s="15" t="n"/>
      <c r="N267" s="15" t="n"/>
      <c r="O267" s="15" t="n"/>
      <c r="P267" s="16">
        <f>IF(O267="","",IF(O267&lt;&gt;N267,"Sim","NÃO"))</f>
        <v/>
      </c>
      <c r="Q267" s="16">
        <f>IF(A267="","",IF(K267="Sim","Não – critério",IF(AND(ISNUMBER(F267),ABS(F267)&lt;=Parametros!$B$3),"Não – dentro da tolerância",IF(P267="Sim","Sim","Aguarda revisão"))))</f>
        <v/>
      </c>
    </row>
    <row r="268">
      <c r="A268" s="15" t="n"/>
      <c r="B268" s="15" t="n"/>
      <c r="C268" s="15" t="n"/>
      <c r="D268" s="24" t="n"/>
      <c r="E268" s="24" t="n"/>
      <c r="F268" s="22">
        <f>IF(OR(D268="",E268=""),"",D268-E268)</f>
        <v/>
      </c>
      <c r="G268" s="23">
        <f>IF(OR(D268="",E268="",E268=0),"",(D268-E268)/E268)</f>
        <v/>
      </c>
      <c r="H268" s="15" t="n"/>
      <c r="I268" s="15" t="n"/>
      <c r="J268" s="18" t="n"/>
      <c r="K268" s="15" t="n"/>
      <c r="L268" s="15" t="n"/>
      <c r="M268" s="15" t="n"/>
      <c r="N268" s="15" t="n"/>
      <c r="O268" s="15" t="n"/>
      <c r="P268" s="16">
        <f>IF(O268="","",IF(O268&lt;&gt;N268,"Sim","NÃO"))</f>
        <v/>
      </c>
      <c r="Q268" s="16">
        <f>IF(A268="","",IF(K268="Sim","Não – critério",IF(AND(ISNUMBER(F268),ABS(F268)&lt;=Parametros!$B$3),"Não – dentro da tolerância",IF(P268="Sim","Sim","Aguarda revisão"))))</f>
        <v/>
      </c>
    </row>
    <row r="269">
      <c r="A269" s="15" t="n"/>
      <c r="B269" s="15" t="n"/>
      <c r="C269" s="15" t="n"/>
      <c r="D269" s="24" t="n"/>
      <c r="E269" s="24" t="n"/>
      <c r="F269" s="22">
        <f>IF(OR(D269="",E269=""),"",D269-E269)</f>
        <v/>
      </c>
      <c r="G269" s="23">
        <f>IF(OR(D269="",E269="",E269=0),"",(D269-E269)/E269)</f>
        <v/>
      </c>
      <c r="H269" s="15" t="n"/>
      <c r="I269" s="15" t="n"/>
      <c r="J269" s="18" t="n"/>
      <c r="K269" s="15" t="n"/>
      <c r="L269" s="15" t="n"/>
      <c r="M269" s="15" t="n"/>
      <c r="N269" s="15" t="n"/>
      <c r="O269" s="15" t="n"/>
      <c r="P269" s="16">
        <f>IF(O269="","",IF(O269&lt;&gt;N269,"Sim","NÃO"))</f>
        <v/>
      </c>
      <c r="Q269" s="16">
        <f>IF(A269="","",IF(K269="Sim","Não – critério",IF(AND(ISNUMBER(F269),ABS(F269)&lt;=Parametros!$B$3),"Não – dentro da tolerância",IF(P269="Sim","Sim","Aguarda revisão"))))</f>
        <v/>
      </c>
    </row>
    <row r="270">
      <c r="A270" s="15" t="n"/>
      <c r="B270" s="15" t="n"/>
      <c r="C270" s="15" t="n"/>
      <c r="D270" s="24" t="n"/>
      <c r="E270" s="24" t="n"/>
      <c r="F270" s="22">
        <f>IF(OR(D270="",E270=""),"",D270-E270)</f>
        <v/>
      </c>
      <c r="G270" s="23">
        <f>IF(OR(D270="",E270="",E270=0),"",(D270-E270)/E270)</f>
        <v/>
      </c>
      <c r="H270" s="15" t="n"/>
      <c r="I270" s="15" t="n"/>
      <c r="J270" s="18" t="n"/>
      <c r="K270" s="15" t="n"/>
      <c r="L270" s="15" t="n"/>
      <c r="M270" s="15" t="n"/>
      <c r="N270" s="15" t="n"/>
      <c r="O270" s="15" t="n"/>
      <c r="P270" s="16">
        <f>IF(O270="","",IF(O270&lt;&gt;N270,"Sim","NÃO"))</f>
        <v/>
      </c>
      <c r="Q270" s="16">
        <f>IF(A270="","",IF(K270="Sim","Não – critério",IF(AND(ISNUMBER(F270),ABS(F270)&lt;=Parametros!$B$3),"Não – dentro da tolerância",IF(P270="Sim","Sim","Aguarda revisão"))))</f>
        <v/>
      </c>
    </row>
    <row r="271">
      <c r="A271" s="15" t="n"/>
      <c r="B271" s="15" t="n"/>
      <c r="C271" s="15" t="n"/>
      <c r="D271" s="24" t="n"/>
      <c r="E271" s="24" t="n"/>
      <c r="F271" s="22">
        <f>IF(OR(D271="",E271=""),"",D271-E271)</f>
        <v/>
      </c>
      <c r="G271" s="23">
        <f>IF(OR(D271="",E271="",E271=0),"",(D271-E271)/E271)</f>
        <v/>
      </c>
      <c r="H271" s="15" t="n"/>
      <c r="I271" s="15" t="n"/>
      <c r="J271" s="18" t="n"/>
      <c r="K271" s="15" t="n"/>
      <c r="L271" s="15" t="n"/>
      <c r="M271" s="15" t="n"/>
      <c r="N271" s="15" t="n"/>
      <c r="O271" s="15" t="n"/>
      <c r="P271" s="16">
        <f>IF(O271="","",IF(O271&lt;&gt;N271,"Sim","NÃO"))</f>
        <v/>
      </c>
      <c r="Q271" s="16">
        <f>IF(A271="","",IF(K271="Sim","Não – critério",IF(AND(ISNUMBER(F271),ABS(F271)&lt;=Parametros!$B$3),"Não – dentro da tolerância",IF(P271="Sim","Sim","Aguarda revisão"))))</f>
        <v/>
      </c>
    </row>
    <row r="272">
      <c r="A272" s="15" t="n"/>
      <c r="B272" s="15" t="n"/>
      <c r="C272" s="15" t="n"/>
      <c r="D272" s="24" t="n"/>
      <c r="E272" s="24" t="n"/>
      <c r="F272" s="22">
        <f>IF(OR(D272="",E272=""),"",D272-E272)</f>
        <v/>
      </c>
      <c r="G272" s="23">
        <f>IF(OR(D272="",E272="",E272=0),"",(D272-E272)/E272)</f>
        <v/>
      </c>
      <c r="H272" s="15" t="n"/>
      <c r="I272" s="15" t="n"/>
      <c r="J272" s="18" t="n"/>
      <c r="K272" s="15" t="n"/>
      <c r="L272" s="15" t="n"/>
      <c r="M272" s="15" t="n"/>
      <c r="N272" s="15" t="n"/>
      <c r="O272" s="15" t="n"/>
      <c r="P272" s="16">
        <f>IF(O272="","",IF(O272&lt;&gt;N272,"Sim","NÃO"))</f>
        <v/>
      </c>
      <c r="Q272" s="16">
        <f>IF(A272="","",IF(K272="Sim","Não – critério",IF(AND(ISNUMBER(F272),ABS(F272)&lt;=Parametros!$B$3),"Não – dentro da tolerância",IF(P272="Sim","Sim","Aguarda revisão"))))</f>
        <v/>
      </c>
    </row>
    <row r="273">
      <c r="A273" s="15" t="n"/>
      <c r="B273" s="15" t="n"/>
      <c r="C273" s="15" t="n"/>
      <c r="D273" s="24" t="n"/>
      <c r="E273" s="24" t="n"/>
      <c r="F273" s="22">
        <f>IF(OR(D273="",E273=""),"",D273-E273)</f>
        <v/>
      </c>
      <c r="G273" s="23">
        <f>IF(OR(D273="",E273="",E273=0),"",(D273-E273)/E273)</f>
        <v/>
      </c>
      <c r="H273" s="15" t="n"/>
      <c r="I273" s="15" t="n"/>
      <c r="J273" s="18" t="n"/>
      <c r="K273" s="15" t="n"/>
      <c r="L273" s="15" t="n"/>
      <c r="M273" s="15" t="n"/>
      <c r="N273" s="15" t="n"/>
      <c r="O273" s="15" t="n"/>
      <c r="P273" s="16">
        <f>IF(O273="","",IF(O273&lt;&gt;N273,"Sim","NÃO"))</f>
        <v/>
      </c>
      <c r="Q273" s="16">
        <f>IF(A273="","",IF(K273="Sim","Não – critério",IF(AND(ISNUMBER(F273),ABS(F273)&lt;=Parametros!$B$3),"Não – dentro da tolerância",IF(P273="Sim","Sim","Aguarda revisão"))))</f>
        <v/>
      </c>
    </row>
    <row r="274">
      <c r="A274" s="15" t="n"/>
      <c r="B274" s="15" t="n"/>
      <c r="C274" s="15" t="n"/>
      <c r="D274" s="24" t="n"/>
      <c r="E274" s="24" t="n"/>
      <c r="F274" s="22">
        <f>IF(OR(D274="",E274=""),"",D274-E274)</f>
        <v/>
      </c>
      <c r="G274" s="23">
        <f>IF(OR(D274="",E274="",E274=0),"",(D274-E274)/E274)</f>
        <v/>
      </c>
      <c r="H274" s="15" t="n"/>
      <c r="I274" s="15" t="n"/>
      <c r="J274" s="18" t="n"/>
      <c r="K274" s="15" t="n"/>
      <c r="L274" s="15" t="n"/>
      <c r="M274" s="15" t="n"/>
      <c r="N274" s="15" t="n"/>
      <c r="O274" s="15" t="n"/>
      <c r="P274" s="16">
        <f>IF(O274="","",IF(O274&lt;&gt;N274,"Sim","NÃO"))</f>
        <v/>
      </c>
      <c r="Q274" s="16">
        <f>IF(A274="","",IF(K274="Sim","Não – critério",IF(AND(ISNUMBER(F274),ABS(F274)&lt;=Parametros!$B$3),"Não – dentro da tolerância",IF(P274="Sim","Sim","Aguarda revisão"))))</f>
        <v/>
      </c>
    </row>
    <row r="275">
      <c r="A275" s="15" t="n"/>
      <c r="B275" s="15" t="n"/>
      <c r="C275" s="15" t="n"/>
      <c r="D275" s="24" t="n"/>
      <c r="E275" s="24" t="n"/>
      <c r="F275" s="22">
        <f>IF(OR(D275="",E275=""),"",D275-E275)</f>
        <v/>
      </c>
      <c r="G275" s="23">
        <f>IF(OR(D275="",E275="",E275=0),"",(D275-E275)/E275)</f>
        <v/>
      </c>
      <c r="H275" s="15" t="n"/>
      <c r="I275" s="15" t="n"/>
      <c r="J275" s="18" t="n"/>
      <c r="K275" s="15" t="n"/>
      <c r="L275" s="15" t="n"/>
      <c r="M275" s="15" t="n"/>
      <c r="N275" s="15" t="n"/>
      <c r="O275" s="15" t="n"/>
      <c r="P275" s="16">
        <f>IF(O275="","",IF(O275&lt;&gt;N275,"Sim","NÃO"))</f>
        <v/>
      </c>
      <c r="Q275" s="16">
        <f>IF(A275="","",IF(K275="Sim","Não – critério",IF(AND(ISNUMBER(F275),ABS(F275)&lt;=Parametros!$B$3),"Não – dentro da tolerância",IF(P275="Sim","Sim","Aguarda revisão"))))</f>
        <v/>
      </c>
    </row>
    <row r="276">
      <c r="A276" s="15" t="n"/>
      <c r="B276" s="15" t="n"/>
      <c r="C276" s="15" t="n"/>
      <c r="D276" s="24" t="n"/>
      <c r="E276" s="24" t="n"/>
      <c r="F276" s="22">
        <f>IF(OR(D276="",E276=""),"",D276-E276)</f>
        <v/>
      </c>
      <c r="G276" s="23">
        <f>IF(OR(D276="",E276="",E276=0),"",(D276-E276)/E276)</f>
        <v/>
      </c>
      <c r="H276" s="15" t="n"/>
      <c r="I276" s="15" t="n"/>
      <c r="J276" s="18" t="n"/>
      <c r="K276" s="15" t="n"/>
      <c r="L276" s="15" t="n"/>
      <c r="M276" s="15" t="n"/>
      <c r="N276" s="15" t="n"/>
      <c r="O276" s="15" t="n"/>
      <c r="P276" s="16">
        <f>IF(O276="","",IF(O276&lt;&gt;N276,"Sim","NÃO"))</f>
        <v/>
      </c>
      <c r="Q276" s="16">
        <f>IF(A276="","",IF(K276="Sim","Não – critério",IF(AND(ISNUMBER(F276),ABS(F276)&lt;=Parametros!$B$3),"Não – dentro da tolerância",IF(P276="Sim","Sim","Aguarda revisão"))))</f>
        <v/>
      </c>
    </row>
    <row r="277">
      <c r="A277" s="15" t="n"/>
      <c r="B277" s="15" t="n"/>
      <c r="C277" s="15" t="n"/>
      <c r="D277" s="24" t="n"/>
      <c r="E277" s="24" t="n"/>
      <c r="F277" s="22">
        <f>IF(OR(D277="",E277=""),"",D277-E277)</f>
        <v/>
      </c>
      <c r="G277" s="23">
        <f>IF(OR(D277="",E277="",E277=0),"",(D277-E277)/E277)</f>
        <v/>
      </c>
      <c r="H277" s="15" t="n"/>
      <c r="I277" s="15" t="n"/>
      <c r="J277" s="18" t="n"/>
      <c r="K277" s="15" t="n"/>
      <c r="L277" s="15" t="n"/>
      <c r="M277" s="15" t="n"/>
      <c r="N277" s="15" t="n"/>
      <c r="O277" s="15" t="n"/>
      <c r="P277" s="16">
        <f>IF(O277="","",IF(O277&lt;&gt;N277,"Sim","NÃO"))</f>
        <v/>
      </c>
      <c r="Q277" s="16">
        <f>IF(A277="","",IF(K277="Sim","Não – critério",IF(AND(ISNUMBER(F277),ABS(F277)&lt;=Parametros!$B$3),"Não – dentro da tolerância",IF(P277="Sim","Sim","Aguarda revisão"))))</f>
        <v/>
      </c>
    </row>
    <row r="278">
      <c r="A278" s="15" t="n"/>
      <c r="B278" s="15" t="n"/>
      <c r="C278" s="15" t="n"/>
      <c r="D278" s="24" t="n"/>
      <c r="E278" s="24" t="n"/>
      <c r="F278" s="22">
        <f>IF(OR(D278="",E278=""),"",D278-E278)</f>
        <v/>
      </c>
      <c r="G278" s="23">
        <f>IF(OR(D278="",E278="",E278=0),"",(D278-E278)/E278)</f>
        <v/>
      </c>
      <c r="H278" s="15" t="n"/>
      <c r="I278" s="15" t="n"/>
      <c r="J278" s="18" t="n"/>
      <c r="K278" s="15" t="n"/>
      <c r="L278" s="15" t="n"/>
      <c r="M278" s="15" t="n"/>
      <c r="N278" s="15" t="n"/>
      <c r="O278" s="15" t="n"/>
      <c r="P278" s="16">
        <f>IF(O278="","",IF(O278&lt;&gt;N278,"Sim","NÃO"))</f>
        <v/>
      </c>
      <c r="Q278" s="16">
        <f>IF(A278="","",IF(K278="Sim","Não – critério",IF(AND(ISNUMBER(F278),ABS(F278)&lt;=Parametros!$B$3),"Não – dentro da tolerância",IF(P278="Sim","Sim","Aguarda revisão"))))</f>
        <v/>
      </c>
    </row>
    <row r="279">
      <c r="A279" s="15" t="n"/>
      <c r="B279" s="15" t="n"/>
      <c r="C279" s="15" t="n"/>
      <c r="D279" s="24" t="n"/>
      <c r="E279" s="24" t="n"/>
      <c r="F279" s="22">
        <f>IF(OR(D279="",E279=""),"",D279-E279)</f>
        <v/>
      </c>
      <c r="G279" s="23">
        <f>IF(OR(D279="",E279="",E279=0),"",(D279-E279)/E279)</f>
        <v/>
      </c>
      <c r="H279" s="15" t="n"/>
      <c r="I279" s="15" t="n"/>
      <c r="J279" s="18" t="n"/>
      <c r="K279" s="15" t="n"/>
      <c r="L279" s="15" t="n"/>
      <c r="M279" s="15" t="n"/>
      <c r="N279" s="15" t="n"/>
      <c r="O279" s="15" t="n"/>
      <c r="P279" s="16">
        <f>IF(O279="","",IF(O279&lt;&gt;N279,"Sim","NÃO"))</f>
        <v/>
      </c>
      <c r="Q279" s="16">
        <f>IF(A279="","",IF(K279="Sim","Não – critério",IF(AND(ISNUMBER(F279),ABS(F279)&lt;=Parametros!$B$3),"Não – dentro da tolerância",IF(P279="Sim","Sim","Aguarda revisão"))))</f>
        <v/>
      </c>
    </row>
    <row r="280">
      <c r="A280" s="15" t="n"/>
      <c r="B280" s="15" t="n"/>
      <c r="C280" s="15" t="n"/>
      <c r="D280" s="24" t="n"/>
      <c r="E280" s="24" t="n"/>
      <c r="F280" s="22">
        <f>IF(OR(D280="",E280=""),"",D280-E280)</f>
        <v/>
      </c>
      <c r="G280" s="23">
        <f>IF(OR(D280="",E280="",E280=0),"",(D280-E280)/E280)</f>
        <v/>
      </c>
      <c r="H280" s="15" t="n"/>
      <c r="I280" s="15" t="n"/>
      <c r="J280" s="18" t="n"/>
      <c r="K280" s="15" t="n"/>
      <c r="L280" s="15" t="n"/>
      <c r="M280" s="15" t="n"/>
      <c r="N280" s="15" t="n"/>
      <c r="O280" s="15" t="n"/>
      <c r="P280" s="16">
        <f>IF(O280="","",IF(O280&lt;&gt;N280,"Sim","NÃO"))</f>
        <v/>
      </c>
      <c r="Q280" s="16">
        <f>IF(A280="","",IF(K280="Sim","Não – critério",IF(AND(ISNUMBER(F280),ABS(F280)&lt;=Parametros!$B$3),"Não – dentro da tolerância",IF(P280="Sim","Sim","Aguarda revisão"))))</f>
        <v/>
      </c>
    </row>
    <row r="281">
      <c r="A281" s="15" t="n"/>
      <c r="B281" s="15" t="n"/>
      <c r="C281" s="15" t="n"/>
      <c r="D281" s="24" t="n"/>
      <c r="E281" s="24" t="n"/>
      <c r="F281" s="22">
        <f>IF(OR(D281="",E281=""),"",D281-E281)</f>
        <v/>
      </c>
      <c r="G281" s="23">
        <f>IF(OR(D281="",E281="",E281=0),"",(D281-E281)/E281)</f>
        <v/>
      </c>
      <c r="H281" s="15" t="n"/>
      <c r="I281" s="15" t="n"/>
      <c r="J281" s="18" t="n"/>
      <c r="K281" s="15" t="n"/>
      <c r="L281" s="15" t="n"/>
      <c r="M281" s="15" t="n"/>
      <c r="N281" s="15" t="n"/>
      <c r="O281" s="15" t="n"/>
      <c r="P281" s="16">
        <f>IF(O281="","",IF(O281&lt;&gt;N281,"Sim","NÃO"))</f>
        <v/>
      </c>
      <c r="Q281" s="16">
        <f>IF(A281="","",IF(K281="Sim","Não – critério",IF(AND(ISNUMBER(F281),ABS(F281)&lt;=Parametros!$B$3),"Não – dentro da tolerância",IF(P281="Sim","Sim","Aguarda revisão"))))</f>
        <v/>
      </c>
    </row>
    <row r="282">
      <c r="A282" s="15" t="n"/>
      <c r="B282" s="15" t="n"/>
      <c r="C282" s="15" t="n"/>
      <c r="D282" s="24" t="n"/>
      <c r="E282" s="24" t="n"/>
      <c r="F282" s="22">
        <f>IF(OR(D282="",E282=""),"",D282-E282)</f>
        <v/>
      </c>
      <c r="G282" s="23">
        <f>IF(OR(D282="",E282="",E282=0),"",(D282-E282)/E282)</f>
        <v/>
      </c>
      <c r="H282" s="15" t="n"/>
      <c r="I282" s="15" t="n"/>
      <c r="J282" s="18" t="n"/>
      <c r="K282" s="15" t="n"/>
      <c r="L282" s="15" t="n"/>
      <c r="M282" s="15" t="n"/>
      <c r="N282" s="15" t="n"/>
      <c r="O282" s="15" t="n"/>
      <c r="P282" s="16">
        <f>IF(O282="","",IF(O282&lt;&gt;N282,"Sim","NÃO"))</f>
        <v/>
      </c>
      <c r="Q282" s="16">
        <f>IF(A282="","",IF(K282="Sim","Não – critério",IF(AND(ISNUMBER(F282),ABS(F282)&lt;=Parametros!$B$3),"Não – dentro da tolerância",IF(P282="Sim","Sim","Aguarda revisão"))))</f>
        <v/>
      </c>
    </row>
    <row r="283">
      <c r="A283" s="15" t="n"/>
      <c r="B283" s="15" t="n"/>
      <c r="C283" s="15" t="n"/>
      <c r="D283" s="24" t="n"/>
      <c r="E283" s="24" t="n"/>
      <c r="F283" s="22">
        <f>IF(OR(D283="",E283=""),"",D283-E283)</f>
        <v/>
      </c>
      <c r="G283" s="23">
        <f>IF(OR(D283="",E283="",E283=0),"",(D283-E283)/E283)</f>
        <v/>
      </c>
      <c r="H283" s="15" t="n"/>
      <c r="I283" s="15" t="n"/>
      <c r="J283" s="18" t="n"/>
      <c r="K283" s="15" t="n"/>
      <c r="L283" s="15" t="n"/>
      <c r="M283" s="15" t="n"/>
      <c r="N283" s="15" t="n"/>
      <c r="O283" s="15" t="n"/>
      <c r="P283" s="16">
        <f>IF(O283="","",IF(O283&lt;&gt;N283,"Sim","NÃO"))</f>
        <v/>
      </c>
      <c r="Q283" s="16">
        <f>IF(A283="","",IF(K283="Sim","Não – critério",IF(AND(ISNUMBER(F283),ABS(F283)&lt;=Parametros!$B$3),"Não – dentro da tolerância",IF(P283="Sim","Sim","Aguarda revisão"))))</f>
        <v/>
      </c>
    </row>
    <row r="284">
      <c r="A284" s="15" t="n"/>
      <c r="B284" s="15" t="n"/>
      <c r="C284" s="15" t="n"/>
      <c r="D284" s="24" t="n"/>
      <c r="E284" s="24" t="n"/>
      <c r="F284" s="22">
        <f>IF(OR(D284="",E284=""),"",D284-E284)</f>
        <v/>
      </c>
      <c r="G284" s="23">
        <f>IF(OR(D284="",E284="",E284=0),"",(D284-E284)/E284)</f>
        <v/>
      </c>
      <c r="H284" s="15" t="n"/>
      <c r="I284" s="15" t="n"/>
      <c r="J284" s="18" t="n"/>
      <c r="K284" s="15" t="n"/>
      <c r="L284" s="15" t="n"/>
      <c r="M284" s="15" t="n"/>
      <c r="N284" s="15" t="n"/>
      <c r="O284" s="15" t="n"/>
      <c r="P284" s="16">
        <f>IF(O284="","",IF(O284&lt;&gt;N284,"Sim","NÃO"))</f>
        <v/>
      </c>
      <c r="Q284" s="16">
        <f>IF(A284="","",IF(K284="Sim","Não – critério",IF(AND(ISNUMBER(F284),ABS(F284)&lt;=Parametros!$B$3),"Não – dentro da tolerância",IF(P284="Sim","Sim","Aguarda revisão"))))</f>
        <v/>
      </c>
    </row>
    <row r="285">
      <c r="A285" s="15" t="n"/>
      <c r="B285" s="15" t="n"/>
      <c r="C285" s="15" t="n"/>
      <c r="D285" s="24" t="n"/>
      <c r="E285" s="24" t="n"/>
      <c r="F285" s="22">
        <f>IF(OR(D285="",E285=""),"",D285-E285)</f>
        <v/>
      </c>
      <c r="G285" s="23">
        <f>IF(OR(D285="",E285="",E285=0),"",(D285-E285)/E285)</f>
        <v/>
      </c>
      <c r="H285" s="15" t="n"/>
      <c r="I285" s="15" t="n"/>
      <c r="J285" s="18" t="n"/>
      <c r="K285" s="15" t="n"/>
      <c r="L285" s="15" t="n"/>
      <c r="M285" s="15" t="n"/>
      <c r="N285" s="15" t="n"/>
      <c r="O285" s="15" t="n"/>
      <c r="P285" s="16">
        <f>IF(O285="","",IF(O285&lt;&gt;N285,"Sim","NÃO"))</f>
        <v/>
      </c>
      <c r="Q285" s="16">
        <f>IF(A285="","",IF(K285="Sim","Não – critério",IF(AND(ISNUMBER(F285),ABS(F285)&lt;=Parametros!$B$3),"Não – dentro da tolerância",IF(P285="Sim","Sim","Aguarda revisão"))))</f>
        <v/>
      </c>
    </row>
    <row r="286">
      <c r="A286" s="15" t="n"/>
      <c r="B286" s="15" t="n"/>
      <c r="C286" s="15" t="n"/>
      <c r="D286" s="24" t="n"/>
      <c r="E286" s="24" t="n"/>
      <c r="F286" s="22">
        <f>IF(OR(D286="",E286=""),"",D286-E286)</f>
        <v/>
      </c>
      <c r="G286" s="23">
        <f>IF(OR(D286="",E286="",E286=0),"",(D286-E286)/E286)</f>
        <v/>
      </c>
      <c r="H286" s="15" t="n"/>
      <c r="I286" s="15" t="n"/>
      <c r="J286" s="18" t="n"/>
      <c r="K286" s="15" t="n"/>
      <c r="L286" s="15" t="n"/>
      <c r="M286" s="15" t="n"/>
      <c r="N286" s="15" t="n"/>
      <c r="O286" s="15" t="n"/>
      <c r="P286" s="16">
        <f>IF(O286="","",IF(O286&lt;&gt;N286,"Sim","NÃO"))</f>
        <v/>
      </c>
      <c r="Q286" s="16">
        <f>IF(A286="","",IF(K286="Sim","Não – critério",IF(AND(ISNUMBER(F286),ABS(F286)&lt;=Parametros!$B$3),"Não – dentro da tolerância",IF(P286="Sim","Sim","Aguarda revisão"))))</f>
        <v/>
      </c>
    </row>
    <row r="287">
      <c r="A287" s="15" t="n"/>
      <c r="B287" s="15" t="n"/>
      <c r="C287" s="15" t="n"/>
      <c r="D287" s="24" t="n"/>
      <c r="E287" s="24" t="n"/>
      <c r="F287" s="22">
        <f>IF(OR(D287="",E287=""),"",D287-E287)</f>
        <v/>
      </c>
      <c r="G287" s="23">
        <f>IF(OR(D287="",E287="",E287=0),"",(D287-E287)/E287)</f>
        <v/>
      </c>
      <c r="H287" s="15" t="n"/>
      <c r="I287" s="15" t="n"/>
      <c r="J287" s="18" t="n"/>
      <c r="K287" s="15" t="n"/>
      <c r="L287" s="15" t="n"/>
      <c r="M287" s="15" t="n"/>
      <c r="N287" s="15" t="n"/>
      <c r="O287" s="15" t="n"/>
      <c r="P287" s="16">
        <f>IF(O287="","",IF(O287&lt;&gt;N287,"Sim","NÃO"))</f>
        <v/>
      </c>
      <c r="Q287" s="16">
        <f>IF(A287="","",IF(K287="Sim","Não – critério",IF(AND(ISNUMBER(F287),ABS(F287)&lt;=Parametros!$B$3),"Não – dentro da tolerância",IF(P287="Sim","Sim","Aguarda revisão"))))</f>
        <v/>
      </c>
    </row>
    <row r="288">
      <c r="A288" s="15" t="n"/>
      <c r="B288" s="15" t="n"/>
      <c r="C288" s="15" t="n"/>
      <c r="D288" s="24" t="n"/>
      <c r="E288" s="24" t="n"/>
      <c r="F288" s="22">
        <f>IF(OR(D288="",E288=""),"",D288-E288)</f>
        <v/>
      </c>
      <c r="G288" s="23">
        <f>IF(OR(D288="",E288="",E288=0),"",(D288-E288)/E288)</f>
        <v/>
      </c>
      <c r="H288" s="15" t="n"/>
      <c r="I288" s="15" t="n"/>
      <c r="J288" s="18" t="n"/>
      <c r="K288" s="15" t="n"/>
      <c r="L288" s="15" t="n"/>
      <c r="M288" s="15" t="n"/>
      <c r="N288" s="15" t="n"/>
      <c r="O288" s="15" t="n"/>
      <c r="P288" s="16">
        <f>IF(O288="","",IF(O288&lt;&gt;N288,"Sim","NÃO"))</f>
        <v/>
      </c>
      <c r="Q288" s="16">
        <f>IF(A288="","",IF(K288="Sim","Não – critério",IF(AND(ISNUMBER(F288),ABS(F288)&lt;=Parametros!$B$3),"Não – dentro da tolerância",IF(P288="Sim","Sim","Aguarda revisão"))))</f>
        <v/>
      </c>
    </row>
    <row r="289">
      <c r="A289" s="15" t="n"/>
      <c r="B289" s="15" t="n"/>
      <c r="C289" s="15" t="n"/>
      <c r="D289" s="24" t="n"/>
      <c r="E289" s="24" t="n"/>
      <c r="F289" s="22">
        <f>IF(OR(D289="",E289=""),"",D289-E289)</f>
        <v/>
      </c>
      <c r="G289" s="23">
        <f>IF(OR(D289="",E289="",E289=0),"",(D289-E289)/E289)</f>
        <v/>
      </c>
      <c r="H289" s="15" t="n"/>
      <c r="I289" s="15" t="n"/>
      <c r="J289" s="18" t="n"/>
      <c r="K289" s="15" t="n"/>
      <c r="L289" s="15" t="n"/>
      <c r="M289" s="15" t="n"/>
      <c r="N289" s="15" t="n"/>
      <c r="O289" s="15" t="n"/>
      <c r="P289" s="16">
        <f>IF(O289="","",IF(O289&lt;&gt;N289,"Sim","NÃO"))</f>
        <v/>
      </c>
      <c r="Q289" s="16">
        <f>IF(A289="","",IF(K289="Sim","Não – critério",IF(AND(ISNUMBER(F289),ABS(F289)&lt;=Parametros!$B$3),"Não – dentro da tolerância",IF(P289="Sim","Sim","Aguarda revisão"))))</f>
        <v/>
      </c>
    </row>
    <row r="290">
      <c r="A290" s="15" t="n"/>
      <c r="B290" s="15" t="n"/>
      <c r="C290" s="15" t="n"/>
      <c r="D290" s="24" t="n"/>
      <c r="E290" s="24" t="n"/>
      <c r="F290" s="22">
        <f>IF(OR(D290="",E290=""),"",D290-E290)</f>
        <v/>
      </c>
      <c r="G290" s="23">
        <f>IF(OR(D290="",E290="",E290=0),"",(D290-E290)/E290)</f>
        <v/>
      </c>
      <c r="H290" s="15" t="n"/>
      <c r="I290" s="15" t="n"/>
      <c r="J290" s="18" t="n"/>
      <c r="K290" s="15" t="n"/>
      <c r="L290" s="15" t="n"/>
      <c r="M290" s="15" t="n"/>
      <c r="N290" s="15" t="n"/>
      <c r="O290" s="15" t="n"/>
      <c r="P290" s="16">
        <f>IF(O290="","",IF(O290&lt;&gt;N290,"Sim","NÃO"))</f>
        <v/>
      </c>
      <c r="Q290" s="16">
        <f>IF(A290="","",IF(K290="Sim","Não – critério",IF(AND(ISNUMBER(F290),ABS(F290)&lt;=Parametros!$B$3),"Não – dentro da tolerância",IF(P290="Sim","Sim","Aguarda revisão"))))</f>
        <v/>
      </c>
    </row>
    <row r="291">
      <c r="A291" s="15" t="n"/>
      <c r="B291" s="15" t="n"/>
      <c r="C291" s="15" t="n"/>
      <c r="D291" s="24" t="n"/>
      <c r="E291" s="24" t="n"/>
      <c r="F291" s="22">
        <f>IF(OR(D291="",E291=""),"",D291-E291)</f>
        <v/>
      </c>
      <c r="G291" s="23">
        <f>IF(OR(D291="",E291="",E291=0),"",(D291-E291)/E291)</f>
        <v/>
      </c>
      <c r="H291" s="15" t="n"/>
      <c r="I291" s="15" t="n"/>
      <c r="J291" s="18" t="n"/>
      <c r="K291" s="15" t="n"/>
      <c r="L291" s="15" t="n"/>
      <c r="M291" s="15" t="n"/>
      <c r="N291" s="15" t="n"/>
      <c r="O291" s="15" t="n"/>
      <c r="P291" s="16">
        <f>IF(O291="","",IF(O291&lt;&gt;N291,"Sim","NÃO"))</f>
        <v/>
      </c>
      <c r="Q291" s="16">
        <f>IF(A291="","",IF(K291="Sim","Não – critério",IF(AND(ISNUMBER(F291),ABS(F291)&lt;=Parametros!$B$3),"Não – dentro da tolerância",IF(P291="Sim","Sim","Aguarda revisão"))))</f>
        <v/>
      </c>
    </row>
    <row r="292">
      <c r="A292" s="15" t="n"/>
      <c r="B292" s="15" t="n"/>
      <c r="C292" s="15" t="n"/>
      <c r="D292" s="24" t="n"/>
      <c r="E292" s="24" t="n"/>
      <c r="F292" s="22">
        <f>IF(OR(D292="",E292=""),"",D292-E292)</f>
        <v/>
      </c>
      <c r="G292" s="23">
        <f>IF(OR(D292="",E292="",E292=0),"",(D292-E292)/E292)</f>
        <v/>
      </c>
      <c r="H292" s="15" t="n"/>
      <c r="I292" s="15" t="n"/>
      <c r="J292" s="18" t="n"/>
      <c r="K292" s="15" t="n"/>
      <c r="L292" s="15" t="n"/>
      <c r="M292" s="15" t="n"/>
      <c r="N292" s="15" t="n"/>
      <c r="O292" s="15" t="n"/>
      <c r="P292" s="16">
        <f>IF(O292="","",IF(O292&lt;&gt;N292,"Sim","NÃO"))</f>
        <v/>
      </c>
      <c r="Q292" s="16">
        <f>IF(A292="","",IF(K292="Sim","Não – critério",IF(AND(ISNUMBER(F292),ABS(F292)&lt;=Parametros!$B$3),"Não – dentro da tolerância",IF(P292="Sim","Sim","Aguarda revisão"))))</f>
        <v/>
      </c>
    </row>
    <row r="293">
      <c r="A293" s="15" t="n"/>
      <c r="B293" s="15" t="n"/>
      <c r="C293" s="15" t="n"/>
      <c r="D293" s="24" t="n"/>
      <c r="E293" s="24" t="n"/>
      <c r="F293" s="22">
        <f>IF(OR(D293="",E293=""),"",D293-E293)</f>
        <v/>
      </c>
      <c r="G293" s="23">
        <f>IF(OR(D293="",E293="",E293=0),"",(D293-E293)/E293)</f>
        <v/>
      </c>
      <c r="H293" s="15" t="n"/>
      <c r="I293" s="15" t="n"/>
      <c r="J293" s="18" t="n"/>
      <c r="K293" s="15" t="n"/>
      <c r="L293" s="15" t="n"/>
      <c r="M293" s="15" t="n"/>
      <c r="N293" s="15" t="n"/>
      <c r="O293" s="15" t="n"/>
      <c r="P293" s="16">
        <f>IF(O293="","",IF(O293&lt;&gt;N293,"Sim","NÃO"))</f>
        <v/>
      </c>
      <c r="Q293" s="16">
        <f>IF(A293="","",IF(K293="Sim","Não – critério",IF(AND(ISNUMBER(F293),ABS(F293)&lt;=Parametros!$B$3),"Não – dentro da tolerância",IF(P293="Sim","Sim","Aguarda revisão"))))</f>
        <v/>
      </c>
    </row>
    <row r="294">
      <c r="A294" s="15" t="n"/>
      <c r="B294" s="15" t="n"/>
      <c r="C294" s="15" t="n"/>
      <c r="D294" s="24" t="n"/>
      <c r="E294" s="24" t="n"/>
      <c r="F294" s="22">
        <f>IF(OR(D294="",E294=""),"",D294-E294)</f>
        <v/>
      </c>
      <c r="G294" s="23">
        <f>IF(OR(D294="",E294="",E294=0),"",(D294-E294)/E294)</f>
        <v/>
      </c>
      <c r="H294" s="15" t="n"/>
      <c r="I294" s="15" t="n"/>
      <c r="J294" s="18" t="n"/>
      <c r="K294" s="15" t="n"/>
      <c r="L294" s="15" t="n"/>
      <c r="M294" s="15" t="n"/>
      <c r="N294" s="15" t="n"/>
      <c r="O294" s="15" t="n"/>
      <c r="P294" s="16">
        <f>IF(O294="","",IF(O294&lt;&gt;N294,"Sim","NÃO"))</f>
        <v/>
      </c>
      <c r="Q294" s="16">
        <f>IF(A294="","",IF(K294="Sim","Não – critério",IF(AND(ISNUMBER(F294),ABS(F294)&lt;=Parametros!$B$3),"Não – dentro da tolerância",IF(P294="Sim","Sim","Aguarda revisão"))))</f>
        <v/>
      </c>
    </row>
    <row r="295">
      <c r="A295" s="15" t="n"/>
      <c r="B295" s="15" t="n"/>
      <c r="C295" s="15" t="n"/>
      <c r="D295" s="24" t="n"/>
      <c r="E295" s="24" t="n"/>
      <c r="F295" s="22">
        <f>IF(OR(D295="",E295=""),"",D295-E295)</f>
        <v/>
      </c>
      <c r="G295" s="23">
        <f>IF(OR(D295="",E295="",E295=0),"",(D295-E295)/E295)</f>
        <v/>
      </c>
      <c r="H295" s="15" t="n"/>
      <c r="I295" s="15" t="n"/>
      <c r="J295" s="18" t="n"/>
      <c r="K295" s="15" t="n"/>
      <c r="L295" s="15" t="n"/>
      <c r="M295" s="15" t="n"/>
      <c r="N295" s="15" t="n"/>
      <c r="O295" s="15" t="n"/>
      <c r="P295" s="16">
        <f>IF(O295="","",IF(O295&lt;&gt;N295,"Sim","NÃO"))</f>
        <v/>
      </c>
      <c r="Q295" s="16">
        <f>IF(A295="","",IF(K295="Sim","Não – critério",IF(AND(ISNUMBER(F295),ABS(F295)&lt;=Parametros!$B$3),"Não – dentro da tolerância",IF(P295="Sim","Sim","Aguarda revisão"))))</f>
        <v/>
      </c>
    </row>
    <row r="296">
      <c r="A296" s="15" t="n"/>
      <c r="B296" s="15" t="n"/>
      <c r="C296" s="15" t="n"/>
      <c r="D296" s="24" t="n"/>
      <c r="E296" s="24" t="n"/>
      <c r="F296" s="22">
        <f>IF(OR(D296="",E296=""),"",D296-E296)</f>
        <v/>
      </c>
      <c r="G296" s="23">
        <f>IF(OR(D296="",E296="",E296=0),"",(D296-E296)/E296)</f>
        <v/>
      </c>
      <c r="H296" s="15" t="n"/>
      <c r="I296" s="15" t="n"/>
      <c r="J296" s="18" t="n"/>
      <c r="K296" s="15" t="n"/>
      <c r="L296" s="15" t="n"/>
      <c r="M296" s="15" t="n"/>
      <c r="N296" s="15" t="n"/>
      <c r="O296" s="15" t="n"/>
      <c r="P296" s="16">
        <f>IF(O296="","",IF(O296&lt;&gt;N296,"Sim","NÃO"))</f>
        <v/>
      </c>
      <c r="Q296" s="16">
        <f>IF(A296="","",IF(K296="Sim","Não – critério",IF(AND(ISNUMBER(F296),ABS(F296)&lt;=Parametros!$B$3),"Não – dentro da tolerância",IF(P296="Sim","Sim","Aguarda revisão"))))</f>
        <v/>
      </c>
    </row>
    <row r="297">
      <c r="A297" s="15" t="n"/>
      <c r="B297" s="15" t="n"/>
      <c r="C297" s="15" t="n"/>
      <c r="D297" s="24" t="n"/>
      <c r="E297" s="24" t="n"/>
      <c r="F297" s="22">
        <f>IF(OR(D297="",E297=""),"",D297-E297)</f>
        <v/>
      </c>
      <c r="G297" s="23">
        <f>IF(OR(D297="",E297="",E297=0),"",(D297-E297)/E297)</f>
        <v/>
      </c>
      <c r="H297" s="15" t="n"/>
      <c r="I297" s="15" t="n"/>
      <c r="J297" s="18" t="n"/>
      <c r="K297" s="15" t="n"/>
      <c r="L297" s="15" t="n"/>
      <c r="M297" s="15" t="n"/>
      <c r="N297" s="15" t="n"/>
      <c r="O297" s="15" t="n"/>
      <c r="P297" s="16">
        <f>IF(O297="","",IF(O297&lt;&gt;N297,"Sim","NÃO"))</f>
        <v/>
      </c>
      <c r="Q297" s="16">
        <f>IF(A297="","",IF(K297="Sim","Não – critério",IF(AND(ISNUMBER(F297),ABS(F297)&lt;=Parametros!$B$3),"Não – dentro da tolerância",IF(P297="Sim","Sim","Aguarda revisão"))))</f>
        <v/>
      </c>
    </row>
    <row r="298">
      <c r="A298" s="15" t="n"/>
      <c r="B298" s="15" t="n"/>
      <c r="C298" s="15" t="n"/>
      <c r="D298" s="24" t="n"/>
      <c r="E298" s="24" t="n"/>
      <c r="F298" s="22">
        <f>IF(OR(D298="",E298=""),"",D298-E298)</f>
        <v/>
      </c>
      <c r="G298" s="23">
        <f>IF(OR(D298="",E298="",E298=0),"",(D298-E298)/E298)</f>
        <v/>
      </c>
      <c r="H298" s="15" t="n"/>
      <c r="I298" s="15" t="n"/>
      <c r="J298" s="18" t="n"/>
      <c r="K298" s="15" t="n"/>
      <c r="L298" s="15" t="n"/>
      <c r="M298" s="15" t="n"/>
      <c r="N298" s="15" t="n"/>
      <c r="O298" s="15" t="n"/>
      <c r="P298" s="16">
        <f>IF(O298="","",IF(O298&lt;&gt;N298,"Sim","NÃO"))</f>
        <v/>
      </c>
      <c r="Q298" s="16">
        <f>IF(A298="","",IF(K298="Sim","Não – critério",IF(AND(ISNUMBER(F298),ABS(F298)&lt;=Parametros!$B$3),"Não – dentro da tolerância",IF(P298="Sim","Sim","Aguarda revisão"))))</f>
        <v/>
      </c>
    </row>
    <row r="299">
      <c r="A299" s="15" t="n"/>
      <c r="B299" s="15" t="n"/>
      <c r="C299" s="15" t="n"/>
      <c r="D299" s="24" t="n"/>
      <c r="E299" s="24" t="n"/>
      <c r="F299" s="22">
        <f>IF(OR(D299="",E299=""),"",D299-E299)</f>
        <v/>
      </c>
      <c r="G299" s="23">
        <f>IF(OR(D299="",E299="",E299=0),"",(D299-E299)/E299)</f>
        <v/>
      </c>
      <c r="H299" s="15" t="n"/>
      <c r="I299" s="15" t="n"/>
      <c r="J299" s="18" t="n"/>
      <c r="K299" s="15" t="n"/>
      <c r="L299" s="15" t="n"/>
      <c r="M299" s="15" t="n"/>
      <c r="N299" s="15" t="n"/>
      <c r="O299" s="15" t="n"/>
      <c r="P299" s="16">
        <f>IF(O299="","",IF(O299&lt;&gt;N299,"Sim","NÃO"))</f>
        <v/>
      </c>
      <c r="Q299" s="16">
        <f>IF(A299="","",IF(K299="Sim","Não – critério",IF(AND(ISNUMBER(F299),ABS(F299)&lt;=Parametros!$B$3),"Não – dentro da tolerância",IF(P299="Sim","Sim","Aguarda revisão"))))</f>
        <v/>
      </c>
    </row>
    <row r="300">
      <c r="A300" s="15" t="n"/>
      <c r="B300" s="15" t="n"/>
      <c r="C300" s="15" t="n"/>
      <c r="D300" s="24" t="n"/>
      <c r="E300" s="24" t="n"/>
      <c r="F300" s="22">
        <f>IF(OR(D300="",E300=""),"",D300-E300)</f>
        <v/>
      </c>
      <c r="G300" s="23">
        <f>IF(OR(D300="",E300="",E300=0),"",(D300-E300)/E300)</f>
        <v/>
      </c>
      <c r="H300" s="15" t="n"/>
      <c r="I300" s="15" t="n"/>
      <c r="J300" s="18" t="n"/>
      <c r="K300" s="15" t="n"/>
      <c r="L300" s="15" t="n"/>
      <c r="M300" s="15" t="n"/>
      <c r="N300" s="15" t="n"/>
      <c r="O300" s="15" t="n"/>
      <c r="P300" s="16">
        <f>IF(O300="","",IF(O300&lt;&gt;N300,"Sim","NÃO"))</f>
        <v/>
      </c>
      <c r="Q300" s="16">
        <f>IF(A300="","",IF(K300="Sim","Não – critério",IF(AND(ISNUMBER(F300),ABS(F300)&lt;=Parametros!$B$3),"Não – dentro da tolerância",IF(P300="Sim","Sim","Aguarda revisão"))))</f>
        <v/>
      </c>
    </row>
    <row r="301">
      <c r="A301" s="15" t="n"/>
      <c r="B301" s="15" t="n"/>
      <c r="C301" s="15" t="n"/>
      <c r="D301" s="24" t="n"/>
      <c r="E301" s="24" t="n"/>
      <c r="F301" s="22">
        <f>IF(OR(D301="",E301=""),"",D301-E301)</f>
        <v/>
      </c>
      <c r="G301" s="23">
        <f>IF(OR(D301="",E301="",E301=0),"",(D301-E301)/E301)</f>
        <v/>
      </c>
      <c r="H301" s="15" t="n"/>
      <c r="I301" s="15" t="n"/>
      <c r="J301" s="18" t="n"/>
      <c r="K301" s="15" t="n"/>
      <c r="L301" s="15" t="n"/>
      <c r="M301" s="15" t="n"/>
      <c r="N301" s="15" t="n"/>
      <c r="O301" s="15" t="n"/>
      <c r="P301" s="16">
        <f>IF(O301="","",IF(O301&lt;&gt;N301,"Sim","NÃO"))</f>
        <v/>
      </c>
      <c r="Q301" s="16">
        <f>IF(A301="","",IF(K301="Sim","Não – critério",IF(AND(ISNUMBER(F301),ABS(F301)&lt;=Parametros!$B$3),"Não – dentro da tolerância",IF(P301="Sim","Sim","Aguarda revisão"))))</f>
        <v/>
      </c>
    </row>
  </sheetData>
  <autoFilter ref="A1:Q301"/>
  <conditionalFormatting sqref="P2:P301">
    <cfRule type="expression" priority="1" dxfId="1">
      <formula>LEFT(P2,3)="NÃO"</formula>
    </cfRule>
    <cfRule type="expression" priority="2" dxfId="1">
      <formula>LEFT(P2,7)="DIVERGE"</formula>
    </cfRule>
  </conditionalFormatting>
  <dataValidations count="2">
    <dataValidation sqref="K2:K301" showDropDown="0" showInputMessage="0" showErrorMessage="0" allowBlank="1" errorTitle="Valor inválido" error="Escolha um valor da lista." type="list">
      <formula1>Listas!$B$2:$B$3</formula1>
    </dataValidation>
    <dataValidation sqref="M2:M301" showDropDown="0" showInputMessage="0" showErrorMessage="0" allowBlank="1" errorTitle="Valor inválido" error="Escolha um valor da lista." type="list">
      <formula1>Listas!$G$2:$G$4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30" customWidth="1" min="4" max="4"/>
    <col width="36" customWidth="1" min="5" max="5"/>
    <col width="12" customWidth="1" min="6" max="6"/>
    <col width="36" customWidth="1" min="7" max="7"/>
    <col width="12" customWidth="1" min="8" max="8"/>
    <col width="18" customWidth="1" min="9" max="9"/>
    <col width="12" customWidth="1" min="10" max="10"/>
  </cols>
  <sheetData>
    <row r="1" ht="36" customHeight="1">
      <c r="A1" s="10" t="inlineStr">
        <is>
          <t>ID objeção</t>
        </is>
      </c>
      <c r="B1" s="10" t="inlineStr">
        <is>
          <t>ID item</t>
        </is>
      </c>
      <c r="C1" s="10" t="inlineStr">
        <is>
          <t>Ref. teste/divergência</t>
        </is>
      </c>
      <c r="D1" s="10" t="inlineStr">
        <is>
          <t>Achado contestado</t>
        </is>
      </c>
      <c r="E1" s="10" t="inlineStr">
        <is>
          <t>Explicação inocente proposta</t>
        </is>
      </c>
      <c r="F1" s="10" t="inlineStr">
        <is>
          <t>Autor (Red Team)</t>
        </is>
      </c>
      <c r="G1" s="10" t="inlineStr">
        <is>
          <t>Resposta técnica</t>
        </is>
      </c>
      <c r="H1" s="10" t="inlineStr">
        <is>
          <t>Respondido por</t>
        </is>
      </c>
      <c r="I1" s="10" t="inlineStr">
        <is>
          <t>Status</t>
        </is>
      </c>
      <c r="J1" s="10" t="inlineStr">
        <is>
          <t>Data</t>
        </is>
      </c>
    </row>
    <row r="2">
      <c r="A2" s="14" t="inlineStr">
        <is>
          <t>R-001</t>
        </is>
      </c>
      <c r="B2" s="14" t="inlineStr">
        <is>
          <t>DOC-001</t>
        </is>
      </c>
      <c r="C2" s="14" t="inlineStr">
        <is>
          <t>T-001</t>
        </is>
      </c>
      <c r="D2" s="14" t="inlineStr">
        <is>
          <t>Produtor do PDF difere da referência (EXEMPLO – substituir)</t>
        </is>
      </c>
      <c r="E2" s="14" t="inlineStr">
        <is>
          <t>Arquivo pode ter sido reexportado por 'Imprimir como PDF' antes da publicação</t>
        </is>
      </c>
      <c r="F2" s="14" t="inlineStr">
        <is>
          <t>M06</t>
        </is>
      </c>
      <c r="G2" s="14" t="inlineStr">
        <is>
          <t>Aceito: tratado como perda de rastreabilidade, não adulteração</t>
        </is>
      </c>
      <c r="H2" s="14" t="inlineStr">
        <is>
          <t>M01</t>
        </is>
      </c>
      <c r="I2" s="14" t="inlineStr">
        <is>
          <t>Respondida – aceita</t>
        </is>
      </c>
      <c r="J2" s="17" t="n">
        <v>46320</v>
      </c>
    </row>
    <row r="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8" t="n"/>
    </row>
    <row r="4">
      <c r="A4" s="15" t="n"/>
      <c r="B4" s="15" t="n"/>
      <c r="C4" s="15" t="n"/>
      <c r="D4" s="15" t="n"/>
      <c r="E4" s="15" t="n"/>
      <c r="F4" s="15" t="n"/>
      <c r="G4" s="15" t="n"/>
      <c r="H4" s="15" t="n"/>
      <c r="I4" s="15" t="n"/>
      <c r="J4" s="18" t="n"/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8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8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8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8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8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8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8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8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8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8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8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8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8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8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8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8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8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8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8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8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8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8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8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8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8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8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8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8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8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8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8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8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8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8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8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8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8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8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8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8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8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8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8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8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8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8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8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8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8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8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8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8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8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8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8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8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8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8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8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8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8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8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8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8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8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8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8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8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8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8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8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8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8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8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8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8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8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8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8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8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8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8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8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8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8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8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8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8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8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8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8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8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8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8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8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8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8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8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8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8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8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8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8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8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8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8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8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8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8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8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8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8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8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8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8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8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8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8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8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8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8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8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8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8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8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8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8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8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8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8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8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8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8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8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8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8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8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8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8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8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8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8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8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8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8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8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8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8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8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8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8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8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8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8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8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8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8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8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8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8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8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8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8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8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8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8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8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8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8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8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8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8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8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8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8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8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8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8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8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8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8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8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8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8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8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8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8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8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8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8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8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8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8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8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8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8" t="n"/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8" t="n"/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8" t="n"/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8" t="n"/>
    </row>
    <row r="204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8" t="n"/>
    </row>
    <row r="20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8" t="n"/>
    </row>
    <row r="206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8" t="n"/>
    </row>
    <row r="207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8" t="n"/>
    </row>
    <row r="208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8" t="n"/>
    </row>
    <row r="209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8" t="n"/>
    </row>
    <row r="210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8" t="n"/>
    </row>
    <row r="21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8" t="n"/>
    </row>
    <row r="212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8" t="n"/>
    </row>
    <row r="213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8" t="n"/>
    </row>
    <row r="214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8" t="n"/>
    </row>
    <row r="2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8" t="n"/>
    </row>
    <row r="216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8" t="n"/>
    </row>
    <row r="217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8" t="n"/>
    </row>
    <row r="218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8" t="n"/>
    </row>
    <row r="219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8" t="n"/>
    </row>
    <row r="220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8" t="n"/>
    </row>
    <row r="22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8" t="n"/>
    </row>
    <row r="222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8" t="n"/>
    </row>
    <row r="223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8" t="n"/>
    </row>
    <row r="224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8" t="n"/>
    </row>
    <row r="22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8" t="n"/>
    </row>
    <row r="226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8" t="n"/>
    </row>
    <row r="227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8" t="n"/>
    </row>
    <row r="228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8" t="n"/>
    </row>
    <row r="229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8" t="n"/>
    </row>
    <row r="230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8" t="n"/>
    </row>
    <row r="23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8" t="n"/>
    </row>
    <row r="232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8" t="n"/>
    </row>
    <row r="233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8" t="n"/>
    </row>
    <row r="234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8" t="n"/>
    </row>
    <row r="23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8" t="n"/>
    </row>
    <row r="236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8" t="n"/>
    </row>
    <row r="237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8" t="n"/>
    </row>
    <row r="238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8" t="n"/>
    </row>
    <row r="239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8" t="n"/>
    </row>
    <row r="240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8" t="n"/>
    </row>
    <row r="24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8" t="n"/>
    </row>
    <row r="242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8" t="n"/>
    </row>
    <row r="243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8" t="n"/>
    </row>
    <row r="244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8" t="n"/>
    </row>
    <row r="24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8" t="n"/>
    </row>
    <row r="246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8" t="n"/>
    </row>
    <row r="247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8" t="n"/>
    </row>
    <row r="248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8" t="n"/>
    </row>
    <row r="249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8" t="n"/>
    </row>
    <row r="250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8" t="n"/>
    </row>
    <row r="25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8" t="n"/>
    </row>
    <row r="252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8" t="n"/>
    </row>
    <row r="253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8" t="n"/>
    </row>
    <row r="254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8" t="n"/>
    </row>
    <row r="255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8" t="n"/>
    </row>
    <row r="256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8" t="n"/>
    </row>
    <row r="257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8" t="n"/>
    </row>
    <row r="258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8" t="n"/>
    </row>
    <row r="259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8" t="n"/>
    </row>
    <row r="260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8" t="n"/>
    </row>
    <row r="26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8" t="n"/>
    </row>
    <row r="262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8" t="n"/>
    </row>
    <row r="263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8" t="n"/>
    </row>
    <row r="264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8" t="n"/>
    </row>
    <row r="265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8" t="n"/>
    </row>
    <row r="266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8" t="n"/>
    </row>
    <row r="267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8" t="n"/>
    </row>
    <row r="268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8" t="n"/>
    </row>
    <row r="269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8" t="n"/>
    </row>
    <row r="270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8" t="n"/>
    </row>
    <row r="27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8" t="n"/>
    </row>
    <row r="272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8" t="n"/>
    </row>
    <row r="273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8" t="n"/>
    </row>
    <row r="274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8" t="n"/>
    </row>
    <row r="275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8" t="n"/>
    </row>
    <row r="276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8" t="n"/>
    </row>
    <row r="277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8" t="n"/>
    </row>
    <row r="278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8" t="n"/>
    </row>
    <row r="279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8" t="n"/>
    </row>
    <row r="280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8" t="n"/>
    </row>
    <row r="28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8" t="n"/>
    </row>
    <row r="282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8" t="n"/>
    </row>
    <row r="283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8" t="n"/>
    </row>
    <row r="284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8" t="n"/>
    </row>
    <row r="285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8" t="n"/>
    </row>
    <row r="286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8" t="n"/>
    </row>
    <row r="287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8" t="n"/>
    </row>
    <row r="288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8" t="n"/>
    </row>
    <row r="289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8" t="n"/>
    </row>
    <row r="290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8" t="n"/>
    </row>
    <row r="29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8" t="n"/>
    </row>
    <row r="292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8" t="n"/>
    </row>
    <row r="293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8" t="n"/>
    </row>
    <row r="294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8" t="n"/>
    </row>
    <row r="295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8" t="n"/>
    </row>
    <row r="296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8" t="n"/>
    </row>
    <row r="297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8" t="n"/>
    </row>
    <row r="298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8" t="n"/>
    </row>
    <row r="299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8" t="n"/>
    </row>
    <row r="300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8" t="n"/>
    </row>
    <row r="30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8" t="n"/>
    </row>
  </sheetData>
  <autoFilter ref="A1:J301"/>
  <dataValidations count="1">
    <dataValidation sqref="I2:I301" showDropDown="0" showInputMessage="0" showErrorMessage="0" allowBlank="1" errorTitle="Valor inválido" error="Escolha um valor da lista." type="list">
      <formula1>Listas!$P$2:$P$4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3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40" customWidth="1" min="14" max="14"/>
    <col width="26" customWidth="1" min="15" max="15"/>
    <col width="14" customWidth="1" min="16" max="16"/>
    <col width="10" customWidth="1" min="17" max="17"/>
  </cols>
  <sheetData>
    <row r="1" ht="36" customHeight="1">
      <c r="A1" s="10" t="inlineStr">
        <is>
          <t>ID ata</t>
        </is>
      </c>
      <c r="B1" s="10" t="inlineStr">
        <is>
          <t>Data</t>
        </is>
      </c>
      <c r="C1" s="10" t="inlineStr">
        <is>
          <t>ID item</t>
        </is>
      </c>
      <c r="D1" s="10" t="inlineStr">
        <is>
          <t>Veredito proposto</t>
        </is>
      </c>
      <c r="E1" s="10" t="inlineStr">
        <is>
          <t>Membro 1</t>
        </is>
      </c>
      <c r="F1" s="10" t="inlineStr">
        <is>
          <t>Voto 1</t>
        </is>
      </c>
      <c r="G1" s="10" t="inlineStr">
        <is>
          <t>Membro 2</t>
        </is>
      </c>
      <c r="H1" s="10" t="inlineStr">
        <is>
          <t>Voto 2</t>
        </is>
      </c>
      <c r="I1" s="10" t="inlineStr">
        <is>
          <t>Membro 3</t>
        </is>
      </c>
      <c r="J1" s="10" t="inlineStr">
        <is>
          <t>Voto 3</t>
        </is>
      </c>
      <c r="K1" s="10" t="inlineStr">
        <is>
          <t>Votos a favor</t>
        </is>
      </c>
      <c r="L1" s="10" t="inlineStr">
        <is>
          <t>Unânime?</t>
        </is>
      </c>
      <c r="M1" s="10" t="inlineStr">
        <is>
          <t>Objeções abertas no Red Team</t>
        </is>
      </c>
      <c r="N1" s="10" t="inlineStr">
        <is>
          <t>Justificativa</t>
        </is>
      </c>
      <c r="O1" s="10" t="inlineStr">
        <is>
          <t>Veredito válido?</t>
        </is>
      </c>
      <c r="P1" s="10" t="inlineStr">
        <is>
          <t>Chave última ata (auxiliar)</t>
        </is>
      </c>
      <c r="Q1" s="10" t="inlineStr">
        <is>
          <t>Classe do item (auxiliar)</t>
        </is>
      </c>
    </row>
    <row r="2">
      <c r="A2" s="14" t="inlineStr">
        <is>
          <t>A-001</t>
        </is>
      </c>
      <c r="B2" s="17" t="n">
        <v>46321</v>
      </c>
      <c r="C2" s="14" t="inlineStr">
        <is>
          <t>DOC-001</t>
        </is>
      </c>
      <c r="D2" s="14" t="inlineStr">
        <is>
          <t>Sem sinais de adulteração, não confirmável</t>
        </is>
      </c>
      <c r="E2" s="14" t="inlineStr">
        <is>
          <t>M07</t>
        </is>
      </c>
      <c r="F2" s="14" t="inlineStr">
        <is>
          <t>A favor</t>
        </is>
      </c>
      <c r="G2" s="14" t="inlineStr">
        <is>
          <t>M08</t>
        </is>
      </c>
      <c r="H2" s="14" t="inlineStr">
        <is>
          <t>A favor</t>
        </is>
      </c>
      <c r="I2" s="14" t="inlineStr">
        <is>
          <t>M09</t>
        </is>
      </c>
      <c r="J2" s="14" t="inlineStr">
        <is>
          <t>A favor</t>
        </is>
      </c>
      <c r="K2" s="16">
        <f>IF(A2="","",COUNTIF(F2,"A favor")+COUNTIF(H2,"A favor")+COUNTIF(J2,"A favor"))</f>
        <v/>
      </c>
      <c r="L2" s="16">
        <f>IF(A2="","",IF(K2=3,"Sim","Não"))</f>
        <v/>
      </c>
      <c r="M2" s="16">
        <f>IF(C2="","",COUNTIFS(Red_Team!$B$2:$B$301,C2,Red_Team!$I$2:$I$301,"Aberta"))</f>
        <v/>
      </c>
      <c r="N2" s="14" t="inlineStr">
        <is>
          <t>Testes F4 limpos; sem verificação criptográfica disponível (EXEMPLO – substituir)</t>
        </is>
      </c>
      <c r="O2" s="16">
        <f>IF(A2="","",IF(M2&gt;0,"NÃO – objeções abertas",IF(AND(D2="Autenticidade confirmada (origem institucional)",Q2&lt;&gt;"A"),"NÃO – exige item classe A",IF(AND(Q2="C",D2&lt;&gt;"Alegação da defesa (classe C)"),"NÃO – item classe C",IF(AND(D2="Alegação da defesa (classe C)",Q2&lt;&gt;"C"),"NÃO – item não é classe C",IF(D2="Indícios técnicos de alteração",IF(L2="Sim","Sim","NÃO – exige unanimidade"),IF(K2&gt;=2,"Sim","NÃO – sem maioria")))))))</f>
        <v/>
      </c>
      <c r="P2" s="16">
        <f>IF(C2="","",IF(COUNTIF(C3:C$302,C2)=0,C2,""))</f>
        <v/>
      </c>
      <c r="Q2" s="16">
        <f>IF(C2="","",IFERROR(LEFT(INDEX(Custodia!$U$2:$U$301,MATCH(C2,Custodia!$A$2:$A$301,0)),1),"?"))</f>
        <v/>
      </c>
    </row>
    <row r="3">
      <c r="A3" s="15" t="n"/>
      <c r="B3" s="18" t="n"/>
      <c r="C3" s="15" t="n"/>
      <c r="D3" s="15" t="n"/>
      <c r="E3" s="15" t="n"/>
      <c r="F3" s="15" t="n"/>
      <c r="G3" s="15" t="n"/>
      <c r="H3" s="15" t="n"/>
      <c r="I3" s="15" t="n"/>
      <c r="J3" s="15" t="n"/>
      <c r="K3" s="16">
        <f>IF(A3="","",COUNTIF(F3,"A favor")+COUNTIF(H3,"A favor")+COUNTIF(J3,"A favor"))</f>
        <v/>
      </c>
      <c r="L3" s="16">
        <f>IF(A3="","",IF(K3=3,"Sim","Não"))</f>
        <v/>
      </c>
      <c r="M3" s="16">
        <f>IF(C3="","",COUNTIFS(Red_Team!$B$2:$B$301,C3,Red_Team!$I$2:$I$301,"Aberta"))</f>
        <v/>
      </c>
      <c r="N3" s="15" t="n"/>
      <c r="O3" s="16">
        <f>IF(A3="","",IF(M3&gt;0,"NÃO – objeções abertas",IF(AND(D3="Autenticidade confirmada (origem institucional)",Q3&lt;&gt;"A"),"NÃO – exige item classe A",IF(AND(Q3="C",D3&lt;&gt;"Alegação da defesa (classe C)"),"NÃO – item classe C",IF(AND(D3="Alegação da defesa (classe C)",Q3&lt;&gt;"C"),"NÃO – item não é classe C",IF(D3="Indícios técnicos de alteração",IF(L3="Sim","Sim","NÃO – exige unanimidade"),IF(K3&gt;=2,"Sim","NÃO – sem maioria")))))))</f>
        <v/>
      </c>
      <c r="P3" s="16">
        <f>IF(C3="","",IF(COUNTIF(C4:C$302,C3)=0,C3,""))</f>
        <v/>
      </c>
      <c r="Q3" s="16">
        <f>IF(C3="","",IFERROR(LEFT(INDEX(Custodia!$U$2:$U$301,MATCH(C3,Custodia!$A$2:$A$301,0)),1),"?"))</f>
        <v/>
      </c>
    </row>
    <row r="4">
      <c r="A4" s="15" t="n"/>
      <c r="B4" s="18" t="n"/>
      <c r="C4" s="15" t="n"/>
      <c r="D4" s="15" t="n"/>
      <c r="E4" s="15" t="n"/>
      <c r="F4" s="15" t="n"/>
      <c r="G4" s="15" t="n"/>
      <c r="H4" s="15" t="n"/>
      <c r="I4" s="15" t="n"/>
      <c r="J4" s="15" t="n"/>
      <c r="K4" s="16">
        <f>IF(A4="","",COUNTIF(F4,"A favor")+COUNTIF(H4,"A favor")+COUNTIF(J4,"A favor"))</f>
        <v/>
      </c>
      <c r="L4" s="16">
        <f>IF(A4="","",IF(K4=3,"Sim","Não"))</f>
        <v/>
      </c>
      <c r="M4" s="16">
        <f>IF(C4="","",COUNTIFS(Red_Team!$B$2:$B$301,C4,Red_Team!$I$2:$I$301,"Aberta"))</f>
        <v/>
      </c>
      <c r="N4" s="15" t="n"/>
      <c r="O4" s="16">
        <f>IF(A4="","",IF(M4&gt;0,"NÃO – objeções abertas",IF(AND(D4="Autenticidade confirmada (origem institucional)",Q4&lt;&gt;"A"),"NÃO – exige item classe A",IF(AND(Q4="C",D4&lt;&gt;"Alegação da defesa (classe C)"),"NÃO – item classe C",IF(AND(D4="Alegação da defesa (classe C)",Q4&lt;&gt;"C"),"NÃO – item não é classe C",IF(D4="Indícios técnicos de alteração",IF(L4="Sim","Sim","NÃO – exige unanimidade"),IF(K4&gt;=2,"Sim","NÃO – sem maioria")))))))</f>
        <v/>
      </c>
      <c r="P4" s="16">
        <f>IF(C4="","",IF(COUNTIF(C5:C$302,C4)=0,C4,""))</f>
        <v/>
      </c>
      <c r="Q4" s="16">
        <f>IF(C4="","",IFERROR(LEFT(INDEX(Custodia!$U$2:$U$301,MATCH(C4,Custodia!$A$2:$A$301,0)),1),"?"))</f>
        <v/>
      </c>
    </row>
    <row r="5">
      <c r="A5" s="15" t="n"/>
      <c r="B5" s="18" t="n"/>
      <c r="C5" s="15" t="n"/>
      <c r="D5" s="15" t="n"/>
      <c r="E5" s="15" t="n"/>
      <c r="F5" s="15" t="n"/>
      <c r="G5" s="15" t="n"/>
      <c r="H5" s="15" t="n"/>
      <c r="I5" s="15" t="n"/>
      <c r="J5" s="15" t="n"/>
      <c r="K5" s="16">
        <f>IF(A5="","",COUNTIF(F5,"A favor")+COUNTIF(H5,"A favor")+COUNTIF(J5,"A favor"))</f>
        <v/>
      </c>
      <c r="L5" s="16">
        <f>IF(A5="","",IF(K5=3,"Sim","Não"))</f>
        <v/>
      </c>
      <c r="M5" s="16">
        <f>IF(C5="","",COUNTIFS(Red_Team!$B$2:$B$301,C5,Red_Team!$I$2:$I$301,"Aberta"))</f>
        <v/>
      </c>
      <c r="N5" s="15" t="n"/>
      <c r="O5" s="16">
        <f>IF(A5="","",IF(M5&gt;0,"NÃO – objeções abertas",IF(AND(D5="Autenticidade confirmada (origem institucional)",Q5&lt;&gt;"A"),"NÃO – exige item classe A",IF(AND(Q5="C",D5&lt;&gt;"Alegação da defesa (classe C)"),"NÃO – item classe C",IF(AND(D5="Alegação da defesa (classe C)",Q5&lt;&gt;"C"),"NÃO – item não é classe C",IF(D5="Indícios técnicos de alteração",IF(L5="Sim","Sim","NÃO – exige unanimidade"),IF(K5&gt;=2,"Sim","NÃO – sem maioria")))))))</f>
        <v/>
      </c>
      <c r="P5" s="16">
        <f>IF(C5="","",IF(COUNTIF(C6:C$302,C5)=0,C5,""))</f>
        <v/>
      </c>
      <c r="Q5" s="16">
        <f>IF(C5="","",IFERROR(LEFT(INDEX(Custodia!$U$2:$U$301,MATCH(C5,Custodia!$A$2:$A$301,0)),1),"?"))</f>
        <v/>
      </c>
    </row>
    <row r="6">
      <c r="A6" s="15" t="n"/>
      <c r="B6" s="18" t="n"/>
      <c r="C6" s="15" t="n"/>
      <c r="D6" s="15" t="n"/>
      <c r="E6" s="15" t="n"/>
      <c r="F6" s="15" t="n"/>
      <c r="G6" s="15" t="n"/>
      <c r="H6" s="15" t="n"/>
      <c r="I6" s="15" t="n"/>
      <c r="J6" s="15" t="n"/>
      <c r="K6" s="16">
        <f>IF(A6="","",COUNTIF(F6,"A favor")+COUNTIF(H6,"A favor")+COUNTIF(J6,"A favor"))</f>
        <v/>
      </c>
      <c r="L6" s="16">
        <f>IF(A6="","",IF(K6=3,"Sim","Não"))</f>
        <v/>
      </c>
      <c r="M6" s="16">
        <f>IF(C6="","",COUNTIFS(Red_Team!$B$2:$B$301,C6,Red_Team!$I$2:$I$301,"Aberta"))</f>
        <v/>
      </c>
      <c r="N6" s="15" t="n"/>
      <c r="O6" s="16">
        <f>IF(A6="","",IF(M6&gt;0,"NÃO – objeções abertas",IF(AND(D6="Autenticidade confirmada (origem institucional)",Q6&lt;&gt;"A"),"NÃO – exige item classe A",IF(AND(Q6="C",D6&lt;&gt;"Alegação da defesa (classe C)"),"NÃO – item classe C",IF(AND(D6="Alegação da defesa (classe C)",Q6&lt;&gt;"C"),"NÃO – item não é classe C",IF(D6="Indícios técnicos de alteração",IF(L6="Sim","Sim","NÃO – exige unanimidade"),IF(K6&gt;=2,"Sim","NÃO – sem maioria")))))))</f>
        <v/>
      </c>
      <c r="P6" s="16">
        <f>IF(C6="","",IF(COUNTIF(C7:C$302,C6)=0,C6,""))</f>
        <v/>
      </c>
      <c r="Q6" s="16">
        <f>IF(C6="","",IFERROR(LEFT(INDEX(Custodia!$U$2:$U$301,MATCH(C6,Custodia!$A$2:$A$301,0)),1),"?"))</f>
        <v/>
      </c>
    </row>
    <row r="7">
      <c r="A7" s="15" t="n"/>
      <c r="B7" s="18" t="n"/>
      <c r="C7" s="15" t="n"/>
      <c r="D7" s="15" t="n"/>
      <c r="E7" s="15" t="n"/>
      <c r="F7" s="15" t="n"/>
      <c r="G7" s="15" t="n"/>
      <c r="H7" s="15" t="n"/>
      <c r="I7" s="15" t="n"/>
      <c r="J7" s="15" t="n"/>
      <c r="K7" s="16">
        <f>IF(A7="","",COUNTIF(F7,"A favor")+COUNTIF(H7,"A favor")+COUNTIF(J7,"A favor"))</f>
        <v/>
      </c>
      <c r="L7" s="16">
        <f>IF(A7="","",IF(K7=3,"Sim","Não"))</f>
        <v/>
      </c>
      <c r="M7" s="16">
        <f>IF(C7="","",COUNTIFS(Red_Team!$B$2:$B$301,C7,Red_Team!$I$2:$I$301,"Aberta"))</f>
        <v/>
      </c>
      <c r="N7" s="15" t="n"/>
      <c r="O7" s="16">
        <f>IF(A7="","",IF(M7&gt;0,"NÃO – objeções abertas",IF(AND(D7="Autenticidade confirmada (origem institucional)",Q7&lt;&gt;"A"),"NÃO – exige item classe A",IF(AND(Q7="C",D7&lt;&gt;"Alegação da defesa (classe C)"),"NÃO – item classe C",IF(AND(D7="Alegação da defesa (classe C)",Q7&lt;&gt;"C"),"NÃO – item não é classe C",IF(D7="Indícios técnicos de alteração",IF(L7="Sim","Sim","NÃO – exige unanimidade"),IF(K7&gt;=2,"Sim","NÃO – sem maioria")))))))</f>
        <v/>
      </c>
      <c r="P7" s="16">
        <f>IF(C7="","",IF(COUNTIF(C8:C$302,C7)=0,C7,""))</f>
        <v/>
      </c>
      <c r="Q7" s="16">
        <f>IF(C7="","",IFERROR(LEFT(INDEX(Custodia!$U$2:$U$301,MATCH(C7,Custodia!$A$2:$A$301,0)),1),"?"))</f>
        <v/>
      </c>
    </row>
    <row r="8">
      <c r="A8" s="15" t="n"/>
      <c r="B8" s="18" t="n"/>
      <c r="C8" s="15" t="n"/>
      <c r="D8" s="15" t="n"/>
      <c r="E8" s="15" t="n"/>
      <c r="F8" s="15" t="n"/>
      <c r="G8" s="15" t="n"/>
      <c r="H8" s="15" t="n"/>
      <c r="I8" s="15" t="n"/>
      <c r="J8" s="15" t="n"/>
      <c r="K8" s="16">
        <f>IF(A8="","",COUNTIF(F8,"A favor")+COUNTIF(H8,"A favor")+COUNTIF(J8,"A favor"))</f>
        <v/>
      </c>
      <c r="L8" s="16">
        <f>IF(A8="","",IF(K8=3,"Sim","Não"))</f>
        <v/>
      </c>
      <c r="M8" s="16">
        <f>IF(C8="","",COUNTIFS(Red_Team!$B$2:$B$301,C8,Red_Team!$I$2:$I$301,"Aberta"))</f>
        <v/>
      </c>
      <c r="N8" s="15" t="n"/>
      <c r="O8" s="16">
        <f>IF(A8="","",IF(M8&gt;0,"NÃO – objeções abertas",IF(AND(D8="Autenticidade confirmada (origem institucional)",Q8&lt;&gt;"A"),"NÃO – exige item classe A",IF(AND(Q8="C",D8&lt;&gt;"Alegação da defesa (classe C)"),"NÃO – item classe C",IF(AND(D8="Alegação da defesa (classe C)",Q8&lt;&gt;"C"),"NÃO – item não é classe C",IF(D8="Indícios técnicos de alteração",IF(L8="Sim","Sim","NÃO – exige unanimidade"),IF(K8&gt;=2,"Sim","NÃO – sem maioria")))))))</f>
        <v/>
      </c>
      <c r="P8" s="16">
        <f>IF(C8="","",IF(COUNTIF(C9:C$302,C8)=0,C8,""))</f>
        <v/>
      </c>
      <c r="Q8" s="16">
        <f>IF(C8="","",IFERROR(LEFT(INDEX(Custodia!$U$2:$U$301,MATCH(C8,Custodia!$A$2:$A$301,0)),1),"?"))</f>
        <v/>
      </c>
    </row>
    <row r="9">
      <c r="A9" s="15" t="n"/>
      <c r="B9" s="18" t="n"/>
      <c r="C9" s="15" t="n"/>
      <c r="D9" s="15" t="n"/>
      <c r="E9" s="15" t="n"/>
      <c r="F9" s="15" t="n"/>
      <c r="G9" s="15" t="n"/>
      <c r="H9" s="15" t="n"/>
      <c r="I9" s="15" t="n"/>
      <c r="J9" s="15" t="n"/>
      <c r="K9" s="16">
        <f>IF(A9="","",COUNTIF(F9,"A favor")+COUNTIF(H9,"A favor")+COUNTIF(J9,"A favor"))</f>
        <v/>
      </c>
      <c r="L9" s="16">
        <f>IF(A9="","",IF(K9=3,"Sim","Não"))</f>
        <v/>
      </c>
      <c r="M9" s="16">
        <f>IF(C9="","",COUNTIFS(Red_Team!$B$2:$B$301,C9,Red_Team!$I$2:$I$301,"Aberta"))</f>
        <v/>
      </c>
      <c r="N9" s="15" t="n"/>
      <c r="O9" s="16">
        <f>IF(A9="","",IF(M9&gt;0,"NÃO – objeções abertas",IF(AND(D9="Autenticidade confirmada (origem institucional)",Q9&lt;&gt;"A"),"NÃO – exige item classe A",IF(AND(Q9="C",D9&lt;&gt;"Alegação da defesa (classe C)"),"NÃO – item classe C",IF(AND(D9="Alegação da defesa (classe C)",Q9&lt;&gt;"C"),"NÃO – item não é classe C",IF(D9="Indícios técnicos de alteração",IF(L9="Sim","Sim","NÃO – exige unanimidade"),IF(K9&gt;=2,"Sim","NÃO – sem maioria")))))))</f>
        <v/>
      </c>
      <c r="P9" s="16">
        <f>IF(C9="","",IF(COUNTIF(C10:C$302,C9)=0,C9,""))</f>
        <v/>
      </c>
      <c r="Q9" s="16">
        <f>IF(C9="","",IFERROR(LEFT(INDEX(Custodia!$U$2:$U$301,MATCH(C9,Custodia!$A$2:$A$301,0)),1),"?"))</f>
        <v/>
      </c>
    </row>
    <row r="10">
      <c r="A10" s="15" t="n"/>
      <c r="B10" s="18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6">
        <f>IF(A10="","",COUNTIF(F10,"A favor")+COUNTIF(H10,"A favor")+COUNTIF(J10,"A favor"))</f>
        <v/>
      </c>
      <c r="L10" s="16">
        <f>IF(A10="","",IF(K10=3,"Sim","Não"))</f>
        <v/>
      </c>
      <c r="M10" s="16">
        <f>IF(C10="","",COUNTIFS(Red_Team!$B$2:$B$301,C10,Red_Team!$I$2:$I$301,"Aberta"))</f>
        <v/>
      </c>
      <c r="N10" s="15" t="n"/>
      <c r="O10" s="16">
        <f>IF(A10="","",IF(M10&gt;0,"NÃO – objeções abertas",IF(AND(D10="Autenticidade confirmada (origem institucional)",Q10&lt;&gt;"A"),"NÃO – exige item classe A",IF(AND(Q10="C",D10&lt;&gt;"Alegação da defesa (classe C)"),"NÃO – item classe C",IF(AND(D10="Alegação da defesa (classe C)",Q10&lt;&gt;"C"),"NÃO – item não é classe C",IF(D10="Indícios técnicos de alteração",IF(L10="Sim","Sim","NÃO – exige unanimidade"),IF(K10&gt;=2,"Sim","NÃO – sem maioria")))))))</f>
        <v/>
      </c>
      <c r="P10" s="16">
        <f>IF(C10="","",IF(COUNTIF(C11:C$302,C10)=0,C10,""))</f>
        <v/>
      </c>
      <c r="Q10" s="16">
        <f>IF(C10="","",IFERROR(LEFT(INDEX(Custodia!$U$2:$U$301,MATCH(C10,Custodia!$A$2:$A$301,0)),1),"?"))</f>
        <v/>
      </c>
    </row>
    <row r="11">
      <c r="A11" s="15" t="n"/>
      <c r="B11" s="18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6">
        <f>IF(A11="","",COUNTIF(F11,"A favor")+COUNTIF(H11,"A favor")+COUNTIF(J11,"A favor"))</f>
        <v/>
      </c>
      <c r="L11" s="16">
        <f>IF(A11="","",IF(K11=3,"Sim","Não"))</f>
        <v/>
      </c>
      <c r="M11" s="16">
        <f>IF(C11="","",COUNTIFS(Red_Team!$B$2:$B$301,C11,Red_Team!$I$2:$I$301,"Aberta"))</f>
        <v/>
      </c>
      <c r="N11" s="15" t="n"/>
      <c r="O11" s="16">
        <f>IF(A11="","",IF(M11&gt;0,"NÃO – objeções abertas",IF(AND(D11="Autenticidade confirmada (origem institucional)",Q11&lt;&gt;"A"),"NÃO – exige item classe A",IF(AND(Q11="C",D11&lt;&gt;"Alegação da defesa (classe C)"),"NÃO – item classe C",IF(AND(D11="Alegação da defesa (classe C)",Q11&lt;&gt;"C"),"NÃO – item não é classe C",IF(D11="Indícios técnicos de alteração",IF(L11="Sim","Sim","NÃO – exige unanimidade"),IF(K11&gt;=2,"Sim","NÃO – sem maioria")))))))</f>
        <v/>
      </c>
      <c r="P11" s="16">
        <f>IF(C11="","",IF(COUNTIF(C12:C$302,C11)=0,C11,""))</f>
        <v/>
      </c>
      <c r="Q11" s="16">
        <f>IF(C11="","",IFERROR(LEFT(INDEX(Custodia!$U$2:$U$301,MATCH(C11,Custodia!$A$2:$A$301,0)),1),"?"))</f>
        <v/>
      </c>
    </row>
    <row r="12">
      <c r="A12" s="15" t="n"/>
      <c r="B12" s="18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6">
        <f>IF(A12="","",COUNTIF(F12,"A favor")+COUNTIF(H12,"A favor")+COUNTIF(J12,"A favor"))</f>
        <v/>
      </c>
      <c r="L12" s="16">
        <f>IF(A12="","",IF(K12=3,"Sim","Não"))</f>
        <v/>
      </c>
      <c r="M12" s="16">
        <f>IF(C12="","",COUNTIFS(Red_Team!$B$2:$B$301,C12,Red_Team!$I$2:$I$301,"Aberta"))</f>
        <v/>
      </c>
      <c r="N12" s="15" t="n"/>
      <c r="O12" s="16">
        <f>IF(A12="","",IF(M12&gt;0,"NÃO – objeções abertas",IF(AND(D12="Autenticidade confirmada (origem institucional)",Q12&lt;&gt;"A"),"NÃO – exige item classe A",IF(AND(Q12="C",D12&lt;&gt;"Alegação da defesa (classe C)"),"NÃO – item classe C",IF(AND(D12="Alegação da defesa (classe C)",Q12&lt;&gt;"C"),"NÃO – item não é classe C",IF(D12="Indícios técnicos de alteração",IF(L12="Sim","Sim","NÃO – exige unanimidade"),IF(K12&gt;=2,"Sim","NÃO – sem maioria")))))))</f>
        <v/>
      </c>
      <c r="P12" s="16">
        <f>IF(C12="","",IF(COUNTIF(C13:C$302,C12)=0,C12,""))</f>
        <v/>
      </c>
      <c r="Q12" s="16">
        <f>IF(C12="","",IFERROR(LEFT(INDEX(Custodia!$U$2:$U$301,MATCH(C12,Custodia!$A$2:$A$301,0)),1),"?"))</f>
        <v/>
      </c>
    </row>
    <row r="13">
      <c r="A13" s="15" t="n"/>
      <c r="B13" s="18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6">
        <f>IF(A13="","",COUNTIF(F13,"A favor")+COUNTIF(H13,"A favor")+COUNTIF(J13,"A favor"))</f>
        <v/>
      </c>
      <c r="L13" s="16">
        <f>IF(A13="","",IF(K13=3,"Sim","Não"))</f>
        <v/>
      </c>
      <c r="M13" s="16">
        <f>IF(C13="","",COUNTIFS(Red_Team!$B$2:$B$301,C13,Red_Team!$I$2:$I$301,"Aberta"))</f>
        <v/>
      </c>
      <c r="N13" s="15" t="n"/>
      <c r="O13" s="16">
        <f>IF(A13="","",IF(M13&gt;0,"NÃO – objeções abertas",IF(AND(D13="Autenticidade confirmada (origem institucional)",Q13&lt;&gt;"A"),"NÃO – exige item classe A",IF(AND(Q13="C",D13&lt;&gt;"Alegação da defesa (classe C)"),"NÃO – item classe C",IF(AND(D13="Alegação da defesa (classe C)",Q13&lt;&gt;"C"),"NÃO – item não é classe C",IF(D13="Indícios técnicos de alteração",IF(L13="Sim","Sim","NÃO – exige unanimidade"),IF(K13&gt;=2,"Sim","NÃO – sem maioria")))))))</f>
        <v/>
      </c>
      <c r="P13" s="16">
        <f>IF(C13="","",IF(COUNTIF(C14:C$302,C13)=0,C13,""))</f>
        <v/>
      </c>
      <c r="Q13" s="16">
        <f>IF(C13="","",IFERROR(LEFT(INDEX(Custodia!$U$2:$U$301,MATCH(C13,Custodia!$A$2:$A$301,0)),1),"?"))</f>
        <v/>
      </c>
    </row>
    <row r="14">
      <c r="A14" s="15" t="n"/>
      <c r="B14" s="18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6">
        <f>IF(A14="","",COUNTIF(F14,"A favor")+COUNTIF(H14,"A favor")+COUNTIF(J14,"A favor"))</f>
        <v/>
      </c>
      <c r="L14" s="16">
        <f>IF(A14="","",IF(K14=3,"Sim","Não"))</f>
        <v/>
      </c>
      <c r="M14" s="16">
        <f>IF(C14="","",COUNTIFS(Red_Team!$B$2:$B$301,C14,Red_Team!$I$2:$I$301,"Aberta"))</f>
        <v/>
      </c>
      <c r="N14" s="15" t="n"/>
      <c r="O14" s="16">
        <f>IF(A14="","",IF(M14&gt;0,"NÃO – objeções abertas",IF(AND(D14="Autenticidade confirmada (origem institucional)",Q14&lt;&gt;"A"),"NÃO – exige item classe A",IF(AND(Q14="C",D14&lt;&gt;"Alegação da defesa (classe C)"),"NÃO – item classe C",IF(AND(D14="Alegação da defesa (classe C)",Q14&lt;&gt;"C"),"NÃO – item não é classe C",IF(D14="Indícios técnicos de alteração",IF(L14="Sim","Sim","NÃO – exige unanimidade"),IF(K14&gt;=2,"Sim","NÃO – sem maioria")))))))</f>
        <v/>
      </c>
      <c r="P14" s="16">
        <f>IF(C14="","",IF(COUNTIF(C15:C$302,C14)=0,C14,""))</f>
        <v/>
      </c>
      <c r="Q14" s="16">
        <f>IF(C14="","",IFERROR(LEFT(INDEX(Custodia!$U$2:$U$301,MATCH(C14,Custodia!$A$2:$A$301,0)),1),"?"))</f>
        <v/>
      </c>
    </row>
    <row r="15">
      <c r="A15" s="15" t="n"/>
      <c r="B15" s="18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6">
        <f>IF(A15="","",COUNTIF(F15,"A favor")+COUNTIF(H15,"A favor")+COUNTIF(J15,"A favor"))</f>
        <v/>
      </c>
      <c r="L15" s="16">
        <f>IF(A15="","",IF(K15=3,"Sim","Não"))</f>
        <v/>
      </c>
      <c r="M15" s="16">
        <f>IF(C15="","",COUNTIFS(Red_Team!$B$2:$B$301,C15,Red_Team!$I$2:$I$301,"Aberta"))</f>
        <v/>
      </c>
      <c r="N15" s="15" t="n"/>
      <c r="O15" s="16">
        <f>IF(A15="","",IF(M15&gt;0,"NÃO – objeções abertas",IF(AND(D15="Autenticidade confirmada (origem institucional)",Q15&lt;&gt;"A"),"NÃO – exige item classe A",IF(AND(Q15="C",D15&lt;&gt;"Alegação da defesa (classe C)"),"NÃO – item classe C",IF(AND(D15="Alegação da defesa (classe C)",Q15&lt;&gt;"C"),"NÃO – item não é classe C",IF(D15="Indícios técnicos de alteração",IF(L15="Sim","Sim","NÃO – exige unanimidade"),IF(K15&gt;=2,"Sim","NÃO – sem maioria")))))))</f>
        <v/>
      </c>
      <c r="P15" s="16">
        <f>IF(C15="","",IF(COUNTIF(C16:C$302,C15)=0,C15,""))</f>
        <v/>
      </c>
      <c r="Q15" s="16">
        <f>IF(C15="","",IFERROR(LEFT(INDEX(Custodia!$U$2:$U$301,MATCH(C15,Custodia!$A$2:$A$301,0)),1),"?"))</f>
        <v/>
      </c>
    </row>
    <row r="16">
      <c r="A16" s="15" t="n"/>
      <c r="B16" s="18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6">
        <f>IF(A16="","",COUNTIF(F16,"A favor")+COUNTIF(H16,"A favor")+COUNTIF(J16,"A favor"))</f>
        <v/>
      </c>
      <c r="L16" s="16">
        <f>IF(A16="","",IF(K16=3,"Sim","Não"))</f>
        <v/>
      </c>
      <c r="M16" s="16">
        <f>IF(C16="","",COUNTIFS(Red_Team!$B$2:$B$301,C16,Red_Team!$I$2:$I$301,"Aberta"))</f>
        <v/>
      </c>
      <c r="N16" s="15" t="n"/>
      <c r="O16" s="16">
        <f>IF(A16="","",IF(M16&gt;0,"NÃO – objeções abertas",IF(AND(D16="Autenticidade confirmada (origem institucional)",Q16&lt;&gt;"A"),"NÃO – exige item classe A",IF(AND(Q16="C",D16&lt;&gt;"Alegação da defesa (classe C)"),"NÃO – item classe C",IF(AND(D16="Alegação da defesa (classe C)",Q16&lt;&gt;"C"),"NÃO – item não é classe C",IF(D16="Indícios técnicos de alteração",IF(L16="Sim","Sim","NÃO – exige unanimidade"),IF(K16&gt;=2,"Sim","NÃO – sem maioria")))))))</f>
        <v/>
      </c>
      <c r="P16" s="16">
        <f>IF(C16="","",IF(COUNTIF(C17:C$302,C16)=0,C16,""))</f>
        <v/>
      </c>
      <c r="Q16" s="16">
        <f>IF(C16="","",IFERROR(LEFT(INDEX(Custodia!$U$2:$U$301,MATCH(C16,Custodia!$A$2:$A$301,0)),1),"?"))</f>
        <v/>
      </c>
    </row>
    <row r="17">
      <c r="A17" s="15" t="n"/>
      <c r="B17" s="18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6">
        <f>IF(A17="","",COUNTIF(F17,"A favor")+COUNTIF(H17,"A favor")+COUNTIF(J17,"A favor"))</f>
        <v/>
      </c>
      <c r="L17" s="16">
        <f>IF(A17="","",IF(K17=3,"Sim","Não"))</f>
        <v/>
      </c>
      <c r="M17" s="16">
        <f>IF(C17="","",COUNTIFS(Red_Team!$B$2:$B$301,C17,Red_Team!$I$2:$I$301,"Aberta"))</f>
        <v/>
      </c>
      <c r="N17" s="15" t="n"/>
      <c r="O17" s="16">
        <f>IF(A17="","",IF(M17&gt;0,"NÃO – objeções abertas",IF(AND(D17="Autenticidade confirmada (origem institucional)",Q17&lt;&gt;"A"),"NÃO – exige item classe A",IF(AND(Q17="C",D17&lt;&gt;"Alegação da defesa (classe C)"),"NÃO – item classe C",IF(AND(D17="Alegação da defesa (classe C)",Q17&lt;&gt;"C"),"NÃO – item não é classe C",IF(D17="Indícios técnicos de alteração",IF(L17="Sim","Sim","NÃO – exige unanimidade"),IF(K17&gt;=2,"Sim","NÃO – sem maioria")))))))</f>
        <v/>
      </c>
      <c r="P17" s="16">
        <f>IF(C17="","",IF(COUNTIF(C18:C$302,C17)=0,C17,""))</f>
        <v/>
      </c>
      <c r="Q17" s="16">
        <f>IF(C17="","",IFERROR(LEFT(INDEX(Custodia!$U$2:$U$301,MATCH(C17,Custodia!$A$2:$A$301,0)),1),"?"))</f>
        <v/>
      </c>
    </row>
    <row r="18">
      <c r="A18" s="15" t="n"/>
      <c r="B18" s="18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6">
        <f>IF(A18="","",COUNTIF(F18,"A favor")+COUNTIF(H18,"A favor")+COUNTIF(J18,"A favor"))</f>
        <v/>
      </c>
      <c r="L18" s="16">
        <f>IF(A18="","",IF(K18=3,"Sim","Não"))</f>
        <v/>
      </c>
      <c r="M18" s="16">
        <f>IF(C18="","",COUNTIFS(Red_Team!$B$2:$B$301,C18,Red_Team!$I$2:$I$301,"Aberta"))</f>
        <v/>
      </c>
      <c r="N18" s="15" t="n"/>
      <c r="O18" s="16">
        <f>IF(A18="","",IF(M18&gt;0,"NÃO – objeções abertas",IF(AND(D18="Autenticidade confirmada (origem institucional)",Q18&lt;&gt;"A"),"NÃO – exige item classe A",IF(AND(Q18="C",D18&lt;&gt;"Alegação da defesa (classe C)"),"NÃO – item classe C",IF(AND(D18="Alegação da defesa (classe C)",Q18&lt;&gt;"C"),"NÃO – item não é classe C",IF(D18="Indícios técnicos de alteração",IF(L18="Sim","Sim","NÃO – exige unanimidade"),IF(K18&gt;=2,"Sim","NÃO – sem maioria")))))))</f>
        <v/>
      </c>
      <c r="P18" s="16">
        <f>IF(C18="","",IF(COUNTIF(C19:C$302,C18)=0,C18,""))</f>
        <v/>
      </c>
      <c r="Q18" s="16">
        <f>IF(C18="","",IFERROR(LEFT(INDEX(Custodia!$U$2:$U$301,MATCH(C18,Custodia!$A$2:$A$301,0)),1),"?"))</f>
        <v/>
      </c>
    </row>
    <row r="19">
      <c r="A19" s="15" t="n"/>
      <c r="B19" s="18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6">
        <f>IF(A19="","",COUNTIF(F19,"A favor")+COUNTIF(H19,"A favor")+COUNTIF(J19,"A favor"))</f>
        <v/>
      </c>
      <c r="L19" s="16">
        <f>IF(A19="","",IF(K19=3,"Sim","Não"))</f>
        <v/>
      </c>
      <c r="M19" s="16">
        <f>IF(C19="","",COUNTIFS(Red_Team!$B$2:$B$301,C19,Red_Team!$I$2:$I$301,"Aberta"))</f>
        <v/>
      </c>
      <c r="N19" s="15" t="n"/>
      <c r="O19" s="16">
        <f>IF(A19="","",IF(M19&gt;0,"NÃO – objeções abertas",IF(AND(D19="Autenticidade confirmada (origem institucional)",Q19&lt;&gt;"A"),"NÃO – exige item classe A",IF(AND(Q19="C",D19&lt;&gt;"Alegação da defesa (classe C)"),"NÃO – item classe C",IF(AND(D19="Alegação da defesa (classe C)",Q19&lt;&gt;"C"),"NÃO – item não é classe C",IF(D19="Indícios técnicos de alteração",IF(L19="Sim","Sim","NÃO – exige unanimidade"),IF(K19&gt;=2,"Sim","NÃO – sem maioria")))))))</f>
        <v/>
      </c>
      <c r="P19" s="16">
        <f>IF(C19="","",IF(COUNTIF(C20:C$302,C19)=0,C19,""))</f>
        <v/>
      </c>
      <c r="Q19" s="16">
        <f>IF(C19="","",IFERROR(LEFT(INDEX(Custodia!$U$2:$U$301,MATCH(C19,Custodia!$A$2:$A$301,0)),1),"?"))</f>
        <v/>
      </c>
    </row>
    <row r="20">
      <c r="A20" s="15" t="n"/>
      <c r="B20" s="18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6">
        <f>IF(A20="","",COUNTIF(F20,"A favor")+COUNTIF(H20,"A favor")+COUNTIF(J20,"A favor"))</f>
        <v/>
      </c>
      <c r="L20" s="16">
        <f>IF(A20="","",IF(K20=3,"Sim","Não"))</f>
        <v/>
      </c>
      <c r="M20" s="16">
        <f>IF(C20="","",COUNTIFS(Red_Team!$B$2:$B$301,C20,Red_Team!$I$2:$I$301,"Aberta"))</f>
        <v/>
      </c>
      <c r="N20" s="15" t="n"/>
      <c r="O20" s="16">
        <f>IF(A20="","",IF(M20&gt;0,"NÃO – objeções abertas",IF(AND(D20="Autenticidade confirmada (origem institucional)",Q20&lt;&gt;"A"),"NÃO – exige item classe A",IF(AND(Q20="C",D20&lt;&gt;"Alegação da defesa (classe C)"),"NÃO – item classe C",IF(AND(D20="Alegação da defesa (classe C)",Q20&lt;&gt;"C"),"NÃO – item não é classe C",IF(D20="Indícios técnicos de alteração",IF(L20="Sim","Sim","NÃO – exige unanimidade"),IF(K20&gt;=2,"Sim","NÃO – sem maioria")))))))</f>
        <v/>
      </c>
      <c r="P20" s="16">
        <f>IF(C20="","",IF(COUNTIF(C21:C$302,C20)=0,C20,""))</f>
        <v/>
      </c>
      <c r="Q20" s="16">
        <f>IF(C20="","",IFERROR(LEFT(INDEX(Custodia!$U$2:$U$301,MATCH(C20,Custodia!$A$2:$A$301,0)),1),"?"))</f>
        <v/>
      </c>
    </row>
    <row r="21">
      <c r="A21" s="15" t="n"/>
      <c r="B21" s="18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6">
        <f>IF(A21="","",COUNTIF(F21,"A favor")+COUNTIF(H21,"A favor")+COUNTIF(J21,"A favor"))</f>
        <v/>
      </c>
      <c r="L21" s="16">
        <f>IF(A21="","",IF(K21=3,"Sim","Não"))</f>
        <v/>
      </c>
      <c r="M21" s="16">
        <f>IF(C21="","",COUNTIFS(Red_Team!$B$2:$B$301,C21,Red_Team!$I$2:$I$301,"Aberta"))</f>
        <v/>
      </c>
      <c r="N21" s="15" t="n"/>
      <c r="O21" s="16">
        <f>IF(A21="","",IF(M21&gt;0,"NÃO – objeções abertas",IF(AND(D21="Autenticidade confirmada (origem institucional)",Q21&lt;&gt;"A"),"NÃO – exige item classe A",IF(AND(Q21="C",D21&lt;&gt;"Alegação da defesa (classe C)"),"NÃO – item classe C",IF(AND(D21="Alegação da defesa (classe C)",Q21&lt;&gt;"C"),"NÃO – item não é classe C",IF(D21="Indícios técnicos de alteração",IF(L21="Sim","Sim","NÃO – exige unanimidade"),IF(K21&gt;=2,"Sim","NÃO – sem maioria")))))))</f>
        <v/>
      </c>
      <c r="P21" s="16">
        <f>IF(C21="","",IF(COUNTIF(C22:C$302,C21)=0,C21,""))</f>
        <v/>
      </c>
      <c r="Q21" s="16">
        <f>IF(C21="","",IFERROR(LEFT(INDEX(Custodia!$U$2:$U$301,MATCH(C21,Custodia!$A$2:$A$301,0)),1),"?"))</f>
        <v/>
      </c>
    </row>
    <row r="22">
      <c r="A22" s="15" t="n"/>
      <c r="B22" s="18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6">
        <f>IF(A22="","",COUNTIF(F22,"A favor")+COUNTIF(H22,"A favor")+COUNTIF(J22,"A favor"))</f>
        <v/>
      </c>
      <c r="L22" s="16">
        <f>IF(A22="","",IF(K22=3,"Sim","Não"))</f>
        <v/>
      </c>
      <c r="M22" s="16">
        <f>IF(C22="","",COUNTIFS(Red_Team!$B$2:$B$301,C22,Red_Team!$I$2:$I$301,"Aberta"))</f>
        <v/>
      </c>
      <c r="N22" s="15" t="n"/>
      <c r="O22" s="16">
        <f>IF(A22="","",IF(M22&gt;0,"NÃO – objeções abertas",IF(AND(D22="Autenticidade confirmada (origem institucional)",Q22&lt;&gt;"A"),"NÃO – exige item classe A",IF(AND(Q22="C",D22&lt;&gt;"Alegação da defesa (classe C)"),"NÃO – item classe C",IF(AND(D22="Alegação da defesa (classe C)",Q22&lt;&gt;"C"),"NÃO – item não é classe C",IF(D22="Indícios técnicos de alteração",IF(L22="Sim","Sim","NÃO – exige unanimidade"),IF(K22&gt;=2,"Sim","NÃO – sem maioria")))))))</f>
        <v/>
      </c>
      <c r="P22" s="16">
        <f>IF(C22="","",IF(COUNTIF(C23:C$302,C22)=0,C22,""))</f>
        <v/>
      </c>
      <c r="Q22" s="16">
        <f>IF(C22="","",IFERROR(LEFT(INDEX(Custodia!$U$2:$U$301,MATCH(C22,Custodia!$A$2:$A$301,0)),1),"?"))</f>
        <v/>
      </c>
    </row>
    <row r="23">
      <c r="A23" s="15" t="n"/>
      <c r="B23" s="18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6">
        <f>IF(A23="","",COUNTIF(F23,"A favor")+COUNTIF(H23,"A favor")+COUNTIF(J23,"A favor"))</f>
        <v/>
      </c>
      <c r="L23" s="16">
        <f>IF(A23="","",IF(K23=3,"Sim","Não"))</f>
        <v/>
      </c>
      <c r="M23" s="16">
        <f>IF(C23="","",COUNTIFS(Red_Team!$B$2:$B$301,C23,Red_Team!$I$2:$I$301,"Aberta"))</f>
        <v/>
      </c>
      <c r="N23" s="15" t="n"/>
      <c r="O23" s="16">
        <f>IF(A23="","",IF(M23&gt;0,"NÃO – objeções abertas",IF(AND(D23="Autenticidade confirmada (origem institucional)",Q23&lt;&gt;"A"),"NÃO – exige item classe A",IF(AND(Q23="C",D23&lt;&gt;"Alegação da defesa (classe C)"),"NÃO – item classe C",IF(AND(D23="Alegação da defesa (classe C)",Q23&lt;&gt;"C"),"NÃO – item não é classe C",IF(D23="Indícios técnicos de alteração",IF(L23="Sim","Sim","NÃO – exige unanimidade"),IF(K23&gt;=2,"Sim","NÃO – sem maioria")))))))</f>
        <v/>
      </c>
      <c r="P23" s="16">
        <f>IF(C23="","",IF(COUNTIF(C24:C$302,C23)=0,C23,""))</f>
        <v/>
      </c>
      <c r="Q23" s="16">
        <f>IF(C23="","",IFERROR(LEFT(INDEX(Custodia!$U$2:$U$301,MATCH(C23,Custodia!$A$2:$A$301,0)),1),"?"))</f>
        <v/>
      </c>
    </row>
    <row r="24">
      <c r="A24" s="15" t="n"/>
      <c r="B24" s="18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6">
        <f>IF(A24="","",COUNTIF(F24,"A favor")+COUNTIF(H24,"A favor")+COUNTIF(J24,"A favor"))</f>
        <v/>
      </c>
      <c r="L24" s="16">
        <f>IF(A24="","",IF(K24=3,"Sim","Não"))</f>
        <v/>
      </c>
      <c r="M24" s="16">
        <f>IF(C24="","",COUNTIFS(Red_Team!$B$2:$B$301,C24,Red_Team!$I$2:$I$301,"Aberta"))</f>
        <v/>
      </c>
      <c r="N24" s="15" t="n"/>
      <c r="O24" s="16">
        <f>IF(A24="","",IF(M24&gt;0,"NÃO – objeções abertas",IF(AND(D24="Autenticidade confirmada (origem institucional)",Q24&lt;&gt;"A"),"NÃO – exige item classe A",IF(AND(Q24="C",D24&lt;&gt;"Alegação da defesa (classe C)"),"NÃO – item classe C",IF(AND(D24="Alegação da defesa (classe C)",Q24&lt;&gt;"C"),"NÃO – item não é classe C",IF(D24="Indícios técnicos de alteração",IF(L24="Sim","Sim","NÃO – exige unanimidade"),IF(K24&gt;=2,"Sim","NÃO – sem maioria")))))))</f>
        <v/>
      </c>
      <c r="P24" s="16">
        <f>IF(C24="","",IF(COUNTIF(C25:C$302,C24)=0,C24,""))</f>
        <v/>
      </c>
      <c r="Q24" s="16">
        <f>IF(C24="","",IFERROR(LEFT(INDEX(Custodia!$U$2:$U$301,MATCH(C24,Custodia!$A$2:$A$301,0)),1),"?"))</f>
        <v/>
      </c>
    </row>
    <row r="25">
      <c r="A25" s="15" t="n"/>
      <c r="B25" s="18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6">
        <f>IF(A25="","",COUNTIF(F25,"A favor")+COUNTIF(H25,"A favor")+COUNTIF(J25,"A favor"))</f>
        <v/>
      </c>
      <c r="L25" s="16">
        <f>IF(A25="","",IF(K25=3,"Sim","Não"))</f>
        <v/>
      </c>
      <c r="M25" s="16">
        <f>IF(C25="","",COUNTIFS(Red_Team!$B$2:$B$301,C25,Red_Team!$I$2:$I$301,"Aberta"))</f>
        <v/>
      </c>
      <c r="N25" s="15" t="n"/>
      <c r="O25" s="16">
        <f>IF(A25="","",IF(M25&gt;0,"NÃO – objeções abertas",IF(AND(D25="Autenticidade confirmada (origem institucional)",Q25&lt;&gt;"A"),"NÃO – exige item classe A",IF(AND(Q25="C",D25&lt;&gt;"Alegação da defesa (classe C)"),"NÃO – item classe C",IF(AND(D25="Alegação da defesa (classe C)",Q25&lt;&gt;"C"),"NÃO – item não é classe C",IF(D25="Indícios técnicos de alteração",IF(L25="Sim","Sim","NÃO – exige unanimidade"),IF(K25&gt;=2,"Sim","NÃO – sem maioria")))))))</f>
        <v/>
      </c>
      <c r="P25" s="16">
        <f>IF(C25="","",IF(COUNTIF(C26:C$302,C25)=0,C25,""))</f>
        <v/>
      </c>
      <c r="Q25" s="16">
        <f>IF(C25="","",IFERROR(LEFT(INDEX(Custodia!$U$2:$U$301,MATCH(C25,Custodia!$A$2:$A$301,0)),1),"?"))</f>
        <v/>
      </c>
    </row>
    <row r="26">
      <c r="A26" s="15" t="n"/>
      <c r="B26" s="18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6">
        <f>IF(A26="","",COUNTIF(F26,"A favor")+COUNTIF(H26,"A favor")+COUNTIF(J26,"A favor"))</f>
        <v/>
      </c>
      <c r="L26" s="16">
        <f>IF(A26="","",IF(K26=3,"Sim","Não"))</f>
        <v/>
      </c>
      <c r="M26" s="16">
        <f>IF(C26="","",COUNTIFS(Red_Team!$B$2:$B$301,C26,Red_Team!$I$2:$I$301,"Aberta"))</f>
        <v/>
      </c>
      <c r="N26" s="15" t="n"/>
      <c r="O26" s="16">
        <f>IF(A26="","",IF(M26&gt;0,"NÃO – objeções abertas",IF(AND(D26="Autenticidade confirmada (origem institucional)",Q26&lt;&gt;"A"),"NÃO – exige item classe A",IF(AND(Q26="C",D26&lt;&gt;"Alegação da defesa (classe C)"),"NÃO – item classe C",IF(AND(D26="Alegação da defesa (classe C)",Q26&lt;&gt;"C"),"NÃO – item não é classe C",IF(D26="Indícios técnicos de alteração",IF(L26="Sim","Sim","NÃO – exige unanimidade"),IF(K26&gt;=2,"Sim","NÃO – sem maioria")))))))</f>
        <v/>
      </c>
      <c r="P26" s="16">
        <f>IF(C26="","",IF(COUNTIF(C27:C$302,C26)=0,C26,""))</f>
        <v/>
      </c>
      <c r="Q26" s="16">
        <f>IF(C26="","",IFERROR(LEFT(INDEX(Custodia!$U$2:$U$301,MATCH(C26,Custodia!$A$2:$A$301,0)),1),"?"))</f>
        <v/>
      </c>
    </row>
    <row r="27">
      <c r="A27" s="15" t="n"/>
      <c r="B27" s="18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6">
        <f>IF(A27="","",COUNTIF(F27,"A favor")+COUNTIF(H27,"A favor")+COUNTIF(J27,"A favor"))</f>
        <v/>
      </c>
      <c r="L27" s="16">
        <f>IF(A27="","",IF(K27=3,"Sim","Não"))</f>
        <v/>
      </c>
      <c r="M27" s="16">
        <f>IF(C27="","",COUNTIFS(Red_Team!$B$2:$B$301,C27,Red_Team!$I$2:$I$301,"Aberta"))</f>
        <v/>
      </c>
      <c r="N27" s="15" t="n"/>
      <c r="O27" s="16">
        <f>IF(A27="","",IF(M27&gt;0,"NÃO – objeções abertas",IF(AND(D27="Autenticidade confirmada (origem institucional)",Q27&lt;&gt;"A"),"NÃO – exige item classe A",IF(AND(Q27="C",D27&lt;&gt;"Alegação da defesa (classe C)"),"NÃO – item classe C",IF(AND(D27="Alegação da defesa (classe C)",Q27&lt;&gt;"C"),"NÃO – item não é classe C",IF(D27="Indícios técnicos de alteração",IF(L27="Sim","Sim","NÃO – exige unanimidade"),IF(K27&gt;=2,"Sim","NÃO – sem maioria")))))))</f>
        <v/>
      </c>
      <c r="P27" s="16">
        <f>IF(C27="","",IF(COUNTIF(C28:C$302,C27)=0,C27,""))</f>
        <v/>
      </c>
      <c r="Q27" s="16">
        <f>IF(C27="","",IFERROR(LEFT(INDEX(Custodia!$U$2:$U$301,MATCH(C27,Custodia!$A$2:$A$301,0)),1),"?"))</f>
        <v/>
      </c>
    </row>
    <row r="28">
      <c r="A28" s="15" t="n"/>
      <c r="B28" s="18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6">
        <f>IF(A28="","",COUNTIF(F28,"A favor")+COUNTIF(H28,"A favor")+COUNTIF(J28,"A favor"))</f>
        <v/>
      </c>
      <c r="L28" s="16">
        <f>IF(A28="","",IF(K28=3,"Sim","Não"))</f>
        <v/>
      </c>
      <c r="M28" s="16">
        <f>IF(C28="","",COUNTIFS(Red_Team!$B$2:$B$301,C28,Red_Team!$I$2:$I$301,"Aberta"))</f>
        <v/>
      </c>
      <c r="N28" s="15" t="n"/>
      <c r="O28" s="16">
        <f>IF(A28="","",IF(M28&gt;0,"NÃO – objeções abertas",IF(AND(D28="Autenticidade confirmada (origem institucional)",Q28&lt;&gt;"A"),"NÃO – exige item classe A",IF(AND(Q28="C",D28&lt;&gt;"Alegação da defesa (classe C)"),"NÃO – item classe C",IF(AND(D28="Alegação da defesa (classe C)",Q28&lt;&gt;"C"),"NÃO – item não é classe C",IF(D28="Indícios técnicos de alteração",IF(L28="Sim","Sim","NÃO – exige unanimidade"),IF(K28&gt;=2,"Sim","NÃO – sem maioria")))))))</f>
        <v/>
      </c>
      <c r="P28" s="16">
        <f>IF(C28="","",IF(COUNTIF(C29:C$302,C28)=0,C28,""))</f>
        <v/>
      </c>
      <c r="Q28" s="16">
        <f>IF(C28="","",IFERROR(LEFT(INDEX(Custodia!$U$2:$U$301,MATCH(C28,Custodia!$A$2:$A$301,0)),1),"?"))</f>
        <v/>
      </c>
    </row>
    <row r="29">
      <c r="A29" s="15" t="n"/>
      <c r="B29" s="18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6">
        <f>IF(A29="","",COUNTIF(F29,"A favor")+COUNTIF(H29,"A favor")+COUNTIF(J29,"A favor"))</f>
        <v/>
      </c>
      <c r="L29" s="16">
        <f>IF(A29="","",IF(K29=3,"Sim","Não"))</f>
        <v/>
      </c>
      <c r="M29" s="16">
        <f>IF(C29="","",COUNTIFS(Red_Team!$B$2:$B$301,C29,Red_Team!$I$2:$I$301,"Aberta"))</f>
        <v/>
      </c>
      <c r="N29" s="15" t="n"/>
      <c r="O29" s="16">
        <f>IF(A29="","",IF(M29&gt;0,"NÃO – objeções abertas",IF(AND(D29="Autenticidade confirmada (origem institucional)",Q29&lt;&gt;"A"),"NÃO – exige item classe A",IF(AND(Q29="C",D29&lt;&gt;"Alegação da defesa (classe C)"),"NÃO – item classe C",IF(AND(D29="Alegação da defesa (classe C)",Q29&lt;&gt;"C"),"NÃO – item não é classe C",IF(D29="Indícios técnicos de alteração",IF(L29="Sim","Sim","NÃO – exige unanimidade"),IF(K29&gt;=2,"Sim","NÃO – sem maioria")))))))</f>
        <v/>
      </c>
      <c r="P29" s="16">
        <f>IF(C29="","",IF(COUNTIF(C30:C$302,C29)=0,C29,""))</f>
        <v/>
      </c>
      <c r="Q29" s="16">
        <f>IF(C29="","",IFERROR(LEFT(INDEX(Custodia!$U$2:$U$301,MATCH(C29,Custodia!$A$2:$A$301,0)),1),"?"))</f>
        <v/>
      </c>
    </row>
    <row r="30">
      <c r="A30" s="15" t="n"/>
      <c r="B30" s="18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6">
        <f>IF(A30="","",COUNTIF(F30,"A favor")+COUNTIF(H30,"A favor")+COUNTIF(J30,"A favor"))</f>
        <v/>
      </c>
      <c r="L30" s="16">
        <f>IF(A30="","",IF(K30=3,"Sim","Não"))</f>
        <v/>
      </c>
      <c r="M30" s="16">
        <f>IF(C30="","",COUNTIFS(Red_Team!$B$2:$B$301,C30,Red_Team!$I$2:$I$301,"Aberta"))</f>
        <v/>
      </c>
      <c r="N30" s="15" t="n"/>
      <c r="O30" s="16">
        <f>IF(A30="","",IF(M30&gt;0,"NÃO – objeções abertas",IF(AND(D30="Autenticidade confirmada (origem institucional)",Q30&lt;&gt;"A"),"NÃO – exige item classe A",IF(AND(Q30="C",D30&lt;&gt;"Alegação da defesa (classe C)"),"NÃO – item classe C",IF(AND(D30="Alegação da defesa (classe C)",Q30&lt;&gt;"C"),"NÃO – item não é classe C",IF(D30="Indícios técnicos de alteração",IF(L30="Sim","Sim","NÃO – exige unanimidade"),IF(K30&gt;=2,"Sim","NÃO – sem maioria")))))))</f>
        <v/>
      </c>
      <c r="P30" s="16">
        <f>IF(C30="","",IF(COUNTIF(C31:C$302,C30)=0,C30,""))</f>
        <v/>
      </c>
      <c r="Q30" s="16">
        <f>IF(C30="","",IFERROR(LEFT(INDEX(Custodia!$U$2:$U$301,MATCH(C30,Custodia!$A$2:$A$301,0)),1),"?"))</f>
        <v/>
      </c>
    </row>
    <row r="31">
      <c r="A31" s="15" t="n"/>
      <c r="B31" s="18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6">
        <f>IF(A31="","",COUNTIF(F31,"A favor")+COUNTIF(H31,"A favor")+COUNTIF(J31,"A favor"))</f>
        <v/>
      </c>
      <c r="L31" s="16">
        <f>IF(A31="","",IF(K31=3,"Sim","Não"))</f>
        <v/>
      </c>
      <c r="M31" s="16">
        <f>IF(C31="","",COUNTIFS(Red_Team!$B$2:$B$301,C31,Red_Team!$I$2:$I$301,"Aberta"))</f>
        <v/>
      </c>
      <c r="N31" s="15" t="n"/>
      <c r="O31" s="16">
        <f>IF(A31="","",IF(M31&gt;0,"NÃO – objeções abertas",IF(AND(D31="Autenticidade confirmada (origem institucional)",Q31&lt;&gt;"A"),"NÃO – exige item classe A",IF(AND(Q31="C",D31&lt;&gt;"Alegação da defesa (classe C)"),"NÃO – item classe C",IF(AND(D31="Alegação da defesa (classe C)",Q31&lt;&gt;"C"),"NÃO – item não é classe C",IF(D31="Indícios técnicos de alteração",IF(L31="Sim","Sim","NÃO – exige unanimidade"),IF(K31&gt;=2,"Sim","NÃO – sem maioria")))))))</f>
        <v/>
      </c>
      <c r="P31" s="16">
        <f>IF(C31="","",IF(COUNTIF(C32:C$302,C31)=0,C31,""))</f>
        <v/>
      </c>
      <c r="Q31" s="16">
        <f>IF(C31="","",IFERROR(LEFT(INDEX(Custodia!$U$2:$U$301,MATCH(C31,Custodia!$A$2:$A$301,0)),1),"?"))</f>
        <v/>
      </c>
    </row>
    <row r="32">
      <c r="A32" s="15" t="n"/>
      <c r="B32" s="18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6">
        <f>IF(A32="","",COUNTIF(F32,"A favor")+COUNTIF(H32,"A favor")+COUNTIF(J32,"A favor"))</f>
        <v/>
      </c>
      <c r="L32" s="16">
        <f>IF(A32="","",IF(K32=3,"Sim","Não"))</f>
        <v/>
      </c>
      <c r="M32" s="16">
        <f>IF(C32="","",COUNTIFS(Red_Team!$B$2:$B$301,C32,Red_Team!$I$2:$I$301,"Aberta"))</f>
        <v/>
      </c>
      <c r="N32" s="15" t="n"/>
      <c r="O32" s="16">
        <f>IF(A32="","",IF(M32&gt;0,"NÃO – objeções abertas",IF(AND(D32="Autenticidade confirmada (origem institucional)",Q32&lt;&gt;"A"),"NÃO – exige item classe A",IF(AND(Q32="C",D32&lt;&gt;"Alegação da defesa (classe C)"),"NÃO – item classe C",IF(AND(D32="Alegação da defesa (classe C)",Q32&lt;&gt;"C"),"NÃO – item não é classe C",IF(D32="Indícios técnicos de alteração",IF(L32="Sim","Sim","NÃO – exige unanimidade"),IF(K32&gt;=2,"Sim","NÃO – sem maioria")))))))</f>
        <v/>
      </c>
      <c r="P32" s="16">
        <f>IF(C32="","",IF(COUNTIF(C33:C$302,C32)=0,C32,""))</f>
        <v/>
      </c>
      <c r="Q32" s="16">
        <f>IF(C32="","",IFERROR(LEFT(INDEX(Custodia!$U$2:$U$301,MATCH(C32,Custodia!$A$2:$A$301,0)),1),"?"))</f>
        <v/>
      </c>
    </row>
    <row r="33">
      <c r="A33" s="15" t="n"/>
      <c r="B33" s="18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6">
        <f>IF(A33="","",COUNTIF(F33,"A favor")+COUNTIF(H33,"A favor")+COUNTIF(J33,"A favor"))</f>
        <v/>
      </c>
      <c r="L33" s="16">
        <f>IF(A33="","",IF(K33=3,"Sim","Não"))</f>
        <v/>
      </c>
      <c r="M33" s="16">
        <f>IF(C33="","",COUNTIFS(Red_Team!$B$2:$B$301,C33,Red_Team!$I$2:$I$301,"Aberta"))</f>
        <v/>
      </c>
      <c r="N33" s="15" t="n"/>
      <c r="O33" s="16">
        <f>IF(A33="","",IF(M33&gt;0,"NÃO – objeções abertas",IF(AND(D33="Autenticidade confirmada (origem institucional)",Q33&lt;&gt;"A"),"NÃO – exige item classe A",IF(AND(Q33="C",D33&lt;&gt;"Alegação da defesa (classe C)"),"NÃO – item classe C",IF(AND(D33="Alegação da defesa (classe C)",Q33&lt;&gt;"C"),"NÃO – item não é classe C",IF(D33="Indícios técnicos de alteração",IF(L33="Sim","Sim","NÃO – exige unanimidade"),IF(K33&gt;=2,"Sim","NÃO – sem maioria")))))))</f>
        <v/>
      </c>
      <c r="P33" s="16">
        <f>IF(C33="","",IF(COUNTIF(C34:C$302,C33)=0,C33,""))</f>
        <v/>
      </c>
      <c r="Q33" s="16">
        <f>IF(C33="","",IFERROR(LEFT(INDEX(Custodia!$U$2:$U$301,MATCH(C33,Custodia!$A$2:$A$301,0)),1),"?"))</f>
        <v/>
      </c>
    </row>
    <row r="34">
      <c r="A34" s="15" t="n"/>
      <c r="B34" s="18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6">
        <f>IF(A34="","",COUNTIF(F34,"A favor")+COUNTIF(H34,"A favor")+COUNTIF(J34,"A favor"))</f>
        <v/>
      </c>
      <c r="L34" s="16">
        <f>IF(A34="","",IF(K34=3,"Sim","Não"))</f>
        <v/>
      </c>
      <c r="M34" s="16">
        <f>IF(C34="","",COUNTIFS(Red_Team!$B$2:$B$301,C34,Red_Team!$I$2:$I$301,"Aberta"))</f>
        <v/>
      </c>
      <c r="N34" s="15" t="n"/>
      <c r="O34" s="16">
        <f>IF(A34="","",IF(M34&gt;0,"NÃO – objeções abertas",IF(AND(D34="Autenticidade confirmada (origem institucional)",Q34&lt;&gt;"A"),"NÃO – exige item classe A",IF(AND(Q34="C",D34&lt;&gt;"Alegação da defesa (classe C)"),"NÃO – item classe C",IF(AND(D34="Alegação da defesa (classe C)",Q34&lt;&gt;"C"),"NÃO – item não é classe C",IF(D34="Indícios técnicos de alteração",IF(L34="Sim","Sim","NÃO – exige unanimidade"),IF(K34&gt;=2,"Sim","NÃO – sem maioria")))))))</f>
        <v/>
      </c>
      <c r="P34" s="16">
        <f>IF(C34="","",IF(COUNTIF(C35:C$302,C34)=0,C34,""))</f>
        <v/>
      </c>
      <c r="Q34" s="16">
        <f>IF(C34="","",IFERROR(LEFT(INDEX(Custodia!$U$2:$U$301,MATCH(C34,Custodia!$A$2:$A$301,0)),1),"?"))</f>
        <v/>
      </c>
    </row>
    <row r="35">
      <c r="A35" s="15" t="n"/>
      <c r="B35" s="18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6">
        <f>IF(A35="","",COUNTIF(F35,"A favor")+COUNTIF(H35,"A favor")+COUNTIF(J35,"A favor"))</f>
        <v/>
      </c>
      <c r="L35" s="16">
        <f>IF(A35="","",IF(K35=3,"Sim","Não"))</f>
        <v/>
      </c>
      <c r="M35" s="16">
        <f>IF(C35="","",COUNTIFS(Red_Team!$B$2:$B$301,C35,Red_Team!$I$2:$I$301,"Aberta"))</f>
        <v/>
      </c>
      <c r="N35" s="15" t="n"/>
      <c r="O35" s="16">
        <f>IF(A35="","",IF(M35&gt;0,"NÃO – objeções abertas",IF(AND(D35="Autenticidade confirmada (origem institucional)",Q35&lt;&gt;"A"),"NÃO – exige item classe A",IF(AND(Q35="C",D35&lt;&gt;"Alegação da defesa (classe C)"),"NÃO – item classe C",IF(AND(D35="Alegação da defesa (classe C)",Q35&lt;&gt;"C"),"NÃO – item não é classe C",IF(D35="Indícios técnicos de alteração",IF(L35="Sim","Sim","NÃO – exige unanimidade"),IF(K35&gt;=2,"Sim","NÃO – sem maioria")))))))</f>
        <v/>
      </c>
      <c r="P35" s="16">
        <f>IF(C35="","",IF(COUNTIF(C36:C$302,C35)=0,C35,""))</f>
        <v/>
      </c>
      <c r="Q35" s="16">
        <f>IF(C35="","",IFERROR(LEFT(INDEX(Custodia!$U$2:$U$301,MATCH(C35,Custodia!$A$2:$A$301,0)),1),"?"))</f>
        <v/>
      </c>
    </row>
    <row r="36">
      <c r="A36" s="15" t="n"/>
      <c r="B36" s="18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6">
        <f>IF(A36="","",COUNTIF(F36,"A favor")+COUNTIF(H36,"A favor")+COUNTIF(J36,"A favor"))</f>
        <v/>
      </c>
      <c r="L36" s="16">
        <f>IF(A36="","",IF(K36=3,"Sim","Não"))</f>
        <v/>
      </c>
      <c r="M36" s="16">
        <f>IF(C36="","",COUNTIFS(Red_Team!$B$2:$B$301,C36,Red_Team!$I$2:$I$301,"Aberta"))</f>
        <v/>
      </c>
      <c r="N36" s="15" t="n"/>
      <c r="O36" s="16">
        <f>IF(A36="","",IF(M36&gt;0,"NÃO – objeções abertas",IF(AND(D36="Autenticidade confirmada (origem institucional)",Q36&lt;&gt;"A"),"NÃO – exige item classe A",IF(AND(Q36="C",D36&lt;&gt;"Alegação da defesa (classe C)"),"NÃO – item classe C",IF(AND(D36="Alegação da defesa (classe C)",Q36&lt;&gt;"C"),"NÃO – item não é classe C",IF(D36="Indícios técnicos de alteração",IF(L36="Sim","Sim","NÃO – exige unanimidade"),IF(K36&gt;=2,"Sim","NÃO – sem maioria")))))))</f>
        <v/>
      </c>
      <c r="P36" s="16">
        <f>IF(C36="","",IF(COUNTIF(C37:C$302,C36)=0,C36,""))</f>
        <v/>
      </c>
      <c r="Q36" s="16">
        <f>IF(C36="","",IFERROR(LEFT(INDEX(Custodia!$U$2:$U$301,MATCH(C36,Custodia!$A$2:$A$301,0)),1),"?"))</f>
        <v/>
      </c>
    </row>
    <row r="37">
      <c r="A37" s="15" t="n"/>
      <c r="B37" s="18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6">
        <f>IF(A37="","",COUNTIF(F37,"A favor")+COUNTIF(H37,"A favor")+COUNTIF(J37,"A favor"))</f>
        <v/>
      </c>
      <c r="L37" s="16">
        <f>IF(A37="","",IF(K37=3,"Sim","Não"))</f>
        <v/>
      </c>
      <c r="M37" s="16">
        <f>IF(C37="","",COUNTIFS(Red_Team!$B$2:$B$301,C37,Red_Team!$I$2:$I$301,"Aberta"))</f>
        <v/>
      </c>
      <c r="N37" s="15" t="n"/>
      <c r="O37" s="16">
        <f>IF(A37="","",IF(M37&gt;0,"NÃO – objeções abertas",IF(AND(D37="Autenticidade confirmada (origem institucional)",Q37&lt;&gt;"A"),"NÃO – exige item classe A",IF(AND(Q37="C",D37&lt;&gt;"Alegação da defesa (classe C)"),"NÃO – item classe C",IF(AND(D37="Alegação da defesa (classe C)",Q37&lt;&gt;"C"),"NÃO – item não é classe C",IF(D37="Indícios técnicos de alteração",IF(L37="Sim","Sim","NÃO – exige unanimidade"),IF(K37&gt;=2,"Sim","NÃO – sem maioria")))))))</f>
        <v/>
      </c>
      <c r="P37" s="16">
        <f>IF(C37="","",IF(COUNTIF(C38:C$302,C37)=0,C37,""))</f>
        <v/>
      </c>
      <c r="Q37" s="16">
        <f>IF(C37="","",IFERROR(LEFT(INDEX(Custodia!$U$2:$U$301,MATCH(C37,Custodia!$A$2:$A$301,0)),1),"?"))</f>
        <v/>
      </c>
    </row>
    <row r="38">
      <c r="A38" s="15" t="n"/>
      <c r="B38" s="18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6">
        <f>IF(A38="","",COUNTIF(F38,"A favor")+COUNTIF(H38,"A favor")+COUNTIF(J38,"A favor"))</f>
        <v/>
      </c>
      <c r="L38" s="16">
        <f>IF(A38="","",IF(K38=3,"Sim","Não"))</f>
        <v/>
      </c>
      <c r="M38" s="16">
        <f>IF(C38="","",COUNTIFS(Red_Team!$B$2:$B$301,C38,Red_Team!$I$2:$I$301,"Aberta"))</f>
        <v/>
      </c>
      <c r="N38" s="15" t="n"/>
      <c r="O38" s="16">
        <f>IF(A38="","",IF(M38&gt;0,"NÃO – objeções abertas",IF(AND(D38="Autenticidade confirmada (origem institucional)",Q38&lt;&gt;"A"),"NÃO – exige item classe A",IF(AND(Q38="C",D38&lt;&gt;"Alegação da defesa (classe C)"),"NÃO – item classe C",IF(AND(D38="Alegação da defesa (classe C)",Q38&lt;&gt;"C"),"NÃO – item não é classe C",IF(D38="Indícios técnicos de alteração",IF(L38="Sim","Sim","NÃO – exige unanimidade"),IF(K38&gt;=2,"Sim","NÃO – sem maioria")))))))</f>
        <v/>
      </c>
      <c r="P38" s="16">
        <f>IF(C38="","",IF(COUNTIF(C39:C$302,C38)=0,C38,""))</f>
        <v/>
      </c>
      <c r="Q38" s="16">
        <f>IF(C38="","",IFERROR(LEFT(INDEX(Custodia!$U$2:$U$301,MATCH(C38,Custodia!$A$2:$A$301,0)),1),"?"))</f>
        <v/>
      </c>
    </row>
    <row r="39">
      <c r="A39" s="15" t="n"/>
      <c r="B39" s="18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6">
        <f>IF(A39="","",COUNTIF(F39,"A favor")+COUNTIF(H39,"A favor")+COUNTIF(J39,"A favor"))</f>
        <v/>
      </c>
      <c r="L39" s="16">
        <f>IF(A39="","",IF(K39=3,"Sim","Não"))</f>
        <v/>
      </c>
      <c r="M39" s="16">
        <f>IF(C39="","",COUNTIFS(Red_Team!$B$2:$B$301,C39,Red_Team!$I$2:$I$301,"Aberta"))</f>
        <v/>
      </c>
      <c r="N39" s="15" t="n"/>
      <c r="O39" s="16">
        <f>IF(A39="","",IF(M39&gt;0,"NÃO – objeções abertas",IF(AND(D39="Autenticidade confirmada (origem institucional)",Q39&lt;&gt;"A"),"NÃO – exige item classe A",IF(AND(Q39="C",D39&lt;&gt;"Alegação da defesa (classe C)"),"NÃO – item classe C",IF(AND(D39="Alegação da defesa (classe C)",Q39&lt;&gt;"C"),"NÃO – item não é classe C",IF(D39="Indícios técnicos de alteração",IF(L39="Sim","Sim","NÃO – exige unanimidade"),IF(K39&gt;=2,"Sim","NÃO – sem maioria")))))))</f>
        <v/>
      </c>
      <c r="P39" s="16">
        <f>IF(C39="","",IF(COUNTIF(C40:C$302,C39)=0,C39,""))</f>
        <v/>
      </c>
      <c r="Q39" s="16">
        <f>IF(C39="","",IFERROR(LEFT(INDEX(Custodia!$U$2:$U$301,MATCH(C39,Custodia!$A$2:$A$301,0)),1),"?"))</f>
        <v/>
      </c>
    </row>
    <row r="40">
      <c r="A40" s="15" t="n"/>
      <c r="B40" s="18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6">
        <f>IF(A40="","",COUNTIF(F40,"A favor")+COUNTIF(H40,"A favor")+COUNTIF(J40,"A favor"))</f>
        <v/>
      </c>
      <c r="L40" s="16">
        <f>IF(A40="","",IF(K40=3,"Sim","Não"))</f>
        <v/>
      </c>
      <c r="M40" s="16">
        <f>IF(C40="","",COUNTIFS(Red_Team!$B$2:$B$301,C40,Red_Team!$I$2:$I$301,"Aberta"))</f>
        <v/>
      </c>
      <c r="N40" s="15" t="n"/>
      <c r="O40" s="16">
        <f>IF(A40="","",IF(M40&gt;0,"NÃO – objeções abertas",IF(AND(D40="Autenticidade confirmada (origem institucional)",Q40&lt;&gt;"A"),"NÃO – exige item classe A",IF(AND(Q40="C",D40&lt;&gt;"Alegação da defesa (classe C)"),"NÃO – item classe C",IF(AND(D40="Alegação da defesa (classe C)",Q40&lt;&gt;"C"),"NÃO – item não é classe C",IF(D40="Indícios técnicos de alteração",IF(L40="Sim","Sim","NÃO – exige unanimidade"),IF(K40&gt;=2,"Sim","NÃO – sem maioria")))))))</f>
        <v/>
      </c>
      <c r="P40" s="16">
        <f>IF(C40="","",IF(COUNTIF(C41:C$302,C40)=0,C40,""))</f>
        <v/>
      </c>
      <c r="Q40" s="16">
        <f>IF(C40="","",IFERROR(LEFT(INDEX(Custodia!$U$2:$U$301,MATCH(C40,Custodia!$A$2:$A$301,0)),1),"?"))</f>
        <v/>
      </c>
    </row>
    <row r="41">
      <c r="A41" s="15" t="n"/>
      <c r="B41" s="18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6">
        <f>IF(A41="","",COUNTIF(F41,"A favor")+COUNTIF(H41,"A favor")+COUNTIF(J41,"A favor"))</f>
        <v/>
      </c>
      <c r="L41" s="16">
        <f>IF(A41="","",IF(K41=3,"Sim","Não"))</f>
        <v/>
      </c>
      <c r="M41" s="16">
        <f>IF(C41="","",COUNTIFS(Red_Team!$B$2:$B$301,C41,Red_Team!$I$2:$I$301,"Aberta"))</f>
        <v/>
      </c>
      <c r="N41" s="15" t="n"/>
      <c r="O41" s="16">
        <f>IF(A41="","",IF(M41&gt;0,"NÃO – objeções abertas",IF(AND(D41="Autenticidade confirmada (origem institucional)",Q41&lt;&gt;"A"),"NÃO – exige item classe A",IF(AND(Q41="C",D41&lt;&gt;"Alegação da defesa (classe C)"),"NÃO – item classe C",IF(AND(D41="Alegação da defesa (classe C)",Q41&lt;&gt;"C"),"NÃO – item não é classe C",IF(D41="Indícios técnicos de alteração",IF(L41="Sim","Sim","NÃO – exige unanimidade"),IF(K41&gt;=2,"Sim","NÃO – sem maioria")))))))</f>
        <v/>
      </c>
      <c r="P41" s="16">
        <f>IF(C41="","",IF(COUNTIF(C42:C$302,C41)=0,C41,""))</f>
        <v/>
      </c>
      <c r="Q41" s="16">
        <f>IF(C41="","",IFERROR(LEFT(INDEX(Custodia!$U$2:$U$301,MATCH(C41,Custodia!$A$2:$A$301,0)),1),"?"))</f>
        <v/>
      </c>
    </row>
    <row r="42">
      <c r="A42" s="15" t="n"/>
      <c r="B42" s="18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6">
        <f>IF(A42="","",COUNTIF(F42,"A favor")+COUNTIF(H42,"A favor")+COUNTIF(J42,"A favor"))</f>
        <v/>
      </c>
      <c r="L42" s="16">
        <f>IF(A42="","",IF(K42=3,"Sim","Não"))</f>
        <v/>
      </c>
      <c r="M42" s="16">
        <f>IF(C42="","",COUNTIFS(Red_Team!$B$2:$B$301,C42,Red_Team!$I$2:$I$301,"Aberta"))</f>
        <v/>
      </c>
      <c r="N42" s="15" t="n"/>
      <c r="O42" s="16">
        <f>IF(A42="","",IF(M42&gt;0,"NÃO – objeções abertas",IF(AND(D42="Autenticidade confirmada (origem institucional)",Q42&lt;&gt;"A"),"NÃO – exige item classe A",IF(AND(Q42="C",D42&lt;&gt;"Alegação da defesa (classe C)"),"NÃO – item classe C",IF(AND(D42="Alegação da defesa (classe C)",Q42&lt;&gt;"C"),"NÃO – item não é classe C",IF(D42="Indícios técnicos de alteração",IF(L42="Sim","Sim","NÃO – exige unanimidade"),IF(K42&gt;=2,"Sim","NÃO – sem maioria")))))))</f>
        <v/>
      </c>
      <c r="P42" s="16">
        <f>IF(C42="","",IF(COUNTIF(C43:C$302,C42)=0,C42,""))</f>
        <v/>
      </c>
      <c r="Q42" s="16">
        <f>IF(C42="","",IFERROR(LEFT(INDEX(Custodia!$U$2:$U$301,MATCH(C42,Custodia!$A$2:$A$301,0)),1),"?"))</f>
        <v/>
      </c>
    </row>
    <row r="43">
      <c r="A43" s="15" t="n"/>
      <c r="B43" s="18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6">
        <f>IF(A43="","",COUNTIF(F43,"A favor")+COUNTIF(H43,"A favor")+COUNTIF(J43,"A favor"))</f>
        <v/>
      </c>
      <c r="L43" s="16">
        <f>IF(A43="","",IF(K43=3,"Sim","Não"))</f>
        <v/>
      </c>
      <c r="M43" s="16">
        <f>IF(C43="","",COUNTIFS(Red_Team!$B$2:$B$301,C43,Red_Team!$I$2:$I$301,"Aberta"))</f>
        <v/>
      </c>
      <c r="N43" s="15" t="n"/>
      <c r="O43" s="16">
        <f>IF(A43="","",IF(M43&gt;0,"NÃO – objeções abertas",IF(AND(D43="Autenticidade confirmada (origem institucional)",Q43&lt;&gt;"A"),"NÃO – exige item classe A",IF(AND(Q43="C",D43&lt;&gt;"Alegação da defesa (classe C)"),"NÃO – item classe C",IF(AND(D43="Alegação da defesa (classe C)",Q43&lt;&gt;"C"),"NÃO – item não é classe C",IF(D43="Indícios técnicos de alteração",IF(L43="Sim","Sim","NÃO – exige unanimidade"),IF(K43&gt;=2,"Sim","NÃO – sem maioria")))))))</f>
        <v/>
      </c>
      <c r="P43" s="16">
        <f>IF(C43="","",IF(COUNTIF(C44:C$302,C43)=0,C43,""))</f>
        <v/>
      </c>
      <c r="Q43" s="16">
        <f>IF(C43="","",IFERROR(LEFT(INDEX(Custodia!$U$2:$U$301,MATCH(C43,Custodia!$A$2:$A$301,0)),1),"?"))</f>
        <v/>
      </c>
    </row>
    <row r="44">
      <c r="A44" s="15" t="n"/>
      <c r="B44" s="18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6">
        <f>IF(A44="","",COUNTIF(F44,"A favor")+COUNTIF(H44,"A favor")+COUNTIF(J44,"A favor"))</f>
        <v/>
      </c>
      <c r="L44" s="16">
        <f>IF(A44="","",IF(K44=3,"Sim","Não"))</f>
        <v/>
      </c>
      <c r="M44" s="16">
        <f>IF(C44="","",COUNTIFS(Red_Team!$B$2:$B$301,C44,Red_Team!$I$2:$I$301,"Aberta"))</f>
        <v/>
      </c>
      <c r="N44" s="15" t="n"/>
      <c r="O44" s="16">
        <f>IF(A44="","",IF(M44&gt;0,"NÃO – objeções abertas",IF(AND(D44="Autenticidade confirmada (origem institucional)",Q44&lt;&gt;"A"),"NÃO – exige item classe A",IF(AND(Q44="C",D44&lt;&gt;"Alegação da defesa (classe C)"),"NÃO – item classe C",IF(AND(D44="Alegação da defesa (classe C)",Q44&lt;&gt;"C"),"NÃO – item não é classe C",IF(D44="Indícios técnicos de alteração",IF(L44="Sim","Sim","NÃO – exige unanimidade"),IF(K44&gt;=2,"Sim","NÃO – sem maioria")))))))</f>
        <v/>
      </c>
      <c r="P44" s="16">
        <f>IF(C44="","",IF(COUNTIF(C45:C$302,C44)=0,C44,""))</f>
        <v/>
      </c>
      <c r="Q44" s="16">
        <f>IF(C44="","",IFERROR(LEFT(INDEX(Custodia!$U$2:$U$301,MATCH(C44,Custodia!$A$2:$A$301,0)),1),"?"))</f>
        <v/>
      </c>
    </row>
    <row r="45">
      <c r="A45" s="15" t="n"/>
      <c r="B45" s="18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6">
        <f>IF(A45="","",COUNTIF(F45,"A favor")+COUNTIF(H45,"A favor")+COUNTIF(J45,"A favor"))</f>
        <v/>
      </c>
      <c r="L45" s="16">
        <f>IF(A45="","",IF(K45=3,"Sim","Não"))</f>
        <v/>
      </c>
      <c r="M45" s="16">
        <f>IF(C45="","",COUNTIFS(Red_Team!$B$2:$B$301,C45,Red_Team!$I$2:$I$301,"Aberta"))</f>
        <v/>
      </c>
      <c r="N45" s="15" t="n"/>
      <c r="O45" s="16">
        <f>IF(A45="","",IF(M45&gt;0,"NÃO – objeções abertas",IF(AND(D45="Autenticidade confirmada (origem institucional)",Q45&lt;&gt;"A"),"NÃO – exige item classe A",IF(AND(Q45="C",D45&lt;&gt;"Alegação da defesa (classe C)"),"NÃO – item classe C",IF(AND(D45="Alegação da defesa (classe C)",Q45&lt;&gt;"C"),"NÃO – item não é classe C",IF(D45="Indícios técnicos de alteração",IF(L45="Sim","Sim","NÃO – exige unanimidade"),IF(K45&gt;=2,"Sim","NÃO – sem maioria")))))))</f>
        <v/>
      </c>
      <c r="P45" s="16">
        <f>IF(C45="","",IF(COUNTIF(C46:C$302,C45)=0,C45,""))</f>
        <v/>
      </c>
      <c r="Q45" s="16">
        <f>IF(C45="","",IFERROR(LEFT(INDEX(Custodia!$U$2:$U$301,MATCH(C45,Custodia!$A$2:$A$301,0)),1),"?"))</f>
        <v/>
      </c>
    </row>
    <row r="46">
      <c r="A46" s="15" t="n"/>
      <c r="B46" s="18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6">
        <f>IF(A46="","",COUNTIF(F46,"A favor")+COUNTIF(H46,"A favor")+COUNTIF(J46,"A favor"))</f>
        <v/>
      </c>
      <c r="L46" s="16">
        <f>IF(A46="","",IF(K46=3,"Sim","Não"))</f>
        <v/>
      </c>
      <c r="M46" s="16">
        <f>IF(C46="","",COUNTIFS(Red_Team!$B$2:$B$301,C46,Red_Team!$I$2:$I$301,"Aberta"))</f>
        <v/>
      </c>
      <c r="N46" s="15" t="n"/>
      <c r="O46" s="16">
        <f>IF(A46="","",IF(M46&gt;0,"NÃO – objeções abertas",IF(AND(D46="Autenticidade confirmada (origem institucional)",Q46&lt;&gt;"A"),"NÃO – exige item classe A",IF(AND(Q46="C",D46&lt;&gt;"Alegação da defesa (classe C)"),"NÃO – item classe C",IF(AND(D46="Alegação da defesa (classe C)",Q46&lt;&gt;"C"),"NÃO – item não é classe C",IF(D46="Indícios técnicos de alteração",IF(L46="Sim","Sim","NÃO – exige unanimidade"),IF(K46&gt;=2,"Sim","NÃO – sem maioria")))))))</f>
        <v/>
      </c>
      <c r="P46" s="16">
        <f>IF(C46="","",IF(COUNTIF(C47:C$302,C46)=0,C46,""))</f>
        <v/>
      </c>
      <c r="Q46" s="16">
        <f>IF(C46="","",IFERROR(LEFT(INDEX(Custodia!$U$2:$U$301,MATCH(C46,Custodia!$A$2:$A$301,0)),1),"?"))</f>
        <v/>
      </c>
    </row>
    <row r="47">
      <c r="A47" s="15" t="n"/>
      <c r="B47" s="18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6">
        <f>IF(A47="","",COUNTIF(F47,"A favor")+COUNTIF(H47,"A favor")+COUNTIF(J47,"A favor"))</f>
        <v/>
      </c>
      <c r="L47" s="16">
        <f>IF(A47="","",IF(K47=3,"Sim","Não"))</f>
        <v/>
      </c>
      <c r="M47" s="16">
        <f>IF(C47="","",COUNTIFS(Red_Team!$B$2:$B$301,C47,Red_Team!$I$2:$I$301,"Aberta"))</f>
        <v/>
      </c>
      <c r="N47" s="15" t="n"/>
      <c r="O47" s="16">
        <f>IF(A47="","",IF(M47&gt;0,"NÃO – objeções abertas",IF(AND(D47="Autenticidade confirmada (origem institucional)",Q47&lt;&gt;"A"),"NÃO – exige item classe A",IF(AND(Q47="C",D47&lt;&gt;"Alegação da defesa (classe C)"),"NÃO – item classe C",IF(AND(D47="Alegação da defesa (classe C)",Q47&lt;&gt;"C"),"NÃO – item não é classe C",IF(D47="Indícios técnicos de alteração",IF(L47="Sim","Sim","NÃO – exige unanimidade"),IF(K47&gt;=2,"Sim","NÃO – sem maioria")))))))</f>
        <v/>
      </c>
      <c r="P47" s="16">
        <f>IF(C47="","",IF(COUNTIF(C48:C$302,C47)=0,C47,""))</f>
        <v/>
      </c>
      <c r="Q47" s="16">
        <f>IF(C47="","",IFERROR(LEFT(INDEX(Custodia!$U$2:$U$301,MATCH(C47,Custodia!$A$2:$A$301,0)),1),"?"))</f>
        <v/>
      </c>
    </row>
    <row r="48">
      <c r="A48" s="15" t="n"/>
      <c r="B48" s="18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6">
        <f>IF(A48="","",COUNTIF(F48,"A favor")+COUNTIF(H48,"A favor")+COUNTIF(J48,"A favor"))</f>
        <v/>
      </c>
      <c r="L48" s="16">
        <f>IF(A48="","",IF(K48=3,"Sim","Não"))</f>
        <v/>
      </c>
      <c r="M48" s="16">
        <f>IF(C48="","",COUNTIFS(Red_Team!$B$2:$B$301,C48,Red_Team!$I$2:$I$301,"Aberta"))</f>
        <v/>
      </c>
      <c r="N48" s="15" t="n"/>
      <c r="O48" s="16">
        <f>IF(A48="","",IF(M48&gt;0,"NÃO – objeções abertas",IF(AND(D48="Autenticidade confirmada (origem institucional)",Q48&lt;&gt;"A"),"NÃO – exige item classe A",IF(AND(Q48="C",D48&lt;&gt;"Alegação da defesa (classe C)"),"NÃO – item classe C",IF(AND(D48="Alegação da defesa (classe C)",Q48&lt;&gt;"C"),"NÃO – item não é classe C",IF(D48="Indícios técnicos de alteração",IF(L48="Sim","Sim","NÃO – exige unanimidade"),IF(K48&gt;=2,"Sim","NÃO – sem maioria")))))))</f>
        <v/>
      </c>
      <c r="P48" s="16">
        <f>IF(C48="","",IF(COUNTIF(C49:C$302,C48)=0,C48,""))</f>
        <v/>
      </c>
      <c r="Q48" s="16">
        <f>IF(C48="","",IFERROR(LEFT(INDEX(Custodia!$U$2:$U$301,MATCH(C48,Custodia!$A$2:$A$301,0)),1),"?"))</f>
        <v/>
      </c>
    </row>
    <row r="49">
      <c r="A49" s="15" t="n"/>
      <c r="B49" s="18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6">
        <f>IF(A49="","",COUNTIF(F49,"A favor")+COUNTIF(H49,"A favor")+COUNTIF(J49,"A favor"))</f>
        <v/>
      </c>
      <c r="L49" s="16">
        <f>IF(A49="","",IF(K49=3,"Sim","Não"))</f>
        <v/>
      </c>
      <c r="M49" s="16">
        <f>IF(C49="","",COUNTIFS(Red_Team!$B$2:$B$301,C49,Red_Team!$I$2:$I$301,"Aberta"))</f>
        <v/>
      </c>
      <c r="N49" s="15" t="n"/>
      <c r="O49" s="16">
        <f>IF(A49="","",IF(M49&gt;0,"NÃO – objeções abertas",IF(AND(D49="Autenticidade confirmada (origem institucional)",Q49&lt;&gt;"A"),"NÃO – exige item classe A",IF(AND(Q49="C",D49&lt;&gt;"Alegação da defesa (classe C)"),"NÃO – item classe C",IF(AND(D49="Alegação da defesa (classe C)",Q49&lt;&gt;"C"),"NÃO – item não é classe C",IF(D49="Indícios técnicos de alteração",IF(L49="Sim","Sim","NÃO – exige unanimidade"),IF(K49&gt;=2,"Sim","NÃO – sem maioria")))))))</f>
        <v/>
      </c>
      <c r="P49" s="16">
        <f>IF(C49="","",IF(COUNTIF(C50:C$302,C49)=0,C49,""))</f>
        <v/>
      </c>
      <c r="Q49" s="16">
        <f>IF(C49="","",IFERROR(LEFT(INDEX(Custodia!$U$2:$U$301,MATCH(C49,Custodia!$A$2:$A$301,0)),1),"?"))</f>
        <v/>
      </c>
    </row>
    <row r="50">
      <c r="A50" s="15" t="n"/>
      <c r="B50" s="18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6">
        <f>IF(A50="","",COUNTIF(F50,"A favor")+COUNTIF(H50,"A favor")+COUNTIF(J50,"A favor"))</f>
        <v/>
      </c>
      <c r="L50" s="16">
        <f>IF(A50="","",IF(K50=3,"Sim","Não"))</f>
        <v/>
      </c>
      <c r="M50" s="16">
        <f>IF(C50="","",COUNTIFS(Red_Team!$B$2:$B$301,C50,Red_Team!$I$2:$I$301,"Aberta"))</f>
        <v/>
      </c>
      <c r="N50" s="15" t="n"/>
      <c r="O50" s="16">
        <f>IF(A50="","",IF(M50&gt;0,"NÃO – objeções abertas",IF(AND(D50="Autenticidade confirmada (origem institucional)",Q50&lt;&gt;"A"),"NÃO – exige item classe A",IF(AND(Q50="C",D50&lt;&gt;"Alegação da defesa (classe C)"),"NÃO – item classe C",IF(AND(D50="Alegação da defesa (classe C)",Q50&lt;&gt;"C"),"NÃO – item não é classe C",IF(D50="Indícios técnicos de alteração",IF(L50="Sim","Sim","NÃO – exige unanimidade"),IF(K50&gt;=2,"Sim","NÃO – sem maioria")))))))</f>
        <v/>
      </c>
      <c r="P50" s="16">
        <f>IF(C50="","",IF(COUNTIF(C51:C$302,C50)=0,C50,""))</f>
        <v/>
      </c>
      <c r="Q50" s="16">
        <f>IF(C50="","",IFERROR(LEFT(INDEX(Custodia!$U$2:$U$301,MATCH(C50,Custodia!$A$2:$A$301,0)),1),"?"))</f>
        <v/>
      </c>
    </row>
    <row r="51">
      <c r="A51" s="15" t="n"/>
      <c r="B51" s="18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6">
        <f>IF(A51="","",COUNTIF(F51,"A favor")+COUNTIF(H51,"A favor")+COUNTIF(J51,"A favor"))</f>
        <v/>
      </c>
      <c r="L51" s="16">
        <f>IF(A51="","",IF(K51=3,"Sim","Não"))</f>
        <v/>
      </c>
      <c r="M51" s="16">
        <f>IF(C51="","",COUNTIFS(Red_Team!$B$2:$B$301,C51,Red_Team!$I$2:$I$301,"Aberta"))</f>
        <v/>
      </c>
      <c r="N51" s="15" t="n"/>
      <c r="O51" s="16">
        <f>IF(A51="","",IF(M51&gt;0,"NÃO – objeções abertas",IF(AND(D51="Autenticidade confirmada (origem institucional)",Q51&lt;&gt;"A"),"NÃO – exige item classe A",IF(AND(Q51="C",D51&lt;&gt;"Alegação da defesa (classe C)"),"NÃO – item classe C",IF(AND(D51="Alegação da defesa (classe C)",Q51&lt;&gt;"C"),"NÃO – item não é classe C",IF(D51="Indícios técnicos de alteração",IF(L51="Sim","Sim","NÃO – exige unanimidade"),IF(K51&gt;=2,"Sim","NÃO – sem maioria")))))))</f>
        <v/>
      </c>
      <c r="P51" s="16">
        <f>IF(C51="","",IF(COUNTIF(C52:C$302,C51)=0,C51,""))</f>
        <v/>
      </c>
      <c r="Q51" s="16">
        <f>IF(C51="","",IFERROR(LEFT(INDEX(Custodia!$U$2:$U$301,MATCH(C51,Custodia!$A$2:$A$301,0)),1),"?"))</f>
        <v/>
      </c>
    </row>
    <row r="52">
      <c r="A52" s="15" t="n"/>
      <c r="B52" s="18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6">
        <f>IF(A52="","",COUNTIF(F52,"A favor")+COUNTIF(H52,"A favor")+COUNTIF(J52,"A favor"))</f>
        <v/>
      </c>
      <c r="L52" s="16">
        <f>IF(A52="","",IF(K52=3,"Sim","Não"))</f>
        <v/>
      </c>
      <c r="M52" s="16">
        <f>IF(C52="","",COUNTIFS(Red_Team!$B$2:$B$301,C52,Red_Team!$I$2:$I$301,"Aberta"))</f>
        <v/>
      </c>
      <c r="N52" s="15" t="n"/>
      <c r="O52" s="16">
        <f>IF(A52="","",IF(M52&gt;0,"NÃO – objeções abertas",IF(AND(D52="Autenticidade confirmada (origem institucional)",Q52&lt;&gt;"A"),"NÃO – exige item classe A",IF(AND(Q52="C",D52&lt;&gt;"Alegação da defesa (classe C)"),"NÃO – item classe C",IF(AND(D52="Alegação da defesa (classe C)",Q52&lt;&gt;"C"),"NÃO – item não é classe C",IF(D52="Indícios técnicos de alteração",IF(L52="Sim","Sim","NÃO – exige unanimidade"),IF(K52&gt;=2,"Sim","NÃO – sem maioria")))))))</f>
        <v/>
      </c>
      <c r="P52" s="16">
        <f>IF(C52="","",IF(COUNTIF(C53:C$302,C52)=0,C52,""))</f>
        <v/>
      </c>
      <c r="Q52" s="16">
        <f>IF(C52="","",IFERROR(LEFT(INDEX(Custodia!$U$2:$U$301,MATCH(C52,Custodia!$A$2:$A$301,0)),1),"?"))</f>
        <v/>
      </c>
    </row>
    <row r="53">
      <c r="A53" s="15" t="n"/>
      <c r="B53" s="18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6">
        <f>IF(A53="","",COUNTIF(F53,"A favor")+COUNTIF(H53,"A favor")+COUNTIF(J53,"A favor"))</f>
        <v/>
      </c>
      <c r="L53" s="16">
        <f>IF(A53="","",IF(K53=3,"Sim","Não"))</f>
        <v/>
      </c>
      <c r="M53" s="16">
        <f>IF(C53="","",COUNTIFS(Red_Team!$B$2:$B$301,C53,Red_Team!$I$2:$I$301,"Aberta"))</f>
        <v/>
      </c>
      <c r="N53" s="15" t="n"/>
      <c r="O53" s="16">
        <f>IF(A53="","",IF(M53&gt;0,"NÃO – objeções abertas",IF(AND(D53="Autenticidade confirmada (origem institucional)",Q53&lt;&gt;"A"),"NÃO – exige item classe A",IF(AND(Q53="C",D53&lt;&gt;"Alegação da defesa (classe C)"),"NÃO – item classe C",IF(AND(D53="Alegação da defesa (classe C)",Q53&lt;&gt;"C"),"NÃO – item não é classe C",IF(D53="Indícios técnicos de alteração",IF(L53="Sim","Sim","NÃO – exige unanimidade"),IF(K53&gt;=2,"Sim","NÃO – sem maioria")))))))</f>
        <v/>
      </c>
      <c r="P53" s="16">
        <f>IF(C53="","",IF(COUNTIF(C54:C$302,C53)=0,C53,""))</f>
        <v/>
      </c>
      <c r="Q53" s="16">
        <f>IF(C53="","",IFERROR(LEFT(INDEX(Custodia!$U$2:$U$301,MATCH(C53,Custodia!$A$2:$A$301,0)),1),"?"))</f>
        <v/>
      </c>
    </row>
    <row r="54">
      <c r="A54" s="15" t="n"/>
      <c r="B54" s="18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6">
        <f>IF(A54="","",COUNTIF(F54,"A favor")+COUNTIF(H54,"A favor")+COUNTIF(J54,"A favor"))</f>
        <v/>
      </c>
      <c r="L54" s="16">
        <f>IF(A54="","",IF(K54=3,"Sim","Não"))</f>
        <v/>
      </c>
      <c r="M54" s="16">
        <f>IF(C54="","",COUNTIFS(Red_Team!$B$2:$B$301,C54,Red_Team!$I$2:$I$301,"Aberta"))</f>
        <v/>
      </c>
      <c r="N54" s="15" t="n"/>
      <c r="O54" s="16">
        <f>IF(A54="","",IF(M54&gt;0,"NÃO – objeções abertas",IF(AND(D54="Autenticidade confirmada (origem institucional)",Q54&lt;&gt;"A"),"NÃO – exige item classe A",IF(AND(Q54="C",D54&lt;&gt;"Alegação da defesa (classe C)"),"NÃO – item classe C",IF(AND(D54="Alegação da defesa (classe C)",Q54&lt;&gt;"C"),"NÃO – item não é classe C",IF(D54="Indícios técnicos de alteração",IF(L54="Sim","Sim","NÃO – exige unanimidade"),IF(K54&gt;=2,"Sim","NÃO – sem maioria")))))))</f>
        <v/>
      </c>
      <c r="P54" s="16">
        <f>IF(C54="","",IF(COUNTIF(C55:C$302,C54)=0,C54,""))</f>
        <v/>
      </c>
      <c r="Q54" s="16">
        <f>IF(C54="","",IFERROR(LEFT(INDEX(Custodia!$U$2:$U$301,MATCH(C54,Custodia!$A$2:$A$301,0)),1),"?"))</f>
        <v/>
      </c>
    </row>
    <row r="55">
      <c r="A55" s="15" t="n"/>
      <c r="B55" s="18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6">
        <f>IF(A55="","",COUNTIF(F55,"A favor")+COUNTIF(H55,"A favor")+COUNTIF(J55,"A favor"))</f>
        <v/>
      </c>
      <c r="L55" s="16">
        <f>IF(A55="","",IF(K55=3,"Sim","Não"))</f>
        <v/>
      </c>
      <c r="M55" s="16">
        <f>IF(C55="","",COUNTIFS(Red_Team!$B$2:$B$301,C55,Red_Team!$I$2:$I$301,"Aberta"))</f>
        <v/>
      </c>
      <c r="N55" s="15" t="n"/>
      <c r="O55" s="16">
        <f>IF(A55="","",IF(M55&gt;0,"NÃO – objeções abertas",IF(AND(D55="Autenticidade confirmada (origem institucional)",Q55&lt;&gt;"A"),"NÃO – exige item classe A",IF(AND(Q55="C",D55&lt;&gt;"Alegação da defesa (classe C)"),"NÃO – item classe C",IF(AND(D55="Alegação da defesa (classe C)",Q55&lt;&gt;"C"),"NÃO – item não é classe C",IF(D55="Indícios técnicos de alteração",IF(L55="Sim","Sim","NÃO – exige unanimidade"),IF(K55&gt;=2,"Sim","NÃO – sem maioria")))))))</f>
        <v/>
      </c>
      <c r="P55" s="16">
        <f>IF(C55="","",IF(COUNTIF(C56:C$302,C55)=0,C55,""))</f>
        <v/>
      </c>
      <c r="Q55" s="16">
        <f>IF(C55="","",IFERROR(LEFT(INDEX(Custodia!$U$2:$U$301,MATCH(C55,Custodia!$A$2:$A$301,0)),1),"?"))</f>
        <v/>
      </c>
    </row>
    <row r="56">
      <c r="A56" s="15" t="n"/>
      <c r="B56" s="18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6">
        <f>IF(A56="","",COUNTIF(F56,"A favor")+COUNTIF(H56,"A favor")+COUNTIF(J56,"A favor"))</f>
        <v/>
      </c>
      <c r="L56" s="16">
        <f>IF(A56="","",IF(K56=3,"Sim","Não"))</f>
        <v/>
      </c>
      <c r="M56" s="16">
        <f>IF(C56="","",COUNTIFS(Red_Team!$B$2:$B$301,C56,Red_Team!$I$2:$I$301,"Aberta"))</f>
        <v/>
      </c>
      <c r="N56" s="15" t="n"/>
      <c r="O56" s="16">
        <f>IF(A56="","",IF(M56&gt;0,"NÃO – objeções abertas",IF(AND(D56="Autenticidade confirmada (origem institucional)",Q56&lt;&gt;"A"),"NÃO – exige item classe A",IF(AND(Q56="C",D56&lt;&gt;"Alegação da defesa (classe C)"),"NÃO – item classe C",IF(AND(D56="Alegação da defesa (classe C)",Q56&lt;&gt;"C"),"NÃO – item não é classe C",IF(D56="Indícios técnicos de alteração",IF(L56="Sim","Sim","NÃO – exige unanimidade"),IF(K56&gt;=2,"Sim","NÃO – sem maioria")))))))</f>
        <v/>
      </c>
      <c r="P56" s="16">
        <f>IF(C56="","",IF(COUNTIF(C57:C$302,C56)=0,C56,""))</f>
        <v/>
      </c>
      <c r="Q56" s="16">
        <f>IF(C56="","",IFERROR(LEFT(INDEX(Custodia!$U$2:$U$301,MATCH(C56,Custodia!$A$2:$A$301,0)),1),"?"))</f>
        <v/>
      </c>
    </row>
    <row r="57">
      <c r="A57" s="15" t="n"/>
      <c r="B57" s="18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6">
        <f>IF(A57="","",COUNTIF(F57,"A favor")+COUNTIF(H57,"A favor")+COUNTIF(J57,"A favor"))</f>
        <v/>
      </c>
      <c r="L57" s="16">
        <f>IF(A57="","",IF(K57=3,"Sim","Não"))</f>
        <v/>
      </c>
      <c r="M57" s="16">
        <f>IF(C57="","",COUNTIFS(Red_Team!$B$2:$B$301,C57,Red_Team!$I$2:$I$301,"Aberta"))</f>
        <v/>
      </c>
      <c r="N57" s="15" t="n"/>
      <c r="O57" s="16">
        <f>IF(A57="","",IF(M57&gt;0,"NÃO – objeções abertas",IF(AND(D57="Autenticidade confirmada (origem institucional)",Q57&lt;&gt;"A"),"NÃO – exige item classe A",IF(AND(Q57="C",D57&lt;&gt;"Alegação da defesa (classe C)"),"NÃO – item classe C",IF(AND(D57="Alegação da defesa (classe C)",Q57&lt;&gt;"C"),"NÃO – item não é classe C",IF(D57="Indícios técnicos de alteração",IF(L57="Sim","Sim","NÃO – exige unanimidade"),IF(K57&gt;=2,"Sim","NÃO – sem maioria")))))))</f>
        <v/>
      </c>
      <c r="P57" s="16">
        <f>IF(C57="","",IF(COUNTIF(C58:C$302,C57)=0,C57,""))</f>
        <v/>
      </c>
      <c r="Q57" s="16">
        <f>IF(C57="","",IFERROR(LEFT(INDEX(Custodia!$U$2:$U$301,MATCH(C57,Custodia!$A$2:$A$301,0)),1),"?"))</f>
        <v/>
      </c>
    </row>
    <row r="58">
      <c r="A58" s="15" t="n"/>
      <c r="B58" s="18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6">
        <f>IF(A58="","",COUNTIF(F58,"A favor")+COUNTIF(H58,"A favor")+COUNTIF(J58,"A favor"))</f>
        <v/>
      </c>
      <c r="L58" s="16">
        <f>IF(A58="","",IF(K58=3,"Sim","Não"))</f>
        <v/>
      </c>
      <c r="M58" s="16">
        <f>IF(C58="","",COUNTIFS(Red_Team!$B$2:$B$301,C58,Red_Team!$I$2:$I$301,"Aberta"))</f>
        <v/>
      </c>
      <c r="N58" s="15" t="n"/>
      <c r="O58" s="16">
        <f>IF(A58="","",IF(M58&gt;0,"NÃO – objeções abertas",IF(AND(D58="Autenticidade confirmada (origem institucional)",Q58&lt;&gt;"A"),"NÃO – exige item classe A",IF(AND(Q58="C",D58&lt;&gt;"Alegação da defesa (classe C)"),"NÃO – item classe C",IF(AND(D58="Alegação da defesa (classe C)",Q58&lt;&gt;"C"),"NÃO – item não é classe C",IF(D58="Indícios técnicos de alteração",IF(L58="Sim","Sim","NÃO – exige unanimidade"),IF(K58&gt;=2,"Sim","NÃO – sem maioria")))))))</f>
        <v/>
      </c>
      <c r="P58" s="16">
        <f>IF(C58="","",IF(COUNTIF(C59:C$302,C58)=0,C58,""))</f>
        <v/>
      </c>
      <c r="Q58" s="16">
        <f>IF(C58="","",IFERROR(LEFT(INDEX(Custodia!$U$2:$U$301,MATCH(C58,Custodia!$A$2:$A$301,0)),1),"?"))</f>
        <v/>
      </c>
    </row>
    <row r="59">
      <c r="A59" s="15" t="n"/>
      <c r="B59" s="18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6">
        <f>IF(A59="","",COUNTIF(F59,"A favor")+COUNTIF(H59,"A favor")+COUNTIF(J59,"A favor"))</f>
        <v/>
      </c>
      <c r="L59" s="16">
        <f>IF(A59="","",IF(K59=3,"Sim","Não"))</f>
        <v/>
      </c>
      <c r="M59" s="16">
        <f>IF(C59="","",COUNTIFS(Red_Team!$B$2:$B$301,C59,Red_Team!$I$2:$I$301,"Aberta"))</f>
        <v/>
      </c>
      <c r="N59" s="15" t="n"/>
      <c r="O59" s="16">
        <f>IF(A59="","",IF(M59&gt;0,"NÃO – objeções abertas",IF(AND(D59="Autenticidade confirmada (origem institucional)",Q59&lt;&gt;"A"),"NÃO – exige item classe A",IF(AND(Q59="C",D59&lt;&gt;"Alegação da defesa (classe C)"),"NÃO – item classe C",IF(AND(D59="Alegação da defesa (classe C)",Q59&lt;&gt;"C"),"NÃO – item não é classe C",IF(D59="Indícios técnicos de alteração",IF(L59="Sim","Sim","NÃO – exige unanimidade"),IF(K59&gt;=2,"Sim","NÃO – sem maioria")))))))</f>
        <v/>
      </c>
      <c r="P59" s="16">
        <f>IF(C59="","",IF(COUNTIF(C60:C$302,C59)=0,C59,""))</f>
        <v/>
      </c>
      <c r="Q59" s="16">
        <f>IF(C59="","",IFERROR(LEFT(INDEX(Custodia!$U$2:$U$301,MATCH(C59,Custodia!$A$2:$A$301,0)),1),"?"))</f>
        <v/>
      </c>
    </row>
    <row r="60">
      <c r="A60" s="15" t="n"/>
      <c r="B60" s="18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6">
        <f>IF(A60="","",COUNTIF(F60,"A favor")+COUNTIF(H60,"A favor")+COUNTIF(J60,"A favor"))</f>
        <v/>
      </c>
      <c r="L60" s="16">
        <f>IF(A60="","",IF(K60=3,"Sim","Não"))</f>
        <v/>
      </c>
      <c r="M60" s="16">
        <f>IF(C60="","",COUNTIFS(Red_Team!$B$2:$B$301,C60,Red_Team!$I$2:$I$301,"Aberta"))</f>
        <v/>
      </c>
      <c r="N60" s="15" t="n"/>
      <c r="O60" s="16">
        <f>IF(A60="","",IF(M60&gt;0,"NÃO – objeções abertas",IF(AND(D60="Autenticidade confirmada (origem institucional)",Q60&lt;&gt;"A"),"NÃO – exige item classe A",IF(AND(Q60="C",D60&lt;&gt;"Alegação da defesa (classe C)"),"NÃO – item classe C",IF(AND(D60="Alegação da defesa (classe C)",Q60&lt;&gt;"C"),"NÃO – item não é classe C",IF(D60="Indícios técnicos de alteração",IF(L60="Sim","Sim","NÃO – exige unanimidade"),IF(K60&gt;=2,"Sim","NÃO – sem maioria")))))))</f>
        <v/>
      </c>
      <c r="P60" s="16">
        <f>IF(C60="","",IF(COUNTIF(C61:C$302,C60)=0,C60,""))</f>
        <v/>
      </c>
      <c r="Q60" s="16">
        <f>IF(C60="","",IFERROR(LEFT(INDEX(Custodia!$U$2:$U$301,MATCH(C60,Custodia!$A$2:$A$301,0)),1),"?"))</f>
        <v/>
      </c>
    </row>
    <row r="61">
      <c r="A61" s="15" t="n"/>
      <c r="B61" s="18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6">
        <f>IF(A61="","",COUNTIF(F61,"A favor")+COUNTIF(H61,"A favor")+COUNTIF(J61,"A favor"))</f>
        <v/>
      </c>
      <c r="L61" s="16">
        <f>IF(A61="","",IF(K61=3,"Sim","Não"))</f>
        <v/>
      </c>
      <c r="M61" s="16">
        <f>IF(C61="","",COUNTIFS(Red_Team!$B$2:$B$301,C61,Red_Team!$I$2:$I$301,"Aberta"))</f>
        <v/>
      </c>
      <c r="N61" s="15" t="n"/>
      <c r="O61" s="16">
        <f>IF(A61="","",IF(M61&gt;0,"NÃO – objeções abertas",IF(AND(D61="Autenticidade confirmada (origem institucional)",Q61&lt;&gt;"A"),"NÃO – exige item classe A",IF(AND(Q61="C",D61&lt;&gt;"Alegação da defesa (classe C)"),"NÃO – item classe C",IF(AND(D61="Alegação da defesa (classe C)",Q61&lt;&gt;"C"),"NÃO – item não é classe C",IF(D61="Indícios técnicos de alteração",IF(L61="Sim","Sim","NÃO – exige unanimidade"),IF(K61&gt;=2,"Sim","NÃO – sem maioria")))))))</f>
        <v/>
      </c>
      <c r="P61" s="16">
        <f>IF(C61="","",IF(COUNTIF(C62:C$302,C61)=0,C61,""))</f>
        <v/>
      </c>
      <c r="Q61" s="16">
        <f>IF(C61="","",IFERROR(LEFT(INDEX(Custodia!$U$2:$U$301,MATCH(C61,Custodia!$A$2:$A$301,0)),1),"?"))</f>
        <v/>
      </c>
    </row>
    <row r="62">
      <c r="A62" s="15" t="n"/>
      <c r="B62" s="18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6">
        <f>IF(A62="","",COUNTIF(F62,"A favor")+COUNTIF(H62,"A favor")+COUNTIF(J62,"A favor"))</f>
        <v/>
      </c>
      <c r="L62" s="16">
        <f>IF(A62="","",IF(K62=3,"Sim","Não"))</f>
        <v/>
      </c>
      <c r="M62" s="16">
        <f>IF(C62="","",COUNTIFS(Red_Team!$B$2:$B$301,C62,Red_Team!$I$2:$I$301,"Aberta"))</f>
        <v/>
      </c>
      <c r="N62" s="15" t="n"/>
      <c r="O62" s="16">
        <f>IF(A62="","",IF(M62&gt;0,"NÃO – objeções abertas",IF(AND(D62="Autenticidade confirmada (origem institucional)",Q62&lt;&gt;"A"),"NÃO – exige item classe A",IF(AND(Q62="C",D62&lt;&gt;"Alegação da defesa (classe C)"),"NÃO – item classe C",IF(AND(D62="Alegação da defesa (classe C)",Q62&lt;&gt;"C"),"NÃO – item não é classe C",IF(D62="Indícios técnicos de alteração",IF(L62="Sim","Sim","NÃO – exige unanimidade"),IF(K62&gt;=2,"Sim","NÃO – sem maioria")))))))</f>
        <v/>
      </c>
      <c r="P62" s="16">
        <f>IF(C62="","",IF(COUNTIF(C63:C$302,C62)=0,C62,""))</f>
        <v/>
      </c>
      <c r="Q62" s="16">
        <f>IF(C62="","",IFERROR(LEFT(INDEX(Custodia!$U$2:$U$301,MATCH(C62,Custodia!$A$2:$A$301,0)),1),"?"))</f>
        <v/>
      </c>
    </row>
    <row r="63">
      <c r="A63" s="15" t="n"/>
      <c r="B63" s="18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6">
        <f>IF(A63="","",COUNTIF(F63,"A favor")+COUNTIF(H63,"A favor")+COUNTIF(J63,"A favor"))</f>
        <v/>
      </c>
      <c r="L63" s="16">
        <f>IF(A63="","",IF(K63=3,"Sim","Não"))</f>
        <v/>
      </c>
      <c r="M63" s="16">
        <f>IF(C63="","",COUNTIFS(Red_Team!$B$2:$B$301,C63,Red_Team!$I$2:$I$301,"Aberta"))</f>
        <v/>
      </c>
      <c r="N63" s="15" t="n"/>
      <c r="O63" s="16">
        <f>IF(A63="","",IF(M63&gt;0,"NÃO – objeções abertas",IF(AND(D63="Autenticidade confirmada (origem institucional)",Q63&lt;&gt;"A"),"NÃO – exige item classe A",IF(AND(Q63="C",D63&lt;&gt;"Alegação da defesa (classe C)"),"NÃO – item classe C",IF(AND(D63="Alegação da defesa (classe C)",Q63&lt;&gt;"C"),"NÃO – item não é classe C",IF(D63="Indícios técnicos de alteração",IF(L63="Sim","Sim","NÃO – exige unanimidade"),IF(K63&gt;=2,"Sim","NÃO – sem maioria")))))))</f>
        <v/>
      </c>
      <c r="P63" s="16">
        <f>IF(C63="","",IF(COUNTIF(C64:C$302,C63)=0,C63,""))</f>
        <v/>
      </c>
      <c r="Q63" s="16">
        <f>IF(C63="","",IFERROR(LEFT(INDEX(Custodia!$U$2:$U$301,MATCH(C63,Custodia!$A$2:$A$301,0)),1),"?"))</f>
        <v/>
      </c>
    </row>
    <row r="64">
      <c r="A64" s="15" t="n"/>
      <c r="B64" s="18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6">
        <f>IF(A64="","",COUNTIF(F64,"A favor")+COUNTIF(H64,"A favor")+COUNTIF(J64,"A favor"))</f>
        <v/>
      </c>
      <c r="L64" s="16">
        <f>IF(A64="","",IF(K64=3,"Sim","Não"))</f>
        <v/>
      </c>
      <c r="M64" s="16">
        <f>IF(C64="","",COUNTIFS(Red_Team!$B$2:$B$301,C64,Red_Team!$I$2:$I$301,"Aberta"))</f>
        <v/>
      </c>
      <c r="N64" s="15" t="n"/>
      <c r="O64" s="16">
        <f>IF(A64="","",IF(M64&gt;0,"NÃO – objeções abertas",IF(AND(D64="Autenticidade confirmada (origem institucional)",Q64&lt;&gt;"A"),"NÃO – exige item classe A",IF(AND(Q64="C",D64&lt;&gt;"Alegação da defesa (classe C)"),"NÃO – item classe C",IF(AND(D64="Alegação da defesa (classe C)",Q64&lt;&gt;"C"),"NÃO – item não é classe C",IF(D64="Indícios técnicos de alteração",IF(L64="Sim","Sim","NÃO – exige unanimidade"),IF(K64&gt;=2,"Sim","NÃO – sem maioria")))))))</f>
        <v/>
      </c>
      <c r="P64" s="16">
        <f>IF(C64="","",IF(COUNTIF(C65:C$302,C64)=0,C64,""))</f>
        <v/>
      </c>
      <c r="Q64" s="16">
        <f>IF(C64="","",IFERROR(LEFT(INDEX(Custodia!$U$2:$U$301,MATCH(C64,Custodia!$A$2:$A$301,0)),1),"?"))</f>
        <v/>
      </c>
    </row>
    <row r="65">
      <c r="A65" s="15" t="n"/>
      <c r="B65" s="18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6">
        <f>IF(A65="","",COUNTIF(F65,"A favor")+COUNTIF(H65,"A favor")+COUNTIF(J65,"A favor"))</f>
        <v/>
      </c>
      <c r="L65" s="16">
        <f>IF(A65="","",IF(K65=3,"Sim","Não"))</f>
        <v/>
      </c>
      <c r="M65" s="16">
        <f>IF(C65="","",COUNTIFS(Red_Team!$B$2:$B$301,C65,Red_Team!$I$2:$I$301,"Aberta"))</f>
        <v/>
      </c>
      <c r="N65" s="15" t="n"/>
      <c r="O65" s="16">
        <f>IF(A65="","",IF(M65&gt;0,"NÃO – objeções abertas",IF(AND(D65="Autenticidade confirmada (origem institucional)",Q65&lt;&gt;"A"),"NÃO – exige item classe A",IF(AND(Q65="C",D65&lt;&gt;"Alegação da defesa (classe C)"),"NÃO – item classe C",IF(AND(D65="Alegação da defesa (classe C)",Q65&lt;&gt;"C"),"NÃO – item não é classe C",IF(D65="Indícios técnicos de alteração",IF(L65="Sim","Sim","NÃO – exige unanimidade"),IF(K65&gt;=2,"Sim","NÃO – sem maioria")))))))</f>
        <v/>
      </c>
      <c r="P65" s="16">
        <f>IF(C65="","",IF(COUNTIF(C66:C$302,C65)=0,C65,""))</f>
        <v/>
      </c>
      <c r="Q65" s="16">
        <f>IF(C65="","",IFERROR(LEFT(INDEX(Custodia!$U$2:$U$301,MATCH(C65,Custodia!$A$2:$A$301,0)),1),"?"))</f>
        <v/>
      </c>
    </row>
    <row r="66">
      <c r="A66" s="15" t="n"/>
      <c r="B66" s="18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6">
        <f>IF(A66="","",COUNTIF(F66,"A favor")+COUNTIF(H66,"A favor")+COUNTIF(J66,"A favor"))</f>
        <v/>
      </c>
      <c r="L66" s="16">
        <f>IF(A66="","",IF(K66=3,"Sim","Não"))</f>
        <v/>
      </c>
      <c r="M66" s="16">
        <f>IF(C66="","",COUNTIFS(Red_Team!$B$2:$B$301,C66,Red_Team!$I$2:$I$301,"Aberta"))</f>
        <v/>
      </c>
      <c r="N66" s="15" t="n"/>
      <c r="O66" s="16">
        <f>IF(A66="","",IF(M66&gt;0,"NÃO – objeções abertas",IF(AND(D66="Autenticidade confirmada (origem institucional)",Q66&lt;&gt;"A"),"NÃO – exige item classe A",IF(AND(Q66="C",D66&lt;&gt;"Alegação da defesa (classe C)"),"NÃO – item classe C",IF(AND(D66="Alegação da defesa (classe C)",Q66&lt;&gt;"C"),"NÃO – item não é classe C",IF(D66="Indícios técnicos de alteração",IF(L66="Sim","Sim","NÃO – exige unanimidade"),IF(K66&gt;=2,"Sim","NÃO – sem maioria")))))))</f>
        <v/>
      </c>
      <c r="P66" s="16">
        <f>IF(C66="","",IF(COUNTIF(C67:C$302,C66)=0,C66,""))</f>
        <v/>
      </c>
      <c r="Q66" s="16">
        <f>IF(C66="","",IFERROR(LEFT(INDEX(Custodia!$U$2:$U$301,MATCH(C66,Custodia!$A$2:$A$301,0)),1),"?"))</f>
        <v/>
      </c>
    </row>
    <row r="67">
      <c r="A67" s="15" t="n"/>
      <c r="B67" s="18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6">
        <f>IF(A67="","",COUNTIF(F67,"A favor")+COUNTIF(H67,"A favor")+COUNTIF(J67,"A favor"))</f>
        <v/>
      </c>
      <c r="L67" s="16">
        <f>IF(A67="","",IF(K67=3,"Sim","Não"))</f>
        <v/>
      </c>
      <c r="M67" s="16">
        <f>IF(C67="","",COUNTIFS(Red_Team!$B$2:$B$301,C67,Red_Team!$I$2:$I$301,"Aberta"))</f>
        <v/>
      </c>
      <c r="N67" s="15" t="n"/>
      <c r="O67" s="16">
        <f>IF(A67="","",IF(M67&gt;0,"NÃO – objeções abertas",IF(AND(D67="Autenticidade confirmada (origem institucional)",Q67&lt;&gt;"A"),"NÃO – exige item classe A",IF(AND(Q67="C",D67&lt;&gt;"Alegação da defesa (classe C)"),"NÃO – item classe C",IF(AND(D67="Alegação da defesa (classe C)",Q67&lt;&gt;"C"),"NÃO – item não é classe C",IF(D67="Indícios técnicos de alteração",IF(L67="Sim","Sim","NÃO – exige unanimidade"),IF(K67&gt;=2,"Sim","NÃO – sem maioria")))))))</f>
        <v/>
      </c>
      <c r="P67" s="16">
        <f>IF(C67="","",IF(COUNTIF(C68:C$302,C67)=0,C67,""))</f>
        <v/>
      </c>
      <c r="Q67" s="16">
        <f>IF(C67="","",IFERROR(LEFT(INDEX(Custodia!$U$2:$U$301,MATCH(C67,Custodia!$A$2:$A$301,0)),1),"?"))</f>
        <v/>
      </c>
    </row>
    <row r="68">
      <c r="A68" s="15" t="n"/>
      <c r="B68" s="18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6">
        <f>IF(A68="","",COUNTIF(F68,"A favor")+COUNTIF(H68,"A favor")+COUNTIF(J68,"A favor"))</f>
        <v/>
      </c>
      <c r="L68" s="16">
        <f>IF(A68="","",IF(K68=3,"Sim","Não"))</f>
        <v/>
      </c>
      <c r="M68" s="16">
        <f>IF(C68="","",COUNTIFS(Red_Team!$B$2:$B$301,C68,Red_Team!$I$2:$I$301,"Aberta"))</f>
        <v/>
      </c>
      <c r="N68" s="15" t="n"/>
      <c r="O68" s="16">
        <f>IF(A68="","",IF(M68&gt;0,"NÃO – objeções abertas",IF(AND(D68="Autenticidade confirmada (origem institucional)",Q68&lt;&gt;"A"),"NÃO – exige item classe A",IF(AND(Q68="C",D68&lt;&gt;"Alegação da defesa (classe C)"),"NÃO – item classe C",IF(AND(D68="Alegação da defesa (classe C)",Q68&lt;&gt;"C"),"NÃO – item não é classe C",IF(D68="Indícios técnicos de alteração",IF(L68="Sim","Sim","NÃO – exige unanimidade"),IF(K68&gt;=2,"Sim","NÃO – sem maioria")))))))</f>
        <v/>
      </c>
      <c r="P68" s="16">
        <f>IF(C68="","",IF(COUNTIF(C69:C$302,C68)=0,C68,""))</f>
        <v/>
      </c>
      <c r="Q68" s="16">
        <f>IF(C68="","",IFERROR(LEFT(INDEX(Custodia!$U$2:$U$301,MATCH(C68,Custodia!$A$2:$A$301,0)),1),"?"))</f>
        <v/>
      </c>
    </row>
    <row r="69">
      <c r="A69" s="15" t="n"/>
      <c r="B69" s="18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6">
        <f>IF(A69="","",COUNTIF(F69,"A favor")+COUNTIF(H69,"A favor")+COUNTIF(J69,"A favor"))</f>
        <v/>
      </c>
      <c r="L69" s="16">
        <f>IF(A69="","",IF(K69=3,"Sim","Não"))</f>
        <v/>
      </c>
      <c r="M69" s="16">
        <f>IF(C69="","",COUNTIFS(Red_Team!$B$2:$B$301,C69,Red_Team!$I$2:$I$301,"Aberta"))</f>
        <v/>
      </c>
      <c r="N69" s="15" t="n"/>
      <c r="O69" s="16">
        <f>IF(A69="","",IF(M69&gt;0,"NÃO – objeções abertas",IF(AND(D69="Autenticidade confirmada (origem institucional)",Q69&lt;&gt;"A"),"NÃO – exige item classe A",IF(AND(Q69="C",D69&lt;&gt;"Alegação da defesa (classe C)"),"NÃO – item classe C",IF(AND(D69="Alegação da defesa (classe C)",Q69&lt;&gt;"C"),"NÃO – item não é classe C",IF(D69="Indícios técnicos de alteração",IF(L69="Sim","Sim","NÃO – exige unanimidade"),IF(K69&gt;=2,"Sim","NÃO – sem maioria")))))))</f>
        <v/>
      </c>
      <c r="P69" s="16">
        <f>IF(C69="","",IF(COUNTIF(C70:C$302,C69)=0,C69,""))</f>
        <v/>
      </c>
      <c r="Q69" s="16">
        <f>IF(C69="","",IFERROR(LEFT(INDEX(Custodia!$U$2:$U$301,MATCH(C69,Custodia!$A$2:$A$301,0)),1),"?"))</f>
        <v/>
      </c>
    </row>
    <row r="70">
      <c r="A70" s="15" t="n"/>
      <c r="B70" s="18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6">
        <f>IF(A70="","",COUNTIF(F70,"A favor")+COUNTIF(H70,"A favor")+COUNTIF(J70,"A favor"))</f>
        <v/>
      </c>
      <c r="L70" s="16">
        <f>IF(A70="","",IF(K70=3,"Sim","Não"))</f>
        <v/>
      </c>
      <c r="M70" s="16">
        <f>IF(C70="","",COUNTIFS(Red_Team!$B$2:$B$301,C70,Red_Team!$I$2:$I$301,"Aberta"))</f>
        <v/>
      </c>
      <c r="N70" s="15" t="n"/>
      <c r="O70" s="16">
        <f>IF(A70="","",IF(M70&gt;0,"NÃO – objeções abertas",IF(AND(D70="Autenticidade confirmada (origem institucional)",Q70&lt;&gt;"A"),"NÃO – exige item classe A",IF(AND(Q70="C",D70&lt;&gt;"Alegação da defesa (classe C)"),"NÃO – item classe C",IF(AND(D70="Alegação da defesa (classe C)",Q70&lt;&gt;"C"),"NÃO – item não é classe C",IF(D70="Indícios técnicos de alteração",IF(L70="Sim","Sim","NÃO – exige unanimidade"),IF(K70&gt;=2,"Sim","NÃO – sem maioria")))))))</f>
        <v/>
      </c>
      <c r="P70" s="16">
        <f>IF(C70="","",IF(COUNTIF(C71:C$302,C70)=0,C70,""))</f>
        <v/>
      </c>
      <c r="Q70" s="16">
        <f>IF(C70="","",IFERROR(LEFT(INDEX(Custodia!$U$2:$U$301,MATCH(C70,Custodia!$A$2:$A$301,0)),1),"?"))</f>
        <v/>
      </c>
    </row>
    <row r="71">
      <c r="A71" s="15" t="n"/>
      <c r="B71" s="18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6">
        <f>IF(A71="","",COUNTIF(F71,"A favor")+COUNTIF(H71,"A favor")+COUNTIF(J71,"A favor"))</f>
        <v/>
      </c>
      <c r="L71" s="16">
        <f>IF(A71="","",IF(K71=3,"Sim","Não"))</f>
        <v/>
      </c>
      <c r="M71" s="16">
        <f>IF(C71="","",COUNTIFS(Red_Team!$B$2:$B$301,C71,Red_Team!$I$2:$I$301,"Aberta"))</f>
        <v/>
      </c>
      <c r="N71" s="15" t="n"/>
      <c r="O71" s="16">
        <f>IF(A71="","",IF(M71&gt;0,"NÃO – objeções abertas",IF(AND(D71="Autenticidade confirmada (origem institucional)",Q71&lt;&gt;"A"),"NÃO – exige item classe A",IF(AND(Q71="C",D71&lt;&gt;"Alegação da defesa (classe C)"),"NÃO – item classe C",IF(AND(D71="Alegação da defesa (classe C)",Q71&lt;&gt;"C"),"NÃO – item não é classe C",IF(D71="Indícios técnicos de alteração",IF(L71="Sim","Sim","NÃO – exige unanimidade"),IF(K71&gt;=2,"Sim","NÃO – sem maioria")))))))</f>
        <v/>
      </c>
      <c r="P71" s="16">
        <f>IF(C71="","",IF(COUNTIF(C72:C$302,C71)=0,C71,""))</f>
        <v/>
      </c>
      <c r="Q71" s="16">
        <f>IF(C71="","",IFERROR(LEFT(INDEX(Custodia!$U$2:$U$301,MATCH(C71,Custodia!$A$2:$A$301,0)),1),"?"))</f>
        <v/>
      </c>
    </row>
    <row r="72">
      <c r="A72" s="15" t="n"/>
      <c r="B72" s="18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6">
        <f>IF(A72="","",COUNTIF(F72,"A favor")+COUNTIF(H72,"A favor")+COUNTIF(J72,"A favor"))</f>
        <v/>
      </c>
      <c r="L72" s="16">
        <f>IF(A72="","",IF(K72=3,"Sim","Não"))</f>
        <v/>
      </c>
      <c r="M72" s="16">
        <f>IF(C72="","",COUNTIFS(Red_Team!$B$2:$B$301,C72,Red_Team!$I$2:$I$301,"Aberta"))</f>
        <v/>
      </c>
      <c r="N72" s="15" t="n"/>
      <c r="O72" s="16">
        <f>IF(A72="","",IF(M72&gt;0,"NÃO – objeções abertas",IF(AND(D72="Autenticidade confirmada (origem institucional)",Q72&lt;&gt;"A"),"NÃO – exige item classe A",IF(AND(Q72="C",D72&lt;&gt;"Alegação da defesa (classe C)"),"NÃO – item classe C",IF(AND(D72="Alegação da defesa (classe C)",Q72&lt;&gt;"C"),"NÃO – item não é classe C",IF(D72="Indícios técnicos de alteração",IF(L72="Sim","Sim","NÃO – exige unanimidade"),IF(K72&gt;=2,"Sim","NÃO – sem maioria")))))))</f>
        <v/>
      </c>
      <c r="P72" s="16">
        <f>IF(C72="","",IF(COUNTIF(C73:C$302,C72)=0,C72,""))</f>
        <v/>
      </c>
      <c r="Q72" s="16">
        <f>IF(C72="","",IFERROR(LEFT(INDEX(Custodia!$U$2:$U$301,MATCH(C72,Custodia!$A$2:$A$301,0)),1),"?"))</f>
        <v/>
      </c>
    </row>
    <row r="73">
      <c r="A73" s="15" t="n"/>
      <c r="B73" s="18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6">
        <f>IF(A73="","",COUNTIF(F73,"A favor")+COUNTIF(H73,"A favor")+COUNTIF(J73,"A favor"))</f>
        <v/>
      </c>
      <c r="L73" s="16">
        <f>IF(A73="","",IF(K73=3,"Sim","Não"))</f>
        <v/>
      </c>
      <c r="M73" s="16">
        <f>IF(C73="","",COUNTIFS(Red_Team!$B$2:$B$301,C73,Red_Team!$I$2:$I$301,"Aberta"))</f>
        <v/>
      </c>
      <c r="N73" s="15" t="n"/>
      <c r="O73" s="16">
        <f>IF(A73="","",IF(M73&gt;0,"NÃO – objeções abertas",IF(AND(D73="Autenticidade confirmada (origem institucional)",Q73&lt;&gt;"A"),"NÃO – exige item classe A",IF(AND(Q73="C",D73&lt;&gt;"Alegação da defesa (classe C)"),"NÃO – item classe C",IF(AND(D73="Alegação da defesa (classe C)",Q73&lt;&gt;"C"),"NÃO – item não é classe C",IF(D73="Indícios técnicos de alteração",IF(L73="Sim","Sim","NÃO – exige unanimidade"),IF(K73&gt;=2,"Sim","NÃO – sem maioria")))))))</f>
        <v/>
      </c>
      <c r="P73" s="16">
        <f>IF(C73="","",IF(COUNTIF(C74:C$302,C73)=0,C73,""))</f>
        <v/>
      </c>
      <c r="Q73" s="16">
        <f>IF(C73="","",IFERROR(LEFT(INDEX(Custodia!$U$2:$U$301,MATCH(C73,Custodia!$A$2:$A$301,0)),1),"?"))</f>
        <v/>
      </c>
    </row>
    <row r="74">
      <c r="A74" s="15" t="n"/>
      <c r="B74" s="18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6">
        <f>IF(A74="","",COUNTIF(F74,"A favor")+COUNTIF(H74,"A favor")+COUNTIF(J74,"A favor"))</f>
        <v/>
      </c>
      <c r="L74" s="16">
        <f>IF(A74="","",IF(K74=3,"Sim","Não"))</f>
        <v/>
      </c>
      <c r="M74" s="16">
        <f>IF(C74="","",COUNTIFS(Red_Team!$B$2:$B$301,C74,Red_Team!$I$2:$I$301,"Aberta"))</f>
        <v/>
      </c>
      <c r="N74" s="15" t="n"/>
      <c r="O74" s="16">
        <f>IF(A74="","",IF(M74&gt;0,"NÃO – objeções abertas",IF(AND(D74="Autenticidade confirmada (origem institucional)",Q74&lt;&gt;"A"),"NÃO – exige item classe A",IF(AND(Q74="C",D74&lt;&gt;"Alegação da defesa (classe C)"),"NÃO – item classe C",IF(AND(D74="Alegação da defesa (classe C)",Q74&lt;&gt;"C"),"NÃO – item não é classe C",IF(D74="Indícios técnicos de alteração",IF(L74="Sim","Sim","NÃO – exige unanimidade"),IF(K74&gt;=2,"Sim","NÃO – sem maioria")))))))</f>
        <v/>
      </c>
      <c r="P74" s="16">
        <f>IF(C74="","",IF(COUNTIF(C75:C$302,C74)=0,C74,""))</f>
        <v/>
      </c>
      <c r="Q74" s="16">
        <f>IF(C74="","",IFERROR(LEFT(INDEX(Custodia!$U$2:$U$301,MATCH(C74,Custodia!$A$2:$A$301,0)),1),"?"))</f>
        <v/>
      </c>
    </row>
    <row r="75">
      <c r="A75" s="15" t="n"/>
      <c r="B75" s="18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6">
        <f>IF(A75="","",COUNTIF(F75,"A favor")+COUNTIF(H75,"A favor")+COUNTIF(J75,"A favor"))</f>
        <v/>
      </c>
      <c r="L75" s="16">
        <f>IF(A75="","",IF(K75=3,"Sim","Não"))</f>
        <v/>
      </c>
      <c r="M75" s="16">
        <f>IF(C75="","",COUNTIFS(Red_Team!$B$2:$B$301,C75,Red_Team!$I$2:$I$301,"Aberta"))</f>
        <v/>
      </c>
      <c r="N75" s="15" t="n"/>
      <c r="O75" s="16">
        <f>IF(A75="","",IF(M75&gt;0,"NÃO – objeções abertas",IF(AND(D75="Autenticidade confirmada (origem institucional)",Q75&lt;&gt;"A"),"NÃO – exige item classe A",IF(AND(Q75="C",D75&lt;&gt;"Alegação da defesa (classe C)"),"NÃO – item classe C",IF(AND(D75="Alegação da defesa (classe C)",Q75&lt;&gt;"C"),"NÃO – item não é classe C",IF(D75="Indícios técnicos de alteração",IF(L75="Sim","Sim","NÃO – exige unanimidade"),IF(K75&gt;=2,"Sim","NÃO – sem maioria")))))))</f>
        <v/>
      </c>
      <c r="P75" s="16">
        <f>IF(C75="","",IF(COUNTIF(C76:C$302,C75)=0,C75,""))</f>
        <v/>
      </c>
      <c r="Q75" s="16">
        <f>IF(C75="","",IFERROR(LEFT(INDEX(Custodia!$U$2:$U$301,MATCH(C75,Custodia!$A$2:$A$301,0)),1),"?"))</f>
        <v/>
      </c>
    </row>
    <row r="76">
      <c r="A76" s="15" t="n"/>
      <c r="B76" s="18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6">
        <f>IF(A76="","",COUNTIF(F76,"A favor")+COUNTIF(H76,"A favor")+COUNTIF(J76,"A favor"))</f>
        <v/>
      </c>
      <c r="L76" s="16">
        <f>IF(A76="","",IF(K76=3,"Sim","Não"))</f>
        <v/>
      </c>
      <c r="M76" s="16">
        <f>IF(C76="","",COUNTIFS(Red_Team!$B$2:$B$301,C76,Red_Team!$I$2:$I$301,"Aberta"))</f>
        <v/>
      </c>
      <c r="N76" s="15" t="n"/>
      <c r="O76" s="16">
        <f>IF(A76="","",IF(M76&gt;0,"NÃO – objeções abertas",IF(AND(D76="Autenticidade confirmada (origem institucional)",Q76&lt;&gt;"A"),"NÃO – exige item classe A",IF(AND(Q76="C",D76&lt;&gt;"Alegação da defesa (classe C)"),"NÃO – item classe C",IF(AND(D76="Alegação da defesa (classe C)",Q76&lt;&gt;"C"),"NÃO – item não é classe C",IF(D76="Indícios técnicos de alteração",IF(L76="Sim","Sim","NÃO – exige unanimidade"),IF(K76&gt;=2,"Sim","NÃO – sem maioria")))))))</f>
        <v/>
      </c>
      <c r="P76" s="16">
        <f>IF(C76="","",IF(COUNTIF(C77:C$302,C76)=0,C76,""))</f>
        <v/>
      </c>
      <c r="Q76" s="16">
        <f>IF(C76="","",IFERROR(LEFT(INDEX(Custodia!$U$2:$U$301,MATCH(C76,Custodia!$A$2:$A$301,0)),1),"?"))</f>
        <v/>
      </c>
    </row>
    <row r="77">
      <c r="A77" s="15" t="n"/>
      <c r="B77" s="18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6">
        <f>IF(A77="","",COUNTIF(F77,"A favor")+COUNTIF(H77,"A favor")+COUNTIF(J77,"A favor"))</f>
        <v/>
      </c>
      <c r="L77" s="16">
        <f>IF(A77="","",IF(K77=3,"Sim","Não"))</f>
        <v/>
      </c>
      <c r="M77" s="16">
        <f>IF(C77="","",COUNTIFS(Red_Team!$B$2:$B$301,C77,Red_Team!$I$2:$I$301,"Aberta"))</f>
        <v/>
      </c>
      <c r="N77" s="15" t="n"/>
      <c r="O77" s="16">
        <f>IF(A77="","",IF(M77&gt;0,"NÃO – objeções abertas",IF(AND(D77="Autenticidade confirmada (origem institucional)",Q77&lt;&gt;"A"),"NÃO – exige item classe A",IF(AND(Q77="C",D77&lt;&gt;"Alegação da defesa (classe C)"),"NÃO – item classe C",IF(AND(D77="Alegação da defesa (classe C)",Q77&lt;&gt;"C"),"NÃO – item não é classe C",IF(D77="Indícios técnicos de alteração",IF(L77="Sim","Sim","NÃO – exige unanimidade"),IF(K77&gt;=2,"Sim","NÃO – sem maioria")))))))</f>
        <v/>
      </c>
      <c r="P77" s="16">
        <f>IF(C77="","",IF(COUNTIF(C78:C$302,C77)=0,C77,""))</f>
        <v/>
      </c>
      <c r="Q77" s="16">
        <f>IF(C77="","",IFERROR(LEFT(INDEX(Custodia!$U$2:$U$301,MATCH(C77,Custodia!$A$2:$A$301,0)),1),"?"))</f>
        <v/>
      </c>
    </row>
    <row r="78">
      <c r="A78" s="15" t="n"/>
      <c r="B78" s="18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6">
        <f>IF(A78="","",COUNTIF(F78,"A favor")+COUNTIF(H78,"A favor")+COUNTIF(J78,"A favor"))</f>
        <v/>
      </c>
      <c r="L78" s="16">
        <f>IF(A78="","",IF(K78=3,"Sim","Não"))</f>
        <v/>
      </c>
      <c r="M78" s="16">
        <f>IF(C78="","",COUNTIFS(Red_Team!$B$2:$B$301,C78,Red_Team!$I$2:$I$301,"Aberta"))</f>
        <v/>
      </c>
      <c r="N78" s="15" t="n"/>
      <c r="O78" s="16">
        <f>IF(A78="","",IF(M78&gt;0,"NÃO – objeções abertas",IF(AND(D78="Autenticidade confirmada (origem institucional)",Q78&lt;&gt;"A"),"NÃO – exige item classe A",IF(AND(Q78="C",D78&lt;&gt;"Alegação da defesa (classe C)"),"NÃO – item classe C",IF(AND(D78="Alegação da defesa (classe C)",Q78&lt;&gt;"C"),"NÃO – item não é classe C",IF(D78="Indícios técnicos de alteração",IF(L78="Sim","Sim","NÃO – exige unanimidade"),IF(K78&gt;=2,"Sim","NÃO – sem maioria")))))))</f>
        <v/>
      </c>
      <c r="P78" s="16">
        <f>IF(C78="","",IF(COUNTIF(C79:C$302,C78)=0,C78,""))</f>
        <v/>
      </c>
      <c r="Q78" s="16">
        <f>IF(C78="","",IFERROR(LEFT(INDEX(Custodia!$U$2:$U$301,MATCH(C78,Custodia!$A$2:$A$301,0)),1),"?"))</f>
        <v/>
      </c>
    </row>
    <row r="79">
      <c r="A79" s="15" t="n"/>
      <c r="B79" s="18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6">
        <f>IF(A79="","",COUNTIF(F79,"A favor")+COUNTIF(H79,"A favor")+COUNTIF(J79,"A favor"))</f>
        <v/>
      </c>
      <c r="L79" s="16">
        <f>IF(A79="","",IF(K79=3,"Sim","Não"))</f>
        <v/>
      </c>
      <c r="M79" s="16">
        <f>IF(C79="","",COUNTIFS(Red_Team!$B$2:$B$301,C79,Red_Team!$I$2:$I$301,"Aberta"))</f>
        <v/>
      </c>
      <c r="N79" s="15" t="n"/>
      <c r="O79" s="16">
        <f>IF(A79="","",IF(M79&gt;0,"NÃO – objeções abertas",IF(AND(D79="Autenticidade confirmada (origem institucional)",Q79&lt;&gt;"A"),"NÃO – exige item classe A",IF(AND(Q79="C",D79&lt;&gt;"Alegação da defesa (classe C)"),"NÃO – item classe C",IF(AND(D79="Alegação da defesa (classe C)",Q79&lt;&gt;"C"),"NÃO – item não é classe C",IF(D79="Indícios técnicos de alteração",IF(L79="Sim","Sim","NÃO – exige unanimidade"),IF(K79&gt;=2,"Sim","NÃO – sem maioria")))))))</f>
        <v/>
      </c>
      <c r="P79" s="16">
        <f>IF(C79="","",IF(COUNTIF(C80:C$302,C79)=0,C79,""))</f>
        <v/>
      </c>
      <c r="Q79" s="16">
        <f>IF(C79="","",IFERROR(LEFT(INDEX(Custodia!$U$2:$U$301,MATCH(C79,Custodia!$A$2:$A$301,0)),1),"?"))</f>
        <v/>
      </c>
    </row>
    <row r="80">
      <c r="A80" s="15" t="n"/>
      <c r="B80" s="18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6">
        <f>IF(A80="","",COUNTIF(F80,"A favor")+COUNTIF(H80,"A favor")+COUNTIF(J80,"A favor"))</f>
        <v/>
      </c>
      <c r="L80" s="16">
        <f>IF(A80="","",IF(K80=3,"Sim","Não"))</f>
        <v/>
      </c>
      <c r="M80" s="16">
        <f>IF(C80="","",COUNTIFS(Red_Team!$B$2:$B$301,C80,Red_Team!$I$2:$I$301,"Aberta"))</f>
        <v/>
      </c>
      <c r="N80" s="15" t="n"/>
      <c r="O80" s="16">
        <f>IF(A80="","",IF(M80&gt;0,"NÃO – objeções abertas",IF(AND(D80="Autenticidade confirmada (origem institucional)",Q80&lt;&gt;"A"),"NÃO – exige item classe A",IF(AND(Q80="C",D80&lt;&gt;"Alegação da defesa (classe C)"),"NÃO – item classe C",IF(AND(D80="Alegação da defesa (classe C)",Q80&lt;&gt;"C"),"NÃO – item não é classe C",IF(D80="Indícios técnicos de alteração",IF(L80="Sim","Sim","NÃO – exige unanimidade"),IF(K80&gt;=2,"Sim","NÃO – sem maioria")))))))</f>
        <v/>
      </c>
      <c r="P80" s="16">
        <f>IF(C80="","",IF(COUNTIF(C81:C$302,C80)=0,C80,""))</f>
        <v/>
      </c>
      <c r="Q80" s="16">
        <f>IF(C80="","",IFERROR(LEFT(INDEX(Custodia!$U$2:$U$301,MATCH(C80,Custodia!$A$2:$A$301,0)),1),"?"))</f>
        <v/>
      </c>
    </row>
    <row r="81">
      <c r="A81" s="15" t="n"/>
      <c r="B81" s="18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6">
        <f>IF(A81="","",COUNTIF(F81,"A favor")+COUNTIF(H81,"A favor")+COUNTIF(J81,"A favor"))</f>
        <v/>
      </c>
      <c r="L81" s="16">
        <f>IF(A81="","",IF(K81=3,"Sim","Não"))</f>
        <v/>
      </c>
      <c r="M81" s="16">
        <f>IF(C81="","",COUNTIFS(Red_Team!$B$2:$B$301,C81,Red_Team!$I$2:$I$301,"Aberta"))</f>
        <v/>
      </c>
      <c r="N81" s="15" t="n"/>
      <c r="O81" s="16">
        <f>IF(A81="","",IF(M81&gt;0,"NÃO – objeções abertas",IF(AND(D81="Autenticidade confirmada (origem institucional)",Q81&lt;&gt;"A"),"NÃO – exige item classe A",IF(AND(Q81="C",D81&lt;&gt;"Alegação da defesa (classe C)"),"NÃO – item classe C",IF(AND(D81="Alegação da defesa (classe C)",Q81&lt;&gt;"C"),"NÃO – item não é classe C",IF(D81="Indícios técnicos de alteração",IF(L81="Sim","Sim","NÃO – exige unanimidade"),IF(K81&gt;=2,"Sim","NÃO – sem maioria")))))))</f>
        <v/>
      </c>
      <c r="P81" s="16">
        <f>IF(C81="","",IF(COUNTIF(C82:C$302,C81)=0,C81,""))</f>
        <v/>
      </c>
      <c r="Q81" s="16">
        <f>IF(C81="","",IFERROR(LEFT(INDEX(Custodia!$U$2:$U$301,MATCH(C81,Custodia!$A$2:$A$301,0)),1),"?"))</f>
        <v/>
      </c>
    </row>
    <row r="82">
      <c r="A82" s="15" t="n"/>
      <c r="B82" s="18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6">
        <f>IF(A82="","",COUNTIF(F82,"A favor")+COUNTIF(H82,"A favor")+COUNTIF(J82,"A favor"))</f>
        <v/>
      </c>
      <c r="L82" s="16">
        <f>IF(A82="","",IF(K82=3,"Sim","Não"))</f>
        <v/>
      </c>
      <c r="M82" s="16">
        <f>IF(C82="","",COUNTIFS(Red_Team!$B$2:$B$301,C82,Red_Team!$I$2:$I$301,"Aberta"))</f>
        <v/>
      </c>
      <c r="N82" s="15" t="n"/>
      <c r="O82" s="16">
        <f>IF(A82="","",IF(M82&gt;0,"NÃO – objeções abertas",IF(AND(D82="Autenticidade confirmada (origem institucional)",Q82&lt;&gt;"A"),"NÃO – exige item classe A",IF(AND(Q82="C",D82&lt;&gt;"Alegação da defesa (classe C)"),"NÃO – item classe C",IF(AND(D82="Alegação da defesa (classe C)",Q82&lt;&gt;"C"),"NÃO – item não é classe C",IF(D82="Indícios técnicos de alteração",IF(L82="Sim","Sim","NÃO – exige unanimidade"),IF(K82&gt;=2,"Sim","NÃO – sem maioria")))))))</f>
        <v/>
      </c>
      <c r="P82" s="16">
        <f>IF(C82="","",IF(COUNTIF(C83:C$302,C82)=0,C82,""))</f>
        <v/>
      </c>
      <c r="Q82" s="16">
        <f>IF(C82="","",IFERROR(LEFT(INDEX(Custodia!$U$2:$U$301,MATCH(C82,Custodia!$A$2:$A$301,0)),1),"?"))</f>
        <v/>
      </c>
    </row>
    <row r="83">
      <c r="A83" s="15" t="n"/>
      <c r="B83" s="18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6">
        <f>IF(A83="","",COUNTIF(F83,"A favor")+COUNTIF(H83,"A favor")+COUNTIF(J83,"A favor"))</f>
        <v/>
      </c>
      <c r="L83" s="16">
        <f>IF(A83="","",IF(K83=3,"Sim","Não"))</f>
        <v/>
      </c>
      <c r="M83" s="16">
        <f>IF(C83="","",COUNTIFS(Red_Team!$B$2:$B$301,C83,Red_Team!$I$2:$I$301,"Aberta"))</f>
        <v/>
      </c>
      <c r="N83" s="15" t="n"/>
      <c r="O83" s="16">
        <f>IF(A83="","",IF(M83&gt;0,"NÃO – objeções abertas",IF(AND(D83="Autenticidade confirmada (origem institucional)",Q83&lt;&gt;"A"),"NÃO – exige item classe A",IF(AND(Q83="C",D83&lt;&gt;"Alegação da defesa (classe C)"),"NÃO – item classe C",IF(AND(D83="Alegação da defesa (classe C)",Q83&lt;&gt;"C"),"NÃO – item não é classe C",IF(D83="Indícios técnicos de alteração",IF(L83="Sim","Sim","NÃO – exige unanimidade"),IF(K83&gt;=2,"Sim","NÃO – sem maioria")))))))</f>
        <v/>
      </c>
      <c r="P83" s="16">
        <f>IF(C83="","",IF(COUNTIF(C84:C$302,C83)=0,C83,""))</f>
        <v/>
      </c>
      <c r="Q83" s="16">
        <f>IF(C83="","",IFERROR(LEFT(INDEX(Custodia!$U$2:$U$301,MATCH(C83,Custodia!$A$2:$A$301,0)),1),"?"))</f>
        <v/>
      </c>
    </row>
    <row r="84">
      <c r="A84" s="15" t="n"/>
      <c r="B84" s="18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6">
        <f>IF(A84="","",COUNTIF(F84,"A favor")+COUNTIF(H84,"A favor")+COUNTIF(J84,"A favor"))</f>
        <v/>
      </c>
      <c r="L84" s="16">
        <f>IF(A84="","",IF(K84=3,"Sim","Não"))</f>
        <v/>
      </c>
      <c r="M84" s="16">
        <f>IF(C84="","",COUNTIFS(Red_Team!$B$2:$B$301,C84,Red_Team!$I$2:$I$301,"Aberta"))</f>
        <v/>
      </c>
      <c r="N84" s="15" t="n"/>
      <c r="O84" s="16">
        <f>IF(A84="","",IF(M84&gt;0,"NÃO – objeções abertas",IF(AND(D84="Autenticidade confirmada (origem institucional)",Q84&lt;&gt;"A"),"NÃO – exige item classe A",IF(AND(Q84="C",D84&lt;&gt;"Alegação da defesa (classe C)"),"NÃO – item classe C",IF(AND(D84="Alegação da defesa (classe C)",Q84&lt;&gt;"C"),"NÃO – item não é classe C",IF(D84="Indícios técnicos de alteração",IF(L84="Sim","Sim","NÃO – exige unanimidade"),IF(K84&gt;=2,"Sim","NÃO – sem maioria")))))))</f>
        <v/>
      </c>
      <c r="P84" s="16">
        <f>IF(C84="","",IF(COUNTIF(C85:C$302,C84)=0,C84,""))</f>
        <v/>
      </c>
      <c r="Q84" s="16">
        <f>IF(C84="","",IFERROR(LEFT(INDEX(Custodia!$U$2:$U$301,MATCH(C84,Custodia!$A$2:$A$301,0)),1),"?"))</f>
        <v/>
      </c>
    </row>
    <row r="85">
      <c r="A85" s="15" t="n"/>
      <c r="B85" s="18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6">
        <f>IF(A85="","",COUNTIF(F85,"A favor")+COUNTIF(H85,"A favor")+COUNTIF(J85,"A favor"))</f>
        <v/>
      </c>
      <c r="L85" s="16">
        <f>IF(A85="","",IF(K85=3,"Sim","Não"))</f>
        <v/>
      </c>
      <c r="M85" s="16">
        <f>IF(C85="","",COUNTIFS(Red_Team!$B$2:$B$301,C85,Red_Team!$I$2:$I$301,"Aberta"))</f>
        <v/>
      </c>
      <c r="N85" s="15" t="n"/>
      <c r="O85" s="16">
        <f>IF(A85="","",IF(M85&gt;0,"NÃO – objeções abertas",IF(AND(D85="Autenticidade confirmada (origem institucional)",Q85&lt;&gt;"A"),"NÃO – exige item classe A",IF(AND(Q85="C",D85&lt;&gt;"Alegação da defesa (classe C)"),"NÃO – item classe C",IF(AND(D85="Alegação da defesa (classe C)",Q85&lt;&gt;"C"),"NÃO – item não é classe C",IF(D85="Indícios técnicos de alteração",IF(L85="Sim","Sim","NÃO – exige unanimidade"),IF(K85&gt;=2,"Sim","NÃO – sem maioria")))))))</f>
        <v/>
      </c>
      <c r="P85" s="16">
        <f>IF(C85="","",IF(COUNTIF(C86:C$302,C85)=0,C85,""))</f>
        <v/>
      </c>
      <c r="Q85" s="16">
        <f>IF(C85="","",IFERROR(LEFT(INDEX(Custodia!$U$2:$U$301,MATCH(C85,Custodia!$A$2:$A$301,0)),1),"?"))</f>
        <v/>
      </c>
    </row>
    <row r="86">
      <c r="A86" s="15" t="n"/>
      <c r="B86" s="18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6">
        <f>IF(A86="","",COUNTIF(F86,"A favor")+COUNTIF(H86,"A favor")+COUNTIF(J86,"A favor"))</f>
        <v/>
      </c>
      <c r="L86" s="16">
        <f>IF(A86="","",IF(K86=3,"Sim","Não"))</f>
        <v/>
      </c>
      <c r="M86" s="16">
        <f>IF(C86="","",COUNTIFS(Red_Team!$B$2:$B$301,C86,Red_Team!$I$2:$I$301,"Aberta"))</f>
        <v/>
      </c>
      <c r="N86" s="15" t="n"/>
      <c r="O86" s="16">
        <f>IF(A86="","",IF(M86&gt;0,"NÃO – objeções abertas",IF(AND(D86="Autenticidade confirmada (origem institucional)",Q86&lt;&gt;"A"),"NÃO – exige item classe A",IF(AND(Q86="C",D86&lt;&gt;"Alegação da defesa (classe C)"),"NÃO – item classe C",IF(AND(D86="Alegação da defesa (classe C)",Q86&lt;&gt;"C"),"NÃO – item não é classe C",IF(D86="Indícios técnicos de alteração",IF(L86="Sim","Sim","NÃO – exige unanimidade"),IF(K86&gt;=2,"Sim","NÃO – sem maioria")))))))</f>
        <v/>
      </c>
      <c r="P86" s="16">
        <f>IF(C86="","",IF(COUNTIF(C87:C$302,C86)=0,C86,""))</f>
        <v/>
      </c>
      <c r="Q86" s="16">
        <f>IF(C86="","",IFERROR(LEFT(INDEX(Custodia!$U$2:$U$301,MATCH(C86,Custodia!$A$2:$A$301,0)),1),"?"))</f>
        <v/>
      </c>
    </row>
    <row r="87">
      <c r="A87" s="15" t="n"/>
      <c r="B87" s="18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6">
        <f>IF(A87="","",COUNTIF(F87,"A favor")+COUNTIF(H87,"A favor")+COUNTIF(J87,"A favor"))</f>
        <v/>
      </c>
      <c r="L87" s="16">
        <f>IF(A87="","",IF(K87=3,"Sim","Não"))</f>
        <v/>
      </c>
      <c r="M87" s="16">
        <f>IF(C87="","",COUNTIFS(Red_Team!$B$2:$B$301,C87,Red_Team!$I$2:$I$301,"Aberta"))</f>
        <v/>
      </c>
      <c r="N87" s="15" t="n"/>
      <c r="O87" s="16">
        <f>IF(A87="","",IF(M87&gt;0,"NÃO – objeções abertas",IF(AND(D87="Autenticidade confirmada (origem institucional)",Q87&lt;&gt;"A"),"NÃO – exige item classe A",IF(AND(Q87="C",D87&lt;&gt;"Alegação da defesa (classe C)"),"NÃO – item classe C",IF(AND(D87="Alegação da defesa (classe C)",Q87&lt;&gt;"C"),"NÃO – item não é classe C",IF(D87="Indícios técnicos de alteração",IF(L87="Sim","Sim","NÃO – exige unanimidade"),IF(K87&gt;=2,"Sim","NÃO – sem maioria")))))))</f>
        <v/>
      </c>
      <c r="P87" s="16">
        <f>IF(C87="","",IF(COUNTIF(C88:C$302,C87)=0,C87,""))</f>
        <v/>
      </c>
      <c r="Q87" s="16">
        <f>IF(C87="","",IFERROR(LEFT(INDEX(Custodia!$U$2:$U$301,MATCH(C87,Custodia!$A$2:$A$301,0)),1),"?"))</f>
        <v/>
      </c>
    </row>
    <row r="88">
      <c r="A88" s="15" t="n"/>
      <c r="B88" s="18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6">
        <f>IF(A88="","",COUNTIF(F88,"A favor")+COUNTIF(H88,"A favor")+COUNTIF(J88,"A favor"))</f>
        <v/>
      </c>
      <c r="L88" s="16">
        <f>IF(A88="","",IF(K88=3,"Sim","Não"))</f>
        <v/>
      </c>
      <c r="M88" s="16">
        <f>IF(C88="","",COUNTIFS(Red_Team!$B$2:$B$301,C88,Red_Team!$I$2:$I$301,"Aberta"))</f>
        <v/>
      </c>
      <c r="N88" s="15" t="n"/>
      <c r="O88" s="16">
        <f>IF(A88="","",IF(M88&gt;0,"NÃO – objeções abertas",IF(AND(D88="Autenticidade confirmada (origem institucional)",Q88&lt;&gt;"A"),"NÃO – exige item classe A",IF(AND(Q88="C",D88&lt;&gt;"Alegação da defesa (classe C)"),"NÃO – item classe C",IF(AND(D88="Alegação da defesa (classe C)",Q88&lt;&gt;"C"),"NÃO – item não é classe C",IF(D88="Indícios técnicos de alteração",IF(L88="Sim","Sim","NÃO – exige unanimidade"),IF(K88&gt;=2,"Sim","NÃO – sem maioria")))))))</f>
        <v/>
      </c>
      <c r="P88" s="16">
        <f>IF(C88="","",IF(COUNTIF(C89:C$302,C88)=0,C88,""))</f>
        <v/>
      </c>
      <c r="Q88" s="16">
        <f>IF(C88="","",IFERROR(LEFT(INDEX(Custodia!$U$2:$U$301,MATCH(C88,Custodia!$A$2:$A$301,0)),1),"?"))</f>
        <v/>
      </c>
    </row>
    <row r="89">
      <c r="A89" s="15" t="n"/>
      <c r="B89" s="18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6">
        <f>IF(A89="","",COUNTIF(F89,"A favor")+COUNTIF(H89,"A favor")+COUNTIF(J89,"A favor"))</f>
        <v/>
      </c>
      <c r="L89" s="16">
        <f>IF(A89="","",IF(K89=3,"Sim","Não"))</f>
        <v/>
      </c>
      <c r="M89" s="16">
        <f>IF(C89="","",COUNTIFS(Red_Team!$B$2:$B$301,C89,Red_Team!$I$2:$I$301,"Aberta"))</f>
        <v/>
      </c>
      <c r="N89" s="15" t="n"/>
      <c r="O89" s="16">
        <f>IF(A89="","",IF(M89&gt;0,"NÃO – objeções abertas",IF(AND(D89="Autenticidade confirmada (origem institucional)",Q89&lt;&gt;"A"),"NÃO – exige item classe A",IF(AND(Q89="C",D89&lt;&gt;"Alegação da defesa (classe C)"),"NÃO – item classe C",IF(AND(D89="Alegação da defesa (classe C)",Q89&lt;&gt;"C"),"NÃO – item não é classe C",IF(D89="Indícios técnicos de alteração",IF(L89="Sim","Sim","NÃO – exige unanimidade"),IF(K89&gt;=2,"Sim","NÃO – sem maioria")))))))</f>
        <v/>
      </c>
      <c r="P89" s="16">
        <f>IF(C89="","",IF(COUNTIF(C90:C$302,C89)=0,C89,""))</f>
        <v/>
      </c>
      <c r="Q89" s="16">
        <f>IF(C89="","",IFERROR(LEFT(INDEX(Custodia!$U$2:$U$301,MATCH(C89,Custodia!$A$2:$A$301,0)),1),"?"))</f>
        <v/>
      </c>
    </row>
    <row r="90">
      <c r="A90" s="15" t="n"/>
      <c r="B90" s="18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6">
        <f>IF(A90="","",COUNTIF(F90,"A favor")+COUNTIF(H90,"A favor")+COUNTIF(J90,"A favor"))</f>
        <v/>
      </c>
      <c r="L90" s="16">
        <f>IF(A90="","",IF(K90=3,"Sim","Não"))</f>
        <v/>
      </c>
      <c r="M90" s="16">
        <f>IF(C90="","",COUNTIFS(Red_Team!$B$2:$B$301,C90,Red_Team!$I$2:$I$301,"Aberta"))</f>
        <v/>
      </c>
      <c r="N90" s="15" t="n"/>
      <c r="O90" s="16">
        <f>IF(A90="","",IF(M90&gt;0,"NÃO – objeções abertas",IF(AND(D90="Autenticidade confirmada (origem institucional)",Q90&lt;&gt;"A"),"NÃO – exige item classe A",IF(AND(Q90="C",D90&lt;&gt;"Alegação da defesa (classe C)"),"NÃO – item classe C",IF(AND(D90="Alegação da defesa (classe C)",Q90&lt;&gt;"C"),"NÃO – item não é classe C",IF(D90="Indícios técnicos de alteração",IF(L90="Sim","Sim","NÃO – exige unanimidade"),IF(K90&gt;=2,"Sim","NÃO – sem maioria")))))))</f>
        <v/>
      </c>
      <c r="P90" s="16">
        <f>IF(C90="","",IF(COUNTIF(C91:C$302,C90)=0,C90,""))</f>
        <v/>
      </c>
      <c r="Q90" s="16">
        <f>IF(C90="","",IFERROR(LEFT(INDEX(Custodia!$U$2:$U$301,MATCH(C90,Custodia!$A$2:$A$301,0)),1),"?"))</f>
        <v/>
      </c>
    </row>
    <row r="91">
      <c r="A91" s="15" t="n"/>
      <c r="B91" s="18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6">
        <f>IF(A91="","",COUNTIF(F91,"A favor")+COUNTIF(H91,"A favor")+COUNTIF(J91,"A favor"))</f>
        <v/>
      </c>
      <c r="L91" s="16">
        <f>IF(A91="","",IF(K91=3,"Sim","Não"))</f>
        <v/>
      </c>
      <c r="M91" s="16">
        <f>IF(C91="","",COUNTIFS(Red_Team!$B$2:$B$301,C91,Red_Team!$I$2:$I$301,"Aberta"))</f>
        <v/>
      </c>
      <c r="N91" s="15" t="n"/>
      <c r="O91" s="16">
        <f>IF(A91="","",IF(M91&gt;0,"NÃO – objeções abertas",IF(AND(D91="Autenticidade confirmada (origem institucional)",Q91&lt;&gt;"A"),"NÃO – exige item classe A",IF(AND(Q91="C",D91&lt;&gt;"Alegação da defesa (classe C)"),"NÃO – item classe C",IF(AND(D91="Alegação da defesa (classe C)",Q91&lt;&gt;"C"),"NÃO – item não é classe C",IF(D91="Indícios técnicos de alteração",IF(L91="Sim","Sim","NÃO – exige unanimidade"),IF(K91&gt;=2,"Sim","NÃO – sem maioria")))))))</f>
        <v/>
      </c>
      <c r="P91" s="16">
        <f>IF(C91="","",IF(COUNTIF(C92:C$302,C91)=0,C91,""))</f>
        <v/>
      </c>
      <c r="Q91" s="16">
        <f>IF(C91="","",IFERROR(LEFT(INDEX(Custodia!$U$2:$U$301,MATCH(C91,Custodia!$A$2:$A$301,0)),1),"?"))</f>
        <v/>
      </c>
    </row>
    <row r="92">
      <c r="A92" s="15" t="n"/>
      <c r="B92" s="18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6">
        <f>IF(A92="","",COUNTIF(F92,"A favor")+COUNTIF(H92,"A favor")+COUNTIF(J92,"A favor"))</f>
        <v/>
      </c>
      <c r="L92" s="16">
        <f>IF(A92="","",IF(K92=3,"Sim","Não"))</f>
        <v/>
      </c>
      <c r="M92" s="16">
        <f>IF(C92="","",COUNTIFS(Red_Team!$B$2:$B$301,C92,Red_Team!$I$2:$I$301,"Aberta"))</f>
        <v/>
      </c>
      <c r="N92" s="15" t="n"/>
      <c r="O92" s="16">
        <f>IF(A92="","",IF(M92&gt;0,"NÃO – objeções abertas",IF(AND(D92="Autenticidade confirmada (origem institucional)",Q92&lt;&gt;"A"),"NÃO – exige item classe A",IF(AND(Q92="C",D92&lt;&gt;"Alegação da defesa (classe C)"),"NÃO – item classe C",IF(AND(D92="Alegação da defesa (classe C)",Q92&lt;&gt;"C"),"NÃO – item não é classe C",IF(D92="Indícios técnicos de alteração",IF(L92="Sim","Sim","NÃO – exige unanimidade"),IF(K92&gt;=2,"Sim","NÃO – sem maioria")))))))</f>
        <v/>
      </c>
      <c r="P92" s="16">
        <f>IF(C92="","",IF(COUNTIF(C93:C$302,C92)=0,C92,""))</f>
        <v/>
      </c>
      <c r="Q92" s="16">
        <f>IF(C92="","",IFERROR(LEFT(INDEX(Custodia!$U$2:$U$301,MATCH(C92,Custodia!$A$2:$A$301,0)),1),"?"))</f>
        <v/>
      </c>
    </row>
    <row r="93">
      <c r="A93" s="15" t="n"/>
      <c r="B93" s="18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6">
        <f>IF(A93="","",COUNTIF(F93,"A favor")+COUNTIF(H93,"A favor")+COUNTIF(J93,"A favor"))</f>
        <v/>
      </c>
      <c r="L93" s="16">
        <f>IF(A93="","",IF(K93=3,"Sim","Não"))</f>
        <v/>
      </c>
      <c r="M93" s="16">
        <f>IF(C93="","",COUNTIFS(Red_Team!$B$2:$B$301,C93,Red_Team!$I$2:$I$301,"Aberta"))</f>
        <v/>
      </c>
      <c r="N93" s="15" t="n"/>
      <c r="O93" s="16">
        <f>IF(A93="","",IF(M93&gt;0,"NÃO – objeções abertas",IF(AND(D93="Autenticidade confirmada (origem institucional)",Q93&lt;&gt;"A"),"NÃO – exige item classe A",IF(AND(Q93="C",D93&lt;&gt;"Alegação da defesa (classe C)"),"NÃO – item classe C",IF(AND(D93="Alegação da defesa (classe C)",Q93&lt;&gt;"C"),"NÃO – item não é classe C",IF(D93="Indícios técnicos de alteração",IF(L93="Sim","Sim","NÃO – exige unanimidade"),IF(K93&gt;=2,"Sim","NÃO – sem maioria")))))))</f>
        <v/>
      </c>
      <c r="P93" s="16">
        <f>IF(C93="","",IF(COUNTIF(C94:C$302,C93)=0,C93,""))</f>
        <v/>
      </c>
      <c r="Q93" s="16">
        <f>IF(C93="","",IFERROR(LEFT(INDEX(Custodia!$U$2:$U$301,MATCH(C93,Custodia!$A$2:$A$301,0)),1),"?"))</f>
        <v/>
      </c>
    </row>
    <row r="94">
      <c r="A94" s="15" t="n"/>
      <c r="B94" s="18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6">
        <f>IF(A94="","",COUNTIF(F94,"A favor")+COUNTIF(H94,"A favor")+COUNTIF(J94,"A favor"))</f>
        <v/>
      </c>
      <c r="L94" s="16">
        <f>IF(A94="","",IF(K94=3,"Sim","Não"))</f>
        <v/>
      </c>
      <c r="M94" s="16">
        <f>IF(C94="","",COUNTIFS(Red_Team!$B$2:$B$301,C94,Red_Team!$I$2:$I$301,"Aberta"))</f>
        <v/>
      </c>
      <c r="N94" s="15" t="n"/>
      <c r="O94" s="16">
        <f>IF(A94="","",IF(M94&gt;0,"NÃO – objeções abertas",IF(AND(D94="Autenticidade confirmada (origem institucional)",Q94&lt;&gt;"A"),"NÃO – exige item classe A",IF(AND(Q94="C",D94&lt;&gt;"Alegação da defesa (classe C)"),"NÃO – item classe C",IF(AND(D94="Alegação da defesa (classe C)",Q94&lt;&gt;"C"),"NÃO – item não é classe C",IF(D94="Indícios técnicos de alteração",IF(L94="Sim","Sim","NÃO – exige unanimidade"),IF(K94&gt;=2,"Sim","NÃO – sem maioria")))))))</f>
        <v/>
      </c>
      <c r="P94" s="16">
        <f>IF(C94="","",IF(COUNTIF(C95:C$302,C94)=0,C94,""))</f>
        <v/>
      </c>
      <c r="Q94" s="16">
        <f>IF(C94="","",IFERROR(LEFT(INDEX(Custodia!$U$2:$U$301,MATCH(C94,Custodia!$A$2:$A$301,0)),1),"?"))</f>
        <v/>
      </c>
    </row>
    <row r="95">
      <c r="A95" s="15" t="n"/>
      <c r="B95" s="18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6">
        <f>IF(A95="","",COUNTIF(F95,"A favor")+COUNTIF(H95,"A favor")+COUNTIF(J95,"A favor"))</f>
        <v/>
      </c>
      <c r="L95" s="16">
        <f>IF(A95="","",IF(K95=3,"Sim","Não"))</f>
        <v/>
      </c>
      <c r="M95" s="16">
        <f>IF(C95="","",COUNTIFS(Red_Team!$B$2:$B$301,C95,Red_Team!$I$2:$I$301,"Aberta"))</f>
        <v/>
      </c>
      <c r="N95" s="15" t="n"/>
      <c r="O95" s="16">
        <f>IF(A95="","",IF(M95&gt;0,"NÃO – objeções abertas",IF(AND(D95="Autenticidade confirmada (origem institucional)",Q95&lt;&gt;"A"),"NÃO – exige item classe A",IF(AND(Q95="C",D95&lt;&gt;"Alegação da defesa (classe C)"),"NÃO – item classe C",IF(AND(D95="Alegação da defesa (classe C)",Q95&lt;&gt;"C"),"NÃO – item não é classe C",IF(D95="Indícios técnicos de alteração",IF(L95="Sim","Sim","NÃO – exige unanimidade"),IF(K95&gt;=2,"Sim","NÃO – sem maioria")))))))</f>
        <v/>
      </c>
      <c r="P95" s="16">
        <f>IF(C95="","",IF(COUNTIF(C96:C$302,C95)=0,C95,""))</f>
        <v/>
      </c>
      <c r="Q95" s="16">
        <f>IF(C95="","",IFERROR(LEFT(INDEX(Custodia!$U$2:$U$301,MATCH(C95,Custodia!$A$2:$A$301,0)),1),"?"))</f>
        <v/>
      </c>
    </row>
    <row r="96">
      <c r="A96" s="15" t="n"/>
      <c r="B96" s="18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6">
        <f>IF(A96="","",COUNTIF(F96,"A favor")+COUNTIF(H96,"A favor")+COUNTIF(J96,"A favor"))</f>
        <v/>
      </c>
      <c r="L96" s="16">
        <f>IF(A96="","",IF(K96=3,"Sim","Não"))</f>
        <v/>
      </c>
      <c r="M96" s="16">
        <f>IF(C96="","",COUNTIFS(Red_Team!$B$2:$B$301,C96,Red_Team!$I$2:$I$301,"Aberta"))</f>
        <v/>
      </c>
      <c r="N96" s="15" t="n"/>
      <c r="O96" s="16">
        <f>IF(A96="","",IF(M96&gt;0,"NÃO – objeções abertas",IF(AND(D96="Autenticidade confirmada (origem institucional)",Q96&lt;&gt;"A"),"NÃO – exige item classe A",IF(AND(Q96="C",D96&lt;&gt;"Alegação da defesa (classe C)"),"NÃO – item classe C",IF(AND(D96="Alegação da defesa (classe C)",Q96&lt;&gt;"C"),"NÃO – item não é classe C",IF(D96="Indícios técnicos de alteração",IF(L96="Sim","Sim","NÃO – exige unanimidade"),IF(K96&gt;=2,"Sim","NÃO – sem maioria")))))))</f>
        <v/>
      </c>
      <c r="P96" s="16">
        <f>IF(C96="","",IF(COUNTIF(C97:C$302,C96)=0,C96,""))</f>
        <v/>
      </c>
      <c r="Q96" s="16">
        <f>IF(C96="","",IFERROR(LEFT(INDEX(Custodia!$U$2:$U$301,MATCH(C96,Custodia!$A$2:$A$301,0)),1),"?"))</f>
        <v/>
      </c>
    </row>
    <row r="97">
      <c r="A97" s="15" t="n"/>
      <c r="B97" s="18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6">
        <f>IF(A97="","",COUNTIF(F97,"A favor")+COUNTIF(H97,"A favor")+COUNTIF(J97,"A favor"))</f>
        <v/>
      </c>
      <c r="L97" s="16">
        <f>IF(A97="","",IF(K97=3,"Sim","Não"))</f>
        <v/>
      </c>
      <c r="M97" s="16">
        <f>IF(C97="","",COUNTIFS(Red_Team!$B$2:$B$301,C97,Red_Team!$I$2:$I$301,"Aberta"))</f>
        <v/>
      </c>
      <c r="N97" s="15" t="n"/>
      <c r="O97" s="16">
        <f>IF(A97="","",IF(M97&gt;0,"NÃO – objeções abertas",IF(AND(D97="Autenticidade confirmada (origem institucional)",Q97&lt;&gt;"A"),"NÃO – exige item classe A",IF(AND(Q97="C",D97&lt;&gt;"Alegação da defesa (classe C)"),"NÃO – item classe C",IF(AND(D97="Alegação da defesa (classe C)",Q97&lt;&gt;"C"),"NÃO – item não é classe C",IF(D97="Indícios técnicos de alteração",IF(L97="Sim","Sim","NÃO – exige unanimidade"),IF(K97&gt;=2,"Sim","NÃO – sem maioria")))))))</f>
        <v/>
      </c>
      <c r="P97" s="16">
        <f>IF(C97="","",IF(COUNTIF(C98:C$302,C97)=0,C97,""))</f>
        <v/>
      </c>
      <c r="Q97" s="16">
        <f>IF(C97="","",IFERROR(LEFT(INDEX(Custodia!$U$2:$U$301,MATCH(C97,Custodia!$A$2:$A$301,0)),1),"?"))</f>
        <v/>
      </c>
    </row>
    <row r="98">
      <c r="A98" s="15" t="n"/>
      <c r="B98" s="18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6">
        <f>IF(A98="","",COUNTIF(F98,"A favor")+COUNTIF(H98,"A favor")+COUNTIF(J98,"A favor"))</f>
        <v/>
      </c>
      <c r="L98" s="16">
        <f>IF(A98="","",IF(K98=3,"Sim","Não"))</f>
        <v/>
      </c>
      <c r="M98" s="16">
        <f>IF(C98="","",COUNTIFS(Red_Team!$B$2:$B$301,C98,Red_Team!$I$2:$I$301,"Aberta"))</f>
        <v/>
      </c>
      <c r="N98" s="15" t="n"/>
      <c r="O98" s="16">
        <f>IF(A98="","",IF(M98&gt;0,"NÃO – objeções abertas",IF(AND(D98="Autenticidade confirmada (origem institucional)",Q98&lt;&gt;"A"),"NÃO – exige item classe A",IF(AND(Q98="C",D98&lt;&gt;"Alegação da defesa (classe C)"),"NÃO – item classe C",IF(AND(D98="Alegação da defesa (classe C)",Q98&lt;&gt;"C"),"NÃO – item não é classe C",IF(D98="Indícios técnicos de alteração",IF(L98="Sim","Sim","NÃO – exige unanimidade"),IF(K98&gt;=2,"Sim","NÃO – sem maioria")))))))</f>
        <v/>
      </c>
      <c r="P98" s="16">
        <f>IF(C98="","",IF(COUNTIF(C99:C$302,C98)=0,C98,""))</f>
        <v/>
      </c>
      <c r="Q98" s="16">
        <f>IF(C98="","",IFERROR(LEFT(INDEX(Custodia!$U$2:$U$301,MATCH(C98,Custodia!$A$2:$A$301,0)),1),"?"))</f>
        <v/>
      </c>
    </row>
    <row r="99">
      <c r="A99" s="15" t="n"/>
      <c r="B99" s="18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6">
        <f>IF(A99="","",COUNTIF(F99,"A favor")+COUNTIF(H99,"A favor")+COUNTIF(J99,"A favor"))</f>
        <v/>
      </c>
      <c r="L99" s="16">
        <f>IF(A99="","",IF(K99=3,"Sim","Não"))</f>
        <v/>
      </c>
      <c r="M99" s="16">
        <f>IF(C99="","",COUNTIFS(Red_Team!$B$2:$B$301,C99,Red_Team!$I$2:$I$301,"Aberta"))</f>
        <v/>
      </c>
      <c r="N99" s="15" t="n"/>
      <c r="O99" s="16">
        <f>IF(A99="","",IF(M99&gt;0,"NÃO – objeções abertas",IF(AND(D99="Autenticidade confirmada (origem institucional)",Q99&lt;&gt;"A"),"NÃO – exige item classe A",IF(AND(Q99="C",D99&lt;&gt;"Alegação da defesa (classe C)"),"NÃO – item classe C",IF(AND(D99="Alegação da defesa (classe C)",Q99&lt;&gt;"C"),"NÃO – item não é classe C",IF(D99="Indícios técnicos de alteração",IF(L99="Sim","Sim","NÃO – exige unanimidade"),IF(K99&gt;=2,"Sim","NÃO – sem maioria")))))))</f>
        <v/>
      </c>
      <c r="P99" s="16">
        <f>IF(C99="","",IF(COUNTIF(C100:C$302,C99)=0,C99,""))</f>
        <v/>
      </c>
      <c r="Q99" s="16">
        <f>IF(C99="","",IFERROR(LEFT(INDEX(Custodia!$U$2:$U$301,MATCH(C99,Custodia!$A$2:$A$301,0)),1),"?"))</f>
        <v/>
      </c>
    </row>
    <row r="100">
      <c r="A100" s="15" t="n"/>
      <c r="B100" s="18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6">
        <f>IF(A100="","",COUNTIF(F100,"A favor")+COUNTIF(H100,"A favor")+COUNTIF(J100,"A favor"))</f>
        <v/>
      </c>
      <c r="L100" s="16">
        <f>IF(A100="","",IF(K100=3,"Sim","Não"))</f>
        <v/>
      </c>
      <c r="M100" s="16">
        <f>IF(C100="","",COUNTIFS(Red_Team!$B$2:$B$301,C100,Red_Team!$I$2:$I$301,"Aberta"))</f>
        <v/>
      </c>
      <c r="N100" s="15" t="n"/>
      <c r="O100" s="16">
        <f>IF(A100="","",IF(M100&gt;0,"NÃO – objeções abertas",IF(AND(D100="Autenticidade confirmada (origem institucional)",Q100&lt;&gt;"A"),"NÃO – exige item classe A",IF(AND(Q100="C",D100&lt;&gt;"Alegação da defesa (classe C)"),"NÃO – item classe C",IF(AND(D100="Alegação da defesa (classe C)",Q100&lt;&gt;"C"),"NÃO – item não é classe C",IF(D100="Indícios técnicos de alteração",IF(L100="Sim","Sim","NÃO – exige unanimidade"),IF(K100&gt;=2,"Sim","NÃO – sem maioria")))))))</f>
        <v/>
      </c>
      <c r="P100" s="16">
        <f>IF(C100="","",IF(COUNTIF(C101:C$302,C100)=0,C100,""))</f>
        <v/>
      </c>
      <c r="Q100" s="16">
        <f>IF(C100="","",IFERROR(LEFT(INDEX(Custodia!$U$2:$U$301,MATCH(C100,Custodia!$A$2:$A$301,0)),1),"?"))</f>
        <v/>
      </c>
    </row>
    <row r="101">
      <c r="A101" s="15" t="n"/>
      <c r="B101" s="18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6">
        <f>IF(A101="","",COUNTIF(F101,"A favor")+COUNTIF(H101,"A favor")+COUNTIF(J101,"A favor"))</f>
        <v/>
      </c>
      <c r="L101" s="16">
        <f>IF(A101="","",IF(K101=3,"Sim","Não"))</f>
        <v/>
      </c>
      <c r="M101" s="16">
        <f>IF(C101="","",COUNTIFS(Red_Team!$B$2:$B$301,C101,Red_Team!$I$2:$I$301,"Aberta"))</f>
        <v/>
      </c>
      <c r="N101" s="15" t="n"/>
      <c r="O101" s="16">
        <f>IF(A101="","",IF(M101&gt;0,"NÃO – objeções abertas",IF(AND(D101="Autenticidade confirmada (origem institucional)",Q101&lt;&gt;"A"),"NÃO – exige item classe A",IF(AND(Q101="C",D101&lt;&gt;"Alegação da defesa (classe C)"),"NÃO – item classe C",IF(AND(D101="Alegação da defesa (classe C)",Q101&lt;&gt;"C"),"NÃO – item não é classe C",IF(D101="Indícios técnicos de alteração",IF(L101="Sim","Sim","NÃO – exige unanimidade"),IF(K101&gt;=2,"Sim","NÃO – sem maioria")))))))</f>
        <v/>
      </c>
      <c r="P101" s="16">
        <f>IF(C101="","",IF(COUNTIF(C102:C$302,C101)=0,C101,""))</f>
        <v/>
      </c>
      <c r="Q101" s="16">
        <f>IF(C101="","",IFERROR(LEFT(INDEX(Custodia!$U$2:$U$301,MATCH(C101,Custodia!$A$2:$A$301,0)),1),"?"))</f>
        <v/>
      </c>
    </row>
    <row r="102">
      <c r="A102" s="15" t="n"/>
      <c r="B102" s="18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6">
        <f>IF(A102="","",COUNTIF(F102,"A favor")+COUNTIF(H102,"A favor")+COUNTIF(J102,"A favor"))</f>
        <v/>
      </c>
      <c r="L102" s="16">
        <f>IF(A102="","",IF(K102=3,"Sim","Não"))</f>
        <v/>
      </c>
      <c r="M102" s="16">
        <f>IF(C102="","",COUNTIFS(Red_Team!$B$2:$B$301,C102,Red_Team!$I$2:$I$301,"Aberta"))</f>
        <v/>
      </c>
      <c r="N102" s="15" t="n"/>
      <c r="O102" s="16">
        <f>IF(A102="","",IF(M102&gt;0,"NÃO – objeções abertas",IF(AND(D102="Autenticidade confirmada (origem institucional)",Q102&lt;&gt;"A"),"NÃO – exige item classe A",IF(AND(Q102="C",D102&lt;&gt;"Alegação da defesa (classe C)"),"NÃO – item classe C",IF(AND(D102="Alegação da defesa (classe C)",Q102&lt;&gt;"C"),"NÃO – item não é classe C",IF(D102="Indícios técnicos de alteração",IF(L102="Sim","Sim","NÃO – exige unanimidade"),IF(K102&gt;=2,"Sim","NÃO – sem maioria")))))))</f>
        <v/>
      </c>
      <c r="P102" s="16">
        <f>IF(C102="","",IF(COUNTIF(C103:C$302,C102)=0,C102,""))</f>
        <v/>
      </c>
      <c r="Q102" s="16">
        <f>IF(C102="","",IFERROR(LEFT(INDEX(Custodia!$U$2:$U$301,MATCH(C102,Custodia!$A$2:$A$301,0)),1),"?"))</f>
        <v/>
      </c>
    </row>
    <row r="103">
      <c r="A103" s="15" t="n"/>
      <c r="B103" s="18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6">
        <f>IF(A103="","",COUNTIF(F103,"A favor")+COUNTIF(H103,"A favor")+COUNTIF(J103,"A favor"))</f>
        <v/>
      </c>
      <c r="L103" s="16">
        <f>IF(A103="","",IF(K103=3,"Sim","Não"))</f>
        <v/>
      </c>
      <c r="M103" s="16">
        <f>IF(C103="","",COUNTIFS(Red_Team!$B$2:$B$301,C103,Red_Team!$I$2:$I$301,"Aberta"))</f>
        <v/>
      </c>
      <c r="N103" s="15" t="n"/>
      <c r="O103" s="16">
        <f>IF(A103="","",IF(M103&gt;0,"NÃO – objeções abertas",IF(AND(D103="Autenticidade confirmada (origem institucional)",Q103&lt;&gt;"A"),"NÃO – exige item classe A",IF(AND(Q103="C",D103&lt;&gt;"Alegação da defesa (classe C)"),"NÃO – item classe C",IF(AND(D103="Alegação da defesa (classe C)",Q103&lt;&gt;"C"),"NÃO – item não é classe C",IF(D103="Indícios técnicos de alteração",IF(L103="Sim","Sim","NÃO – exige unanimidade"),IF(K103&gt;=2,"Sim","NÃO – sem maioria")))))))</f>
        <v/>
      </c>
      <c r="P103" s="16">
        <f>IF(C103="","",IF(COUNTIF(C104:C$302,C103)=0,C103,""))</f>
        <v/>
      </c>
      <c r="Q103" s="16">
        <f>IF(C103="","",IFERROR(LEFT(INDEX(Custodia!$U$2:$U$301,MATCH(C103,Custodia!$A$2:$A$301,0)),1),"?"))</f>
        <v/>
      </c>
    </row>
    <row r="104">
      <c r="A104" s="15" t="n"/>
      <c r="B104" s="18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6">
        <f>IF(A104="","",COUNTIF(F104,"A favor")+COUNTIF(H104,"A favor")+COUNTIF(J104,"A favor"))</f>
        <v/>
      </c>
      <c r="L104" s="16">
        <f>IF(A104="","",IF(K104=3,"Sim","Não"))</f>
        <v/>
      </c>
      <c r="M104" s="16">
        <f>IF(C104="","",COUNTIFS(Red_Team!$B$2:$B$301,C104,Red_Team!$I$2:$I$301,"Aberta"))</f>
        <v/>
      </c>
      <c r="N104" s="15" t="n"/>
      <c r="O104" s="16">
        <f>IF(A104="","",IF(M104&gt;0,"NÃO – objeções abertas",IF(AND(D104="Autenticidade confirmada (origem institucional)",Q104&lt;&gt;"A"),"NÃO – exige item classe A",IF(AND(Q104="C",D104&lt;&gt;"Alegação da defesa (classe C)"),"NÃO – item classe C",IF(AND(D104="Alegação da defesa (classe C)",Q104&lt;&gt;"C"),"NÃO – item não é classe C",IF(D104="Indícios técnicos de alteração",IF(L104="Sim","Sim","NÃO – exige unanimidade"),IF(K104&gt;=2,"Sim","NÃO – sem maioria")))))))</f>
        <v/>
      </c>
      <c r="P104" s="16">
        <f>IF(C104="","",IF(COUNTIF(C105:C$302,C104)=0,C104,""))</f>
        <v/>
      </c>
      <c r="Q104" s="16">
        <f>IF(C104="","",IFERROR(LEFT(INDEX(Custodia!$U$2:$U$301,MATCH(C104,Custodia!$A$2:$A$301,0)),1),"?"))</f>
        <v/>
      </c>
    </row>
    <row r="105">
      <c r="A105" s="15" t="n"/>
      <c r="B105" s="18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6">
        <f>IF(A105="","",COUNTIF(F105,"A favor")+COUNTIF(H105,"A favor")+COUNTIF(J105,"A favor"))</f>
        <v/>
      </c>
      <c r="L105" s="16">
        <f>IF(A105="","",IF(K105=3,"Sim","Não"))</f>
        <v/>
      </c>
      <c r="M105" s="16">
        <f>IF(C105="","",COUNTIFS(Red_Team!$B$2:$B$301,C105,Red_Team!$I$2:$I$301,"Aberta"))</f>
        <v/>
      </c>
      <c r="N105" s="15" t="n"/>
      <c r="O105" s="16">
        <f>IF(A105="","",IF(M105&gt;0,"NÃO – objeções abertas",IF(AND(D105="Autenticidade confirmada (origem institucional)",Q105&lt;&gt;"A"),"NÃO – exige item classe A",IF(AND(Q105="C",D105&lt;&gt;"Alegação da defesa (classe C)"),"NÃO – item classe C",IF(AND(D105="Alegação da defesa (classe C)",Q105&lt;&gt;"C"),"NÃO – item não é classe C",IF(D105="Indícios técnicos de alteração",IF(L105="Sim","Sim","NÃO – exige unanimidade"),IF(K105&gt;=2,"Sim","NÃO – sem maioria")))))))</f>
        <v/>
      </c>
      <c r="P105" s="16">
        <f>IF(C105="","",IF(COUNTIF(C106:C$302,C105)=0,C105,""))</f>
        <v/>
      </c>
      <c r="Q105" s="16">
        <f>IF(C105="","",IFERROR(LEFT(INDEX(Custodia!$U$2:$U$301,MATCH(C105,Custodia!$A$2:$A$301,0)),1),"?"))</f>
        <v/>
      </c>
    </row>
    <row r="106">
      <c r="A106" s="15" t="n"/>
      <c r="B106" s="18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6">
        <f>IF(A106="","",COUNTIF(F106,"A favor")+COUNTIF(H106,"A favor")+COUNTIF(J106,"A favor"))</f>
        <v/>
      </c>
      <c r="L106" s="16">
        <f>IF(A106="","",IF(K106=3,"Sim","Não"))</f>
        <v/>
      </c>
      <c r="M106" s="16">
        <f>IF(C106="","",COUNTIFS(Red_Team!$B$2:$B$301,C106,Red_Team!$I$2:$I$301,"Aberta"))</f>
        <v/>
      </c>
      <c r="N106" s="15" t="n"/>
      <c r="O106" s="16">
        <f>IF(A106="","",IF(M106&gt;0,"NÃO – objeções abertas",IF(AND(D106="Autenticidade confirmada (origem institucional)",Q106&lt;&gt;"A"),"NÃO – exige item classe A",IF(AND(Q106="C",D106&lt;&gt;"Alegação da defesa (classe C)"),"NÃO – item classe C",IF(AND(D106="Alegação da defesa (classe C)",Q106&lt;&gt;"C"),"NÃO – item não é classe C",IF(D106="Indícios técnicos de alteração",IF(L106="Sim","Sim","NÃO – exige unanimidade"),IF(K106&gt;=2,"Sim","NÃO – sem maioria")))))))</f>
        <v/>
      </c>
      <c r="P106" s="16">
        <f>IF(C106="","",IF(COUNTIF(C107:C$302,C106)=0,C106,""))</f>
        <v/>
      </c>
      <c r="Q106" s="16">
        <f>IF(C106="","",IFERROR(LEFT(INDEX(Custodia!$U$2:$U$301,MATCH(C106,Custodia!$A$2:$A$301,0)),1),"?"))</f>
        <v/>
      </c>
    </row>
    <row r="107">
      <c r="A107" s="15" t="n"/>
      <c r="B107" s="18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6">
        <f>IF(A107="","",COUNTIF(F107,"A favor")+COUNTIF(H107,"A favor")+COUNTIF(J107,"A favor"))</f>
        <v/>
      </c>
      <c r="L107" s="16">
        <f>IF(A107="","",IF(K107=3,"Sim","Não"))</f>
        <v/>
      </c>
      <c r="M107" s="16">
        <f>IF(C107="","",COUNTIFS(Red_Team!$B$2:$B$301,C107,Red_Team!$I$2:$I$301,"Aberta"))</f>
        <v/>
      </c>
      <c r="N107" s="15" t="n"/>
      <c r="O107" s="16">
        <f>IF(A107="","",IF(M107&gt;0,"NÃO – objeções abertas",IF(AND(D107="Autenticidade confirmada (origem institucional)",Q107&lt;&gt;"A"),"NÃO – exige item classe A",IF(AND(Q107="C",D107&lt;&gt;"Alegação da defesa (classe C)"),"NÃO – item classe C",IF(AND(D107="Alegação da defesa (classe C)",Q107&lt;&gt;"C"),"NÃO – item não é classe C",IF(D107="Indícios técnicos de alteração",IF(L107="Sim","Sim","NÃO – exige unanimidade"),IF(K107&gt;=2,"Sim","NÃO – sem maioria")))))))</f>
        <v/>
      </c>
      <c r="P107" s="16">
        <f>IF(C107="","",IF(COUNTIF(C108:C$302,C107)=0,C107,""))</f>
        <v/>
      </c>
      <c r="Q107" s="16">
        <f>IF(C107="","",IFERROR(LEFT(INDEX(Custodia!$U$2:$U$301,MATCH(C107,Custodia!$A$2:$A$301,0)),1),"?"))</f>
        <v/>
      </c>
    </row>
    <row r="108">
      <c r="A108" s="15" t="n"/>
      <c r="B108" s="18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6">
        <f>IF(A108="","",COUNTIF(F108,"A favor")+COUNTIF(H108,"A favor")+COUNTIF(J108,"A favor"))</f>
        <v/>
      </c>
      <c r="L108" s="16">
        <f>IF(A108="","",IF(K108=3,"Sim","Não"))</f>
        <v/>
      </c>
      <c r="M108" s="16">
        <f>IF(C108="","",COUNTIFS(Red_Team!$B$2:$B$301,C108,Red_Team!$I$2:$I$301,"Aberta"))</f>
        <v/>
      </c>
      <c r="N108" s="15" t="n"/>
      <c r="O108" s="16">
        <f>IF(A108="","",IF(M108&gt;0,"NÃO – objeções abertas",IF(AND(D108="Autenticidade confirmada (origem institucional)",Q108&lt;&gt;"A"),"NÃO – exige item classe A",IF(AND(Q108="C",D108&lt;&gt;"Alegação da defesa (classe C)"),"NÃO – item classe C",IF(AND(D108="Alegação da defesa (classe C)",Q108&lt;&gt;"C"),"NÃO – item não é classe C",IF(D108="Indícios técnicos de alteração",IF(L108="Sim","Sim","NÃO – exige unanimidade"),IF(K108&gt;=2,"Sim","NÃO – sem maioria")))))))</f>
        <v/>
      </c>
      <c r="P108" s="16">
        <f>IF(C108="","",IF(COUNTIF(C109:C$302,C108)=0,C108,""))</f>
        <v/>
      </c>
      <c r="Q108" s="16">
        <f>IF(C108="","",IFERROR(LEFT(INDEX(Custodia!$U$2:$U$301,MATCH(C108,Custodia!$A$2:$A$301,0)),1),"?"))</f>
        <v/>
      </c>
    </row>
    <row r="109">
      <c r="A109" s="15" t="n"/>
      <c r="B109" s="18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6">
        <f>IF(A109="","",COUNTIF(F109,"A favor")+COUNTIF(H109,"A favor")+COUNTIF(J109,"A favor"))</f>
        <v/>
      </c>
      <c r="L109" s="16">
        <f>IF(A109="","",IF(K109=3,"Sim","Não"))</f>
        <v/>
      </c>
      <c r="M109" s="16">
        <f>IF(C109="","",COUNTIFS(Red_Team!$B$2:$B$301,C109,Red_Team!$I$2:$I$301,"Aberta"))</f>
        <v/>
      </c>
      <c r="N109" s="15" t="n"/>
      <c r="O109" s="16">
        <f>IF(A109="","",IF(M109&gt;0,"NÃO – objeções abertas",IF(AND(D109="Autenticidade confirmada (origem institucional)",Q109&lt;&gt;"A"),"NÃO – exige item classe A",IF(AND(Q109="C",D109&lt;&gt;"Alegação da defesa (classe C)"),"NÃO – item classe C",IF(AND(D109="Alegação da defesa (classe C)",Q109&lt;&gt;"C"),"NÃO – item não é classe C",IF(D109="Indícios técnicos de alteração",IF(L109="Sim","Sim","NÃO – exige unanimidade"),IF(K109&gt;=2,"Sim","NÃO – sem maioria")))))))</f>
        <v/>
      </c>
      <c r="P109" s="16">
        <f>IF(C109="","",IF(COUNTIF(C110:C$302,C109)=0,C109,""))</f>
        <v/>
      </c>
      <c r="Q109" s="16">
        <f>IF(C109="","",IFERROR(LEFT(INDEX(Custodia!$U$2:$U$301,MATCH(C109,Custodia!$A$2:$A$301,0)),1),"?"))</f>
        <v/>
      </c>
    </row>
    <row r="110">
      <c r="A110" s="15" t="n"/>
      <c r="B110" s="18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6">
        <f>IF(A110="","",COUNTIF(F110,"A favor")+COUNTIF(H110,"A favor")+COUNTIF(J110,"A favor"))</f>
        <v/>
      </c>
      <c r="L110" s="16">
        <f>IF(A110="","",IF(K110=3,"Sim","Não"))</f>
        <v/>
      </c>
      <c r="M110" s="16">
        <f>IF(C110="","",COUNTIFS(Red_Team!$B$2:$B$301,C110,Red_Team!$I$2:$I$301,"Aberta"))</f>
        <v/>
      </c>
      <c r="N110" s="15" t="n"/>
      <c r="O110" s="16">
        <f>IF(A110="","",IF(M110&gt;0,"NÃO – objeções abertas",IF(AND(D110="Autenticidade confirmada (origem institucional)",Q110&lt;&gt;"A"),"NÃO – exige item classe A",IF(AND(Q110="C",D110&lt;&gt;"Alegação da defesa (classe C)"),"NÃO – item classe C",IF(AND(D110="Alegação da defesa (classe C)",Q110&lt;&gt;"C"),"NÃO – item não é classe C",IF(D110="Indícios técnicos de alteração",IF(L110="Sim","Sim","NÃO – exige unanimidade"),IF(K110&gt;=2,"Sim","NÃO – sem maioria")))))))</f>
        <v/>
      </c>
      <c r="P110" s="16">
        <f>IF(C110="","",IF(COUNTIF(C111:C$302,C110)=0,C110,""))</f>
        <v/>
      </c>
      <c r="Q110" s="16">
        <f>IF(C110="","",IFERROR(LEFT(INDEX(Custodia!$U$2:$U$301,MATCH(C110,Custodia!$A$2:$A$301,0)),1),"?"))</f>
        <v/>
      </c>
    </row>
    <row r="111">
      <c r="A111" s="15" t="n"/>
      <c r="B111" s="18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6">
        <f>IF(A111="","",COUNTIF(F111,"A favor")+COUNTIF(H111,"A favor")+COUNTIF(J111,"A favor"))</f>
        <v/>
      </c>
      <c r="L111" s="16">
        <f>IF(A111="","",IF(K111=3,"Sim","Não"))</f>
        <v/>
      </c>
      <c r="M111" s="16">
        <f>IF(C111="","",COUNTIFS(Red_Team!$B$2:$B$301,C111,Red_Team!$I$2:$I$301,"Aberta"))</f>
        <v/>
      </c>
      <c r="N111" s="15" t="n"/>
      <c r="O111" s="16">
        <f>IF(A111="","",IF(M111&gt;0,"NÃO – objeções abertas",IF(AND(D111="Autenticidade confirmada (origem institucional)",Q111&lt;&gt;"A"),"NÃO – exige item classe A",IF(AND(Q111="C",D111&lt;&gt;"Alegação da defesa (classe C)"),"NÃO – item classe C",IF(AND(D111="Alegação da defesa (classe C)",Q111&lt;&gt;"C"),"NÃO – item não é classe C",IF(D111="Indícios técnicos de alteração",IF(L111="Sim","Sim","NÃO – exige unanimidade"),IF(K111&gt;=2,"Sim","NÃO – sem maioria")))))))</f>
        <v/>
      </c>
      <c r="P111" s="16">
        <f>IF(C111="","",IF(COUNTIF(C112:C$302,C111)=0,C111,""))</f>
        <v/>
      </c>
      <c r="Q111" s="16">
        <f>IF(C111="","",IFERROR(LEFT(INDEX(Custodia!$U$2:$U$301,MATCH(C111,Custodia!$A$2:$A$301,0)),1),"?"))</f>
        <v/>
      </c>
    </row>
    <row r="112">
      <c r="A112" s="15" t="n"/>
      <c r="B112" s="18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6">
        <f>IF(A112="","",COUNTIF(F112,"A favor")+COUNTIF(H112,"A favor")+COUNTIF(J112,"A favor"))</f>
        <v/>
      </c>
      <c r="L112" s="16">
        <f>IF(A112="","",IF(K112=3,"Sim","Não"))</f>
        <v/>
      </c>
      <c r="M112" s="16">
        <f>IF(C112="","",COUNTIFS(Red_Team!$B$2:$B$301,C112,Red_Team!$I$2:$I$301,"Aberta"))</f>
        <v/>
      </c>
      <c r="N112" s="15" t="n"/>
      <c r="O112" s="16">
        <f>IF(A112="","",IF(M112&gt;0,"NÃO – objeções abertas",IF(AND(D112="Autenticidade confirmada (origem institucional)",Q112&lt;&gt;"A"),"NÃO – exige item classe A",IF(AND(Q112="C",D112&lt;&gt;"Alegação da defesa (classe C)"),"NÃO – item classe C",IF(AND(D112="Alegação da defesa (classe C)",Q112&lt;&gt;"C"),"NÃO – item não é classe C",IF(D112="Indícios técnicos de alteração",IF(L112="Sim","Sim","NÃO – exige unanimidade"),IF(K112&gt;=2,"Sim","NÃO – sem maioria")))))))</f>
        <v/>
      </c>
      <c r="P112" s="16">
        <f>IF(C112="","",IF(COUNTIF(C113:C$302,C112)=0,C112,""))</f>
        <v/>
      </c>
      <c r="Q112" s="16">
        <f>IF(C112="","",IFERROR(LEFT(INDEX(Custodia!$U$2:$U$301,MATCH(C112,Custodia!$A$2:$A$301,0)),1),"?"))</f>
        <v/>
      </c>
    </row>
    <row r="113">
      <c r="A113" s="15" t="n"/>
      <c r="B113" s="18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6">
        <f>IF(A113="","",COUNTIF(F113,"A favor")+COUNTIF(H113,"A favor")+COUNTIF(J113,"A favor"))</f>
        <v/>
      </c>
      <c r="L113" s="16">
        <f>IF(A113="","",IF(K113=3,"Sim","Não"))</f>
        <v/>
      </c>
      <c r="M113" s="16">
        <f>IF(C113="","",COUNTIFS(Red_Team!$B$2:$B$301,C113,Red_Team!$I$2:$I$301,"Aberta"))</f>
        <v/>
      </c>
      <c r="N113" s="15" t="n"/>
      <c r="O113" s="16">
        <f>IF(A113="","",IF(M113&gt;0,"NÃO – objeções abertas",IF(AND(D113="Autenticidade confirmada (origem institucional)",Q113&lt;&gt;"A"),"NÃO – exige item classe A",IF(AND(Q113="C",D113&lt;&gt;"Alegação da defesa (classe C)"),"NÃO – item classe C",IF(AND(D113="Alegação da defesa (classe C)",Q113&lt;&gt;"C"),"NÃO – item não é classe C",IF(D113="Indícios técnicos de alteração",IF(L113="Sim","Sim","NÃO – exige unanimidade"),IF(K113&gt;=2,"Sim","NÃO – sem maioria")))))))</f>
        <v/>
      </c>
      <c r="P113" s="16">
        <f>IF(C113="","",IF(COUNTIF(C114:C$302,C113)=0,C113,""))</f>
        <v/>
      </c>
      <c r="Q113" s="16">
        <f>IF(C113="","",IFERROR(LEFT(INDEX(Custodia!$U$2:$U$301,MATCH(C113,Custodia!$A$2:$A$301,0)),1),"?"))</f>
        <v/>
      </c>
    </row>
    <row r="114">
      <c r="A114" s="15" t="n"/>
      <c r="B114" s="18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6">
        <f>IF(A114="","",COUNTIF(F114,"A favor")+COUNTIF(H114,"A favor")+COUNTIF(J114,"A favor"))</f>
        <v/>
      </c>
      <c r="L114" s="16">
        <f>IF(A114="","",IF(K114=3,"Sim","Não"))</f>
        <v/>
      </c>
      <c r="M114" s="16">
        <f>IF(C114="","",COUNTIFS(Red_Team!$B$2:$B$301,C114,Red_Team!$I$2:$I$301,"Aberta"))</f>
        <v/>
      </c>
      <c r="N114" s="15" t="n"/>
      <c r="O114" s="16">
        <f>IF(A114="","",IF(M114&gt;0,"NÃO – objeções abertas",IF(AND(D114="Autenticidade confirmada (origem institucional)",Q114&lt;&gt;"A"),"NÃO – exige item classe A",IF(AND(Q114="C",D114&lt;&gt;"Alegação da defesa (classe C)"),"NÃO – item classe C",IF(AND(D114="Alegação da defesa (classe C)",Q114&lt;&gt;"C"),"NÃO – item não é classe C",IF(D114="Indícios técnicos de alteração",IF(L114="Sim","Sim","NÃO – exige unanimidade"),IF(K114&gt;=2,"Sim","NÃO – sem maioria")))))))</f>
        <v/>
      </c>
      <c r="P114" s="16">
        <f>IF(C114="","",IF(COUNTIF(C115:C$302,C114)=0,C114,""))</f>
        <v/>
      </c>
      <c r="Q114" s="16">
        <f>IF(C114="","",IFERROR(LEFT(INDEX(Custodia!$U$2:$U$301,MATCH(C114,Custodia!$A$2:$A$301,0)),1),"?"))</f>
        <v/>
      </c>
    </row>
    <row r="115">
      <c r="A115" s="15" t="n"/>
      <c r="B115" s="18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6">
        <f>IF(A115="","",COUNTIF(F115,"A favor")+COUNTIF(H115,"A favor")+COUNTIF(J115,"A favor"))</f>
        <v/>
      </c>
      <c r="L115" s="16">
        <f>IF(A115="","",IF(K115=3,"Sim","Não"))</f>
        <v/>
      </c>
      <c r="M115" s="16">
        <f>IF(C115="","",COUNTIFS(Red_Team!$B$2:$B$301,C115,Red_Team!$I$2:$I$301,"Aberta"))</f>
        <v/>
      </c>
      <c r="N115" s="15" t="n"/>
      <c r="O115" s="16">
        <f>IF(A115="","",IF(M115&gt;0,"NÃO – objeções abertas",IF(AND(D115="Autenticidade confirmada (origem institucional)",Q115&lt;&gt;"A"),"NÃO – exige item classe A",IF(AND(Q115="C",D115&lt;&gt;"Alegação da defesa (classe C)"),"NÃO – item classe C",IF(AND(D115="Alegação da defesa (classe C)",Q115&lt;&gt;"C"),"NÃO – item não é classe C",IF(D115="Indícios técnicos de alteração",IF(L115="Sim","Sim","NÃO – exige unanimidade"),IF(K115&gt;=2,"Sim","NÃO – sem maioria")))))))</f>
        <v/>
      </c>
      <c r="P115" s="16">
        <f>IF(C115="","",IF(COUNTIF(C116:C$302,C115)=0,C115,""))</f>
        <v/>
      </c>
      <c r="Q115" s="16">
        <f>IF(C115="","",IFERROR(LEFT(INDEX(Custodia!$U$2:$U$301,MATCH(C115,Custodia!$A$2:$A$301,0)),1),"?"))</f>
        <v/>
      </c>
    </row>
    <row r="116">
      <c r="A116" s="15" t="n"/>
      <c r="B116" s="18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6">
        <f>IF(A116="","",COUNTIF(F116,"A favor")+COUNTIF(H116,"A favor")+COUNTIF(J116,"A favor"))</f>
        <v/>
      </c>
      <c r="L116" s="16">
        <f>IF(A116="","",IF(K116=3,"Sim","Não"))</f>
        <v/>
      </c>
      <c r="M116" s="16">
        <f>IF(C116="","",COUNTIFS(Red_Team!$B$2:$B$301,C116,Red_Team!$I$2:$I$301,"Aberta"))</f>
        <v/>
      </c>
      <c r="N116" s="15" t="n"/>
      <c r="O116" s="16">
        <f>IF(A116="","",IF(M116&gt;0,"NÃO – objeções abertas",IF(AND(D116="Autenticidade confirmada (origem institucional)",Q116&lt;&gt;"A"),"NÃO – exige item classe A",IF(AND(Q116="C",D116&lt;&gt;"Alegação da defesa (classe C)"),"NÃO – item classe C",IF(AND(D116="Alegação da defesa (classe C)",Q116&lt;&gt;"C"),"NÃO – item não é classe C",IF(D116="Indícios técnicos de alteração",IF(L116="Sim","Sim","NÃO – exige unanimidade"),IF(K116&gt;=2,"Sim","NÃO – sem maioria")))))))</f>
        <v/>
      </c>
      <c r="P116" s="16">
        <f>IF(C116="","",IF(COUNTIF(C117:C$302,C116)=0,C116,""))</f>
        <v/>
      </c>
      <c r="Q116" s="16">
        <f>IF(C116="","",IFERROR(LEFT(INDEX(Custodia!$U$2:$U$301,MATCH(C116,Custodia!$A$2:$A$301,0)),1),"?"))</f>
        <v/>
      </c>
    </row>
    <row r="117">
      <c r="A117" s="15" t="n"/>
      <c r="B117" s="18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6">
        <f>IF(A117="","",COUNTIF(F117,"A favor")+COUNTIF(H117,"A favor")+COUNTIF(J117,"A favor"))</f>
        <v/>
      </c>
      <c r="L117" s="16">
        <f>IF(A117="","",IF(K117=3,"Sim","Não"))</f>
        <v/>
      </c>
      <c r="M117" s="16">
        <f>IF(C117="","",COUNTIFS(Red_Team!$B$2:$B$301,C117,Red_Team!$I$2:$I$301,"Aberta"))</f>
        <v/>
      </c>
      <c r="N117" s="15" t="n"/>
      <c r="O117" s="16">
        <f>IF(A117="","",IF(M117&gt;0,"NÃO – objeções abertas",IF(AND(D117="Autenticidade confirmada (origem institucional)",Q117&lt;&gt;"A"),"NÃO – exige item classe A",IF(AND(Q117="C",D117&lt;&gt;"Alegação da defesa (classe C)"),"NÃO – item classe C",IF(AND(D117="Alegação da defesa (classe C)",Q117&lt;&gt;"C"),"NÃO – item não é classe C",IF(D117="Indícios técnicos de alteração",IF(L117="Sim","Sim","NÃO – exige unanimidade"),IF(K117&gt;=2,"Sim","NÃO – sem maioria")))))))</f>
        <v/>
      </c>
      <c r="P117" s="16">
        <f>IF(C117="","",IF(COUNTIF(C118:C$302,C117)=0,C117,""))</f>
        <v/>
      </c>
      <c r="Q117" s="16">
        <f>IF(C117="","",IFERROR(LEFT(INDEX(Custodia!$U$2:$U$301,MATCH(C117,Custodia!$A$2:$A$301,0)),1),"?"))</f>
        <v/>
      </c>
    </row>
    <row r="118">
      <c r="A118" s="15" t="n"/>
      <c r="B118" s="18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6">
        <f>IF(A118="","",COUNTIF(F118,"A favor")+COUNTIF(H118,"A favor")+COUNTIF(J118,"A favor"))</f>
        <v/>
      </c>
      <c r="L118" s="16">
        <f>IF(A118="","",IF(K118=3,"Sim","Não"))</f>
        <v/>
      </c>
      <c r="M118" s="16">
        <f>IF(C118="","",COUNTIFS(Red_Team!$B$2:$B$301,C118,Red_Team!$I$2:$I$301,"Aberta"))</f>
        <v/>
      </c>
      <c r="N118" s="15" t="n"/>
      <c r="O118" s="16">
        <f>IF(A118="","",IF(M118&gt;0,"NÃO – objeções abertas",IF(AND(D118="Autenticidade confirmada (origem institucional)",Q118&lt;&gt;"A"),"NÃO – exige item classe A",IF(AND(Q118="C",D118&lt;&gt;"Alegação da defesa (classe C)"),"NÃO – item classe C",IF(AND(D118="Alegação da defesa (classe C)",Q118&lt;&gt;"C"),"NÃO – item não é classe C",IF(D118="Indícios técnicos de alteração",IF(L118="Sim","Sim","NÃO – exige unanimidade"),IF(K118&gt;=2,"Sim","NÃO – sem maioria")))))))</f>
        <v/>
      </c>
      <c r="P118" s="16">
        <f>IF(C118="","",IF(COUNTIF(C119:C$302,C118)=0,C118,""))</f>
        <v/>
      </c>
      <c r="Q118" s="16">
        <f>IF(C118="","",IFERROR(LEFT(INDEX(Custodia!$U$2:$U$301,MATCH(C118,Custodia!$A$2:$A$301,0)),1),"?"))</f>
        <v/>
      </c>
    </row>
    <row r="119">
      <c r="A119" s="15" t="n"/>
      <c r="B119" s="18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6">
        <f>IF(A119="","",COUNTIF(F119,"A favor")+COUNTIF(H119,"A favor")+COUNTIF(J119,"A favor"))</f>
        <v/>
      </c>
      <c r="L119" s="16">
        <f>IF(A119="","",IF(K119=3,"Sim","Não"))</f>
        <v/>
      </c>
      <c r="M119" s="16">
        <f>IF(C119="","",COUNTIFS(Red_Team!$B$2:$B$301,C119,Red_Team!$I$2:$I$301,"Aberta"))</f>
        <v/>
      </c>
      <c r="N119" s="15" t="n"/>
      <c r="O119" s="16">
        <f>IF(A119="","",IF(M119&gt;0,"NÃO – objeções abertas",IF(AND(D119="Autenticidade confirmada (origem institucional)",Q119&lt;&gt;"A"),"NÃO – exige item classe A",IF(AND(Q119="C",D119&lt;&gt;"Alegação da defesa (classe C)"),"NÃO – item classe C",IF(AND(D119="Alegação da defesa (classe C)",Q119&lt;&gt;"C"),"NÃO – item não é classe C",IF(D119="Indícios técnicos de alteração",IF(L119="Sim","Sim","NÃO – exige unanimidade"),IF(K119&gt;=2,"Sim","NÃO – sem maioria")))))))</f>
        <v/>
      </c>
      <c r="P119" s="16">
        <f>IF(C119="","",IF(COUNTIF(C120:C$302,C119)=0,C119,""))</f>
        <v/>
      </c>
      <c r="Q119" s="16">
        <f>IF(C119="","",IFERROR(LEFT(INDEX(Custodia!$U$2:$U$301,MATCH(C119,Custodia!$A$2:$A$301,0)),1),"?"))</f>
        <v/>
      </c>
    </row>
    <row r="120">
      <c r="A120" s="15" t="n"/>
      <c r="B120" s="18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6">
        <f>IF(A120="","",COUNTIF(F120,"A favor")+COUNTIF(H120,"A favor")+COUNTIF(J120,"A favor"))</f>
        <v/>
      </c>
      <c r="L120" s="16">
        <f>IF(A120="","",IF(K120=3,"Sim","Não"))</f>
        <v/>
      </c>
      <c r="M120" s="16">
        <f>IF(C120="","",COUNTIFS(Red_Team!$B$2:$B$301,C120,Red_Team!$I$2:$I$301,"Aberta"))</f>
        <v/>
      </c>
      <c r="N120" s="15" t="n"/>
      <c r="O120" s="16">
        <f>IF(A120="","",IF(M120&gt;0,"NÃO – objeções abertas",IF(AND(D120="Autenticidade confirmada (origem institucional)",Q120&lt;&gt;"A"),"NÃO – exige item classe A",IF(AND(Q120="C",D120&lt;&gt;"Alegação da defesa (classe C)"),"NÃO – item classe C",IF(AND(D120="Alegação da defesa (classe C)",Q120&lt;&gt;"C"),"NÃO – item não é classe C",IF(D120="Indícios técnicos de alteração",IF(L120="Sim","Sim","NÃO – exige unanimidade"),IF(K120&gt;=2,"Sim","NÃO – sem maioria")))))))</f>
        <v/>
      </c>
      <c r="P120" s="16">
        <f>IF(C120="","",IF(COUNTIF(C121:C$302,C120)=0,C120,""))</f>
        <v/>
      </c>
      <c r="Q120" s="16">
        <f>IF(C120="","",IFERROR(LEFT(INDEX(Custodia!$U$2:$U$301,MATCH(C120,Custodia!$A$2:$A$301,0)),1),"?"))</f>
        <v/>
      </c>
    </row>
    <row r="121">
      <c r="A121" s="15" t="n"/>
      <c r="B121" s="18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6">
        <f>IF(A121="","",COUNTIF(F121,"A favor")+COUNTIF(H121,"A favor")+COUNTIF(J121,"A favor"))</f>
        <v/>
      </c>
      <c r="L121" s="16">
        <f>IF(A121="","",IF(K121=3,"Sim","Não"))</f>
        <v/>
      </c>
      <c r="M121" s="16">
        <f>IF(C121="","",COUNTIFS(Red_Team!$B$2:$B$301,C121,Red_Team!$I$2:$I$301,"Aberta"))</f>
        <v/>
      </c>
      <c r="N121" s="15" t="n"/>
      <c r="O121" s="16">
        <f>IF(A121="","",IF(M121&gt;0,"NÃO – objeções abertas",IF(AND(D121="Autenticidade confirmada (origem institucional)",Q121&lt;&gt;"A"),"NÃO – exige item classe A",IF(AND(Q121="C",D121&lt;&gt;"Alegação da defesa (classe C)"),"NÃO – item classe C",IF(AND(D121="Alegação da defesa (classe C)",Q121&lt;&gt;"C"),"NÃO – item não é classe C",IF(D121="Indícios técnicos de alteração",IF(L121="Sim","Sim","NÃO – exige unanimidade"),IF(K121&gt;=2,"Sim","NÃO – sem maioria")))))))</f>
        <v/>
      </c>
      <c r="P121" s="16">
        <f>IF(C121="","",IF(COUNTIF(C122:C$302,C121)=0,C121,""))</f>
        <v/>
      </c>
      <c r="Q121" s="16">
        <f>IF(C121="","",IFERROR(LEFT(INDEX(Custodia!$U$2:$U$301,MATCH(C121,Custodia!$A$2:$A$301,0)),1),"?"))</f>
        <v/>
      </c>
    </row>
    <row r="122">
      <c r="A122" s="15" t="n"/>
      <c r="B122" s="18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6">
        <f>IF(A122="","",COUNTIF(F122,"A favor")+COUNTIF(H122,"A favor")+COUNTIF(J122,"A favor"))</f>
        <v/>
      </c>
      <c r="L122" s="16">
        <f>IF(A122="","",IF(K122=3,"Sim","Não"))</f>
        <v/>
      </c>
      <c r="M122" s="16">
        <f>IF(C122="","",COUNTIFS(Red_Team!$B$2:$B$301,C122,Red_Team!$I$2:$I$301,"Aberta"))</f>
        <v/>
      </c>
      <c r="N122" s="15" t="n"/>
      <c r="O122" s="16">
        <f>IF(A122="","",IF(M122&gt;0,"NÃO – objeções abertas",IF(AND(D122="Autenticidade confirmada (origem institucional)",Q122&lt;&gt;"A"),"NÃO – exige item classe A",IF(AND(Q122="C",D122&lt;&gt;"Alegação da defesa (classe C)"),"NÃO – item classe C",IF(AND(D122="Alegação da defesa (classe C)",Q122&lt;&gt;"C"),"NÃO – item não é classe C",IF(D122="Indícios técnicos de alteração",IF(L122="Sim","Sim","NÃO – exige unanimidade"),IF(K122&gt;=2,"Sim","NÃO – sem maioria")))))))</f>
        <v/>
      </c>
      <c r="P122" s="16">
        <f>IF(C122="","",IF(COUNTIF(C123:C$302,C122)=0,C122,""))</f>
        <v/>
      </c>
      <c r="Q122" s="16">
        <f>IF(C122="","",IFERROR(LEFT(INDEX(Custodia!$U$2:$U$301,MATCH(C122,Custodia!$A$2:$A$301,0)),1),"?"))</f>
        <v/>
      </c>
    </row>
    <row r="123">
      <c r="A123" s="15" t="n"/>
      <c r="B123" s="18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6">
        <f>IF(A123="","",COUNTIF(F123,"A favor")+COUNTIF(H123,"A favor")+COUNTIF(J123,"A favor"))</f>
        <v/>
      </c>
      <c r="L123" s="16">
        <f>IF(A123="","",IF(K123=3,"Sim","Não"))</f>
        <v/>
      </c>
      <c r="M123" s="16">
        <f>IF(C123="","",COUNTIFS(Red_Team!$B$2:$B$301,C123,Red_Team!$I$2:$I$301,"Aberta"))</f>
        <v/>
      </c>
      <c r="N123" s="15" t="n"/>
      <c r="O123" s="16">
        <f>IF(A123="","",IF(M123&gt;0,"NÃO – objeções abertas",IF(AND(D123="Autenticidade confirmada (origem institucional)",Q123&lt;&gt;"A"),"NÃO – exige item classe A",IF(AND(Q123="C",D123&lt;&gt;"Alegação da defesa (classe C)"),"NÃO – item classe C",IF(AND(D123="Alegação da defesa (classe C)",Q123&lt;&gt;"C"),"NÃO – item não é classe C",IF(D123="Indícios técnicos de alteração",IF(L123="Sim","Sim","NÃO – exige unanimidade"),IF(K123&gt;=2,"Sim","NÃO – sem maioria")))))))</f>
        <v/>
      </c>
      <c r="P123" s="16">
        <f>IF(C123="","",IF(COUNTIF(C124:C$302,C123)=0,C123,""))</f>
        <v/>
      </c>
      <c r="Q123" s="16">
        <f>IF(C123="","",IFERROR(LEFT(INDEX(Custodia!$U$2:$U$301,MATCH(C123,Custodia!$A$2:$A$301,0)),1),"?"))</f>
        <v/>
      </c>
    </row>
    <row r="124">
      <c r="A124" s="15" t="n"/>
      <c r="B124" s="18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6">
        <f>IF(A124="","",COUNTIF(F124,"A favor")+COUNTIF(H124,"A favor")+COUNTIF(J124,"A favor"))</f>
        <v/>
      </c>
      <c r="L124" s="16">
        <f>IF(A124="","",IF(K124=3,"Sim","Não"))</f>
        <v/>
      </c>
      <c r="M124" s="16">
        <f>IF(C124="","",COUNTIFS(Red_Team!$B$2:$B$301,C124,Red_Team!$I$2:$I$301,"Aberta"))</f>
        <v/>
      </c>
      <c r="N124" s="15" t="n"/>
      <c r="O124" s="16">
        <f>IF(A124="","",IF(M124&gt;0,"NÃO – objeções abertas",IF(AND(D124="Autenticidade confirmada (origem institucional)",Q124&lt;&gt;"A"),"NÃO – exige item classe A",IF(AND(Q124="C",D124&lt;&gt;"Alegação da defesa (classe C)"),"NÃO – item classe C",IF(AND(D124="Alegação da defesa (classe C)",Q124&lt;&gt;"C"),"NÃO – item não é classe C",IF(D124="Indícios técnicos de alteração",IF(L124="Sim","Sim","NÃO – exige unanimidade"),IF(K124&gt;=2,"Sim","NÃO – sem maioria")))))))</f>
        <v/>
      </c>
      <c r="P124" s="16">
        <f>IF(C124="","",IF(COUNTIF(C125:C$302,C124)=0,C124,""))</f>
        <v/>
      </c>
      <c r="Q124" s="16">
        <f>IF(C124="","",IFERROR(LEFT(INDEX(Custodia!$U$2:$U$301,MATCH(C124,Custodia!$A$2:$A$301,0)),1),"?"))</f>
        <v/>
      </c>
    </row>
    <row r="125">
      <c r="A125" s="15" t="n"/>
      <c r="B125" s="18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6">
        <f>IF(A125="","",COUNTIF(F125,"A favor")+COUNTIF(H125,"A favor")+COUNTIF(J125,"A favor"))</f>
        <v/>
      </c>
      <c r="L125" s="16">
        <f>IF(A125="","",IF(K125=3,"Sim","Não"))</f>
        <v/>
      </c>
      <c r="M125" s="16">
        <f>IF(C125="","",COUNTIFS(Red_Team!$B$2:$B$301,C125,Red_Team!$I$2:$I$301,"Aberta"))</f>
        <v/>
      </c>
      <c r="N125" s="15" t="n"/>
      <c r="O125" s="16">
        <f>IF(A125="","",IF(M125&gt;0,"NÃO – objeções abertas",IF(AND(D125="Autenticidade confirmada (origem institucional)",Q125&lt;&gt;"A"),"NÃO – exige item classe A",IF(AND(Q125="C",D125&lt;&gt;"Alegação da defesa (classe C)"),"NÃO – item classe C",IF(AND(D125="Alegação da defesa (classe C)",Q125&lt;&gt;"C"),"NÃO – item não é classe C",IF(D125="Indícios técnicos de alteração",IF(L125="Sim","Sim","NÃO – exige unanimidade"),IF(K125&gt;=2,"Sim","NÃO – sem maioria")))))))</f>
        <v/>
      </c>
      <c r="P125" s="16">
        <f>IF(C125="","",IF(COUNTIF(C126:C$302,C125)=0,C125,""))</f>
        <v/>
      </c>
      <c r="Q125" s="16">
        <f>IF(C125="","",IFERROR(LEFT(INDEX(Custodia!$U$2:$U$301,MATCH(C125,Custodia!$A$2:$A$301,0)),1),"?"))</f>
        <v/>
      </c>
    </row>
    <row r="126">
      <c r="A126" s="15" t="n"/>
      <c r="B126" s="18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6">
        <f>IF(A126="","",COUNTIF(F126,"A favor")+COUNTIF(H126,"A favor")+COUNTIF(J126,"A favor"))</f>
        <v/>
      </c>
      <c r="L126" s="16">
        <f>IF(A126="","",IF(K126=3,"Sim","Não"))</f>
        <v/>
      </c>
      <c r="M126" s="16">
        <f>IF(C126="","",COUNTIFS(Red_Team!$B$2:$B$301,C126,Red_Team!$I$2:$I$301,"Aberta"))</f>
        <v/>
      </c>
      <c r="N126" s="15" t="n"/>
      <c r="O126" s="16">
        <f>IF(A126="","",IF(M126&gt;0,"NÃO – objeções abertas",IF(AND(D126="Autenticidade confirmada (origem institucional)",Q126&lt;&gt;"A"),"NÃO – exige item classe A",IF(AND(Q126="C",D126&lt;&gt;"Alegação da defesa (classe C)"),"NÃO – item classe C",IF(AND(D126="Alegação da defesa (classe C)",Q126&lt;&gt;"C"),"NÃO – item não é classe C",IF(D126="Indícios técnicos de alteração",IF(L126="Sim","Sim","NÃO – exige unanimidade"),IF(K126&gt;=2,"Sim","NÃO – sem maioria")))))))</f>
        <v/>
      </c>
      <c r="P126" s="16">
        <f>IF(C126="","",IF(COUNTIF(C127:C$302,C126)=0,C126,""))</f>
        <v/>
      </c>
      <c r="Q126" s="16">
        <f>IF(C126="","",IFERROR(LEFT(INDEX(Custodia!$U$2:$U$301,MATCH(C126,Custodia!$A$2:$A$301,0)),1),"?"))</f>
        <v/>
      </c>
    </row>
    <row r="127">
      <c r="A127" s="15" t="n"/>
      <c r="B127" s="18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6">
        <f>IF(A127="","",COUNTIF(F127,"A favor")+COUNTIF(H127,"A favor")+COUNTIF(J127,"A favor"))</f>
        <v/>
      </c>
      <c r="L127" s="16">
        <f>IF(A127="","",IF(K127=3,"Sim","Não"))</f>
        <v/>
      </c>
      <c r="M127" s="16">
        <f>IF(C127="","",COUNTIFS(Red_Team!$B$2:$B$301,C127,Red_Team!$I$2:$I$301,"Aberta"))</f>
        <v/>
      </c>
      <c r="N127" s="15" t="n"/>
      <c r="O127" s="16">
        <f>IF(A127="","",IF(M127&gt;0,"NÃO – objeções abertas",IF(AND(D127="Autenticidade confirmada (origem institucional)",Q127&lt;&gt;"A"),"NÃO – exige item classe A",IF(AND(Q127="C",D127&lt;&gt;"Alegação da defesa (classe C)"),"NÃO – item classe C",IF(AND(D127="Alegação da defesa (classe C)",Q127&lt;&gt;"C"),"NÃO – item não é classe C",IF(D127="Indícios técnicos de alteração",IF(L127="Sim","Sim","NÃO – exige unanimidade"),IF(K127&gt;=2,"Sim","NÃO – sem maioria")))))))</f>
        <v/>
      </c>
      <c r="P127" s="16">
        <f>IF(C127="","",IF(COUNTIF(C128:C$302,C127)=0,C127,""))</f>
        <v/>
      </c>
      <c r="Q127" s="16">
        <f>IF(C127="","",IFERROR(LEFT(INDEX(Custodia!$U$2:$U$301,MATCH(C127,Custodia!$A$2:$A$301,0)),1),"?"))</f>
        <v/>
      </c>
    </row>
    <row r="128">
      <c r="A128" s="15" t="n"/>
      <c r="B128" s="18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6">
        <f>IF(A128="","",COUNTIF(F128,"A favor")+COUNTIF(H128,"A favor")+COUNTIF(J128,"A favor"))</f>
        <v/>
      </c>
      <c r="L128" s="16">
        <f>IF(A128="","",IF(K128=3,"Sim","Não"))</f>
        <v/>
      </c>
      <c r="M128" s="16">
        <f>IF(C128="","",COUNTIFS(Red_Team!$B$2:$B$301,C128,Red_Team!$I$2:$I$301,"Aberta"))</f>
        <v/>
      </c>
      <c r="N128" s="15" t="n"/>
      <c r="O128" s="16">
        <f>IF(A128="","",IF(M128&gt;0,"NÃO – objeções abertas",IF(AND(D128="Autenticidade confirmada (origem institucional)",Q128&lt;&gt;"A"),"NÃO – exige item classe A",IF(AND(Q128="C",D128&lt;&gt;"Alegação da defesa (classe C)"),"NÃO – item classe C",IF(AND(D128="Alegação da defesa (classe C)",Q128&lt;&gt;"C"),"NÃO – item não é classe C",IF(D128="Indícios técnicos de alteração",IF(L128="Sim","Sim","NÃO – exige unanimidade"),IF(K128&gt;=2,"Sim","NÃO – sem maioria")))))))</f>
        <v/>
      </c>
      <c r="P128" s="16">
        <f>IF(C128="","",IF(COUNTIF(C129:C$302,C128)=0,C128,""))</f>
        <v/>
      </c>
      <c r="Q128" s="16">
        <f>IF(C128="","",IFERROR(LEFT(INDEX(Custodia!$U$2:$U$301,MATCH(C128,Custodia!$A$2:$A$301,0)),1),"?"))</f>
        <v/>
      </c>
    </row>
    <row r="129">
      <c r="A129" s="15" t="n"/>
      <c r="B129" s="18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6">
        <f>IF(A129="","",COUNTIF(F129,"A favor")+COUNTIF(H129,"A favor")+COUNTIF(J129,"A favor"))</f>
        <v/>
      </c>
      <c r="L129" s="16">
        <f>IF(A129="","",IF(K129=3,"Sim","Não"))</f>
        <v/>
      </c>
      <c r="M129" s="16">
        <f>IF(C129="","",COUNTIFS(Red_Team!$B$2:$B$301,C129,Red_Team!$I$2:$I$301,"Aberta"))</f>
        <v/>
      </c>
      <c r="N129" s="15" t="n"/>
      <c r="O129" s="16">
        <f>IF(A129="","",IF(M129&gt;0,"NÃO – objeções abertas",IF(AND(D129="Autenticidade confirmada (origem institucional)",Q129&lt;&gt;"A"),"NÃO – exige item classe A",IF(AND(Q129="C",D129&lt;&gt;"Alegação da defesa (classe C)"),"NÃO – item classe C",IF(AND(D129="Alegação da defesa (classe C)",Q129&lt;&gt;"C"),"NÃO – item não é classe C",IF(D129="Indícios técnicos de alteração",IF(L129="Sim","Sim","NÃO – exige unanimidade"),IF(K129&gt;=2,"Sim","NÃO – sem maioria")))))))</f>
        <v/>
      </c>
      <c r="P129" s="16">
        <f>IF(C129="","",IF(COUNTIF(C130:C$302,C129)=0,C129,""))</f>
        <v/>
      </c>
      <c r="Q129" s="16">
        <f>IF(C129="","",IFERROR(LEFT(INDEX(Custodia!$U$2:$U$301,MATCH(C129,Custodia!$A$2:$A$301,0)),1),"?"))</f>
        <v/>
      </c>
    </row>
    <row r="130">
      <c r="A130" s="15" t="n"/>
      <c r="B130" s="18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6">
        <f>IF(A130="","",COUNTIF(F130,"A favor")+COUNTIF(H130,"A favor")+COUNTIF(J130,"A favor"))</f>
        <v/>
      </c>
      <c r="L130" s="16">
        <f>IF(A130="","",IF(K130=3,"Sim","Não"))</f>
        <v/>
      </c>
      <c r="M130" s="16">
        <f>IF(C130="","",COUNTIFS(Red_Team!$B$2:$B$301,C130,Red_Team!$I$2:$I$301,"Aberta"))</f>
        <v/>
      </c>
      <c r="N130" s="15" t="n"/>
      <c r="O130" s="16">
        <f>IF(A130="","",IF(M130&gt;0,"NÃO – objeções abertas",IF(AND(D130="Autenticidade confirmada (origem institucional)",Q130&lt;&gt;"A"),"NÃO – exige item classe A",IF(AND(Q130="C",D130&lt;&gt;"Alegação da defesa (classe C)"),"NÃO – item classe C",IF(AND(D130="Alegação da defesa (classe C)",Q130&lt;&gt;"C"),"NÃO – item não é classe C",IF(D130="Indícios técnicos de alteração",IF(L130="Sim","Sim","NÃO – exige unanimidade"),IF(K130&gt;=2,"Sim","NÃO – sem maioria")))))))</f>
        <v/>
      </c>
      <c r="P130" s="16">
        <f>IF(C130="","",IF(COUNTIF(C131:C$302,C130)=0,C130,""))</f>
        <v/>
      </c>
      <c r="Q130" s="16">
        <f>IF(C130="","",IFERROR(LEFT(INDEX(Custodia!$U$2:$U$301,MATCH(C130,Custodia!$A$2:$A$301,0)),1),"?"))</f>
        <v/>
      </c>
    </row>
    <row r="131">
      <c r="A131" s="15" t="n"/>
      <c r="B131" s="18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6">
        <f>IF(A131="","",COUNTIF(F131,"A favor")+COUNTIF(H131,"A favor")+COUNTIF(J131,"A favor"))</f>
        <v/>
      </c>
      <c r="L131" s="16">
        <f>IF(A131="","",IF(K131=3,"Sim","Não"))</f>
        <v/>
      </c>
      <c r="M131" s="16">
        <f>IF(C131="","",COUNTIFS(Red_Team!$B$2:$B$301,C131,Red_Team!$I$2:$I$301,"Aberta"))</f>
        <v/>
      </c>
      <c r="N131" s="15" t="n"/>
      <c r="O131" s="16">
        <f>IF(A131="","",IF(M131&gt;0,"NÃO – objeções abertas",IF(AND(D131="Autenticidade confirmada (origem institucional)",Q131&lt;&gt;"A"),"NÃO – exige item classe A",IF(AND(Q131="C",D131&lt;&gt;"Alegação da defesa (classe C)"),"NÃO – item classe C",IF(AND(D131="Alegação da defesa (classe C)",Q131&lt;&gt;"C"),"NÃO – item não é classe C",IF(D131="Indícios técnicos de alteração",IF(L131="Sim","Sim","NÃO – exige unanimidade"),IF(K131&gt;=2,"Sim","NÃO – sem maioria")))))))</f>
        <v/>
      </c>
      <c r="P131" s="16">
        <f>IF(C131="","",IF(COUNTIF(C132:C$302,C131)=0,C131,""))</f>
        <v/>
      </c>
      <c r="Q131" s="16">
        <f>IF(C131="","",IFERROR(LEFT(INDEX(Custodia!$U$2:$U$301,MATCH(C131,Custodia!$A$2:$A$301,0)),1),"?"))</f>
        <v/>
      </c>
    </row>
    <row r="132">
      <c r="A132" s="15" t="n"/>
      <c r="B132" s="18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6">
        <f>IF(A132="","",COUNTIF(F132,"A favor")+COUNTIF(H132,"A favor")+COUNTIF(J132,"A favor"))</f>
        <v/>
      </c>
      <c r="L132" s="16">
        <f>IF(A132="","",IF(K132=3,"Sim","Não"))</f>
        <v/>
      </c>
      <c r="M132" s="16">
        <f>IF(C132="","",COUNTIFS(Red_Team!$B$2:$B$301,C132,Red_Team!$I$2:$I$301,"Aberta"))</f>
        <v/>
      </c>
      <c r="N132" s="15" t="n"/>
      <c r="O132" s="16">
        <f>IF(A132="","",IF(M132&gt;0,"NÃO – objeções abertas",IF(AND(D132="Autenticidade confirmada (origem institucional)",Q132&lt;&gt;"A"),"NÃO – exige item classe A",IF(AND(Q132="C",D132&lt;&gt;"Alegação da defesa (classe C)"),"NÃO – item classe C",IF(AND(D132="Alegação da defesa (classe C)",Q132&lt;&gt;"C"),"NÃO – item não é classe C",IF(D132="Indícios técnicos de alteração",IF(L132="Sim","Sim","NÃO – exige unanimidade"),IF(K132&gt;=2,"Sim","NÃO – sem maioria")))))))</f>
        <v/>
      </c>
      <c r="P132" s="16">
        <f>IF(C132="","",IF(COUNTIF(C133:C$302,C132)=0,C132,""))</f>
        <v/>
      </c>
      <c r="Q132" s="16">
        <f>IF(C132="","",IFERROR(LEFT(INDEX(Custodia!$U$2:$U$301,MATCH(C132,Custodia!$A$2:$A$301,0)),1),"?"))</f>
        <v/>
      </c>
    </row>
    <row r="133">
      <c r="A133" s="15" t="n"/>
      <c r="B133" s="18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6">
        <f>IF(A133="","",COUNTIF(F133,"A favor")+COUNTIF(H133,"A favor")+COUNTIF(J133,"A favor"))</f>
        <v/>
      </c>
      <c r="L133" s="16">
        <f>IF(A133="","",IF(K133=3,"Sim","Não"))</f>
        <v/>
      </c>
      <c r="M133" s="16">
        <f>IF(C133="","",COUNTIFS(Red_Team!$B$2:$B$301,C133,Red_Team!$I$2:$I$301,"Aberta"))</f>
        <v/>
      </c>
      <c r="N133" s="15" t="n"/>
      <c r="O133" s="16">
        <f>IF(A133="","",IF(M133&gt;0,"NÃO – objeções abertas",IF(AND(D133="Autenticidade confirmada (origem institucional)",Q133&lt;&gt;"A"),"NÃO – exige item classe A",IF(AND(Q133="C",D133&lt;&gt;"Alegação da defesa (classe C)"),"NÃO – item classe C",IF(AND(D133="Alegação da defesa (classe C)",Q133&lt;&gt;"C"),"NÃO – item não é classe C",IF(D133="Indícios técnicos de alteração",IF(L133="Sim","Sim","NÃO – exige unanimidade"),IF(K133&gt;=2,"Sim","NÃO – sem maioria")))))))</f>
        <v/>
      </c>
      <c r="P133" s="16">
        <f>IF(C133="","",IF(COUNTIF(C134:C$302,C133)=0,C133,""))</f>
        <v/>
      </c>
      <c r="Q133" s="16">
        <f>IF(C133="","",IFERROR(LEFT(INDEX(Custodia!$U$2:$U$301,MATCH(C133,Custodia!$A$2:$A$301,0)),1),"?"))</f>
        <v/>
      </c>
    </row>
    <row r="134">
      <c r="A134" s="15" t="n"/>
      <c r="B134" s="18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6">
        <f>IF(A134="","",COUNTIF(F134,"A favor")+COUNTIF(H134,"A favor")+COUNTIF(J134,"A favor"))</f>
        <v/>
      </c>
      <c r="L134" s="16">
        <f>IF(A134="","",IF(K134=3,"Sim","Não"))</f>
        <v/>
      </c>
      <c r="M134" s="16">
        <f>IF(C134="","",COUNTIFS(Red_Team!$B$2:$B$301,C134,Red_Team!$I$2:$I$301,"Aberta"))</f>
        <v/>
      </c>
      <c r="N134" s="15" t="n"/>
      <c r="O134" s="16">
        <f>IF(A134="","",IF(M134&gt;0,"NÃO – objeções abertas",IF(AND(D134="Autenticidade confirmada (origem institucional)",Q134&lt;&gt;"A"),"NÃO – exige item classe A",IF(AND(Q134="C",D134&lt;&gt;"Alegação da defesa (classe C)"),"NÃO – item classe C",IF(AND(D134="Alegação da defesa (classe C)",Q134&lt;&gt;"C"),"NÃO – item não é classe C",IF(D134="Indícios técnicos de alteração",IF(L134="Sim","Sim","NÃO – exige unanimidade"),IF(K134&gt;=2,"Sim","NÃO – sem maioria")))))))</f>
        <v/>
      </c>
      <c r="P134" s="16">
        <f>IF(C134="","",IF(COUNTIF(C135:C$302,C134)=0,C134,""))</f>
        <v/>
      </c>
      <c r="Q134" s="16">
        <f>IF(C134="","",IFERROR(LEFT(INDEX(Custodia!$U$2:$U$301,MATCH(C134,Custodia!$A$2:$A$301,0)),1),"?"))</f>
        <v/>
      </c>
    </row>
    <row r="135">
      <c r="A135" s="15" t="n"/>
      <c r="B135" s="18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6">
        <f>IF(A135="","",COUNTIF(F135,"A favor")+COUNTIF(H135,"A favor")+COUNTIF(J135,"A favor"))</f>
        <v/>
      </c>
      <c r="L135" s="16">
        <f>IF(A135="","",IF(K135=3,"Sim","Não"))</f>
        <v/>
      </c>
      <c r="M135" s="16">
        <f>IF(C135="","",COUNTIFS(Red_Team!$B$2:$B$301,C135,Red_Team!$I$2:$I$301,"Aberta"))</f>
        <v/>
      </c>
      <c r="N135" s="15" t="n"/>
      <c r="O135" s="16">
        <f>IF(A135="","",IF(M135&gt;0,"NÃO – objeções abertas",IF(AND(D135="Autenticidade confirmada (origem institucional)",Q135&lt;&gt;"A"),"NÃO – exige item classe A",IF(AND(Q135="C",D135&lt;&gt;"Alegação da defesa (classe C)"),"NÃO – item classe C",IF(AND(D135="Alegação da defesa (classe C)",Q135&lt;&gt;"C"),"NÃO – item não é classe C",IF(D135="Indícios técnicos de alteração",IF(L135="Sim","Sim","NÃO – exige unanimidade"),IF(K135&gt;=2,"Sim","NÃO – sem maioria")))))))</f>
        <v/>
      </c>
      <c r="P135" s="16">
        <f>IF(C135="","",IF(COUNTIF(C136:C$302,C135)=0,C135,""))</f>
        <v/>
      </c>
      <c r="Q135" s="16">
        <f>IF(C135="","",IFERROR(LEFT(INDEX(Custodia!$U$2:$U$301,MATCH(C135,Custodia!$A$2:$A$301,0)),1),"?"))</f>
        <v/>
      </c>
    </row>
    <row r="136">
      <c r="A136" s="15" t="n"/>
      <c r="B136" s="18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6">
        <f>IF(A136="","",COUNTIF(F136,"A favor")+COUNTIF(H136,"A favor")+COUNTIF(J136,"A favor"))</f>
        <v/>
      </c>
      <c r="L136" s="16">
        <f>IF(A136="","",IF(K136=3,"Sim","Não"))</f>
        <v/>
      </c>
      <c r="M136" s="16">
        <f>IF(C136="","",COUNTIFS(Red_Team!$B$2:$B$301,C136,Red_Team!$I$2:$I$301,"Aberta"))</f>
        <v/>
      </c>
      <c r="N136" s="15" t="n"/>
      <c r="O136" s="16">
        <f>IF(A136="","",IF(M136&gt;0,"NÃO – objeções abertas",IF(AND(D136="Autenticidade confirmada (origem institucional)",Q136&lt;&gt;"A"),"NÃO – exige item classe A",IF(AND(Q136="C",D136&lt;&gt;"Alegação da defesa (classe C)"),"NÃO – item classe C",IF(AND(D136="Alegação da defesa (classe C)",Q136&lt;&gt;"C"),"NÃO – item não é classe C",IF(D136="Indícios técnicos de alteração",IF(L136="Sim","Sim","NÃO – exige unanimidade"),IF(K136&gt;=2,"Sim","NÃO – sem maioria")))))))</f>
        <v/>
      </c>
      <c r="P136" s="16">
        <f>IF(C136="","",IF(COUNTIF(C137:C$302,C136)=0,C136,""))</f>
        <v/>
      </c>
      <c r="Q136" s="16">
        <f>IF(C136="","",IFERROR(LEFT(INDEX(Custodia!$U$2:$U$301,MATCH(C136,Custodia!$A$2:$A$301,0)),1),"?"))</f>
        <v/>
      </c>
    </row>
    <row r="137">
      <c r="A137" s="15" t="n"/>
      <c r="B137" s="18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6">
        <f>IF(A137="","",COUNTIF(F137,"A favor")+COUNTIF(H137,"A favor")+COUNTIF(J137,"A favor"))</f>
        <v/>
      </c>
      <c r="L137" s="16">
        <f>IF(A137="","",IF(K137=3,"Sim","Não"))</f>
        <v/>
      </c>
      <c r="M137" s="16">
        <f>IF(C137="","",COUNTIFS(Red_Team!$B$2:$B$301,C137,Red_Team!$I$2:$I$301,"Aberta"))</f>
        <v/>
      </c>
      <c r="N137" s="15" t="n"/>
      <c r="O137" s="16">
        <f>IF(A137="","",IF(M137&gt;0,"NÃO – objeções abertas",IF(AND(D137="Autenticidade confirmada (origem institucional)",Q137&lt;&gt;"A"),"NÃO – exige item classe A",IF(AND(Q137="C",D137&lt;&gt;"Alegação da defesa (classe C)"),"NÃO – item classe C",IF(AND(D137="Alegação da defesa (classe C)",Q137&lt;&gt;"C"),"NÃO – item não é classe C",IF(D137="Indícios técnicos de alteração",IF(L137="Sim","Sim","NÃO – exige unanimidade"),IF(K137&gt;=2,"Sim","NÃO – sem maioria")))))))</f>
        <v/>
      </c>
      <c r="P137" s="16">
        <f>IF(C137="","",IF(COUNTIF(C138:C$302,C137)=0,C137,""))</f>
        <v/>
      </c>
      <c r="Q137" s="16">
        <f>IF(C137="","",IFERROR(LEFT(INDEX(Custodia!$U$2:$U$301,MATCH(C137,Custodia!$A$2:$A$301,0)),1),"?"))</f>
        <v/>
      </c>
    </row>
    <row r="138">
      <c r="A138" s="15" t="n"/>
      <c r="B138" s="18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6">
        <f>IF(A138="","",COUNTIF(F138,"A favor")+COUNTIF(H138,"A favor")+COUNTIF(J138,"A favor"))</f>
        <v/>
      </c>
      <c r="L138" s="16">
        <f>IF(A138="","",IF(K138=3,"Sim","Não"))</f>
        <v/>
      </c>
      <c r="M138" s="16">
        <f>IF(C138="","",COUNTIFS(Red_Team!$B$2:$B$301,C138,Red_Team!$I$2:$I$301,"Aberta"))</f>
        <v/>
      </c>
      <c r="N138" s="15" t="n"/>
      <c r="O138" s="16">
        <f>IF(A138="","",IF(M138&gt;0,"NÃO – objeções abertas",IF(AND(D138="Autenticidade confirmada (origem institucional)",Q138&lt;&gt;"A"),"NÃO – exige item classe A",IF(AND(Q138="C",D138&lt;&gt;"Alegação da defesa (classe C)"),"NÃO – item classe C",IF(AND(D138="Alegação da defesa (classe C)",Q138&lt;&gt;"C"),"NÃO – item não é classe C",IF(D138="Indícios técnicos de alteração",IF(L138="Sim","Sim","NÃO – exige unanimidade"),IF(K138&gt;=2,"Sim","NÃO – sem maioria")))))))</f>
        <v/>
      </c>
      <c r="P138" s="16">
        <f>IF(C138="","",IF(COUNTIF(C139:C$302,C138)=0,C138,""))</f>
        <v/>
      </c>
      <c r="Q138" s="16">
        <f>IF(C138="","",IFERROR(LEFT(INDEX(Custodia!$U$2:$U$301,MATCH(C138,Custodia!$A$2:$A$301,0)),1),"?"))</f>
        <v/>
      </c>
    </row>
    <row r="139">
      <c r="A139" s="15" t="n"/>
      <c r="B139" s="18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6">
        <f>IF(A139="","",COUNTIF(F139,"A favor")+COUNTIF(H139,"A favor")+COUNTIF(J139,"A favor"))</f>
        <v/>
      </c>
      <c r="L139" s="16">
        <f>IF(A139="","",IF(K139=3,"Sim","Não"))</f>
        <v/>
      </c>
      <c r="M139" s="16">
        <f>IF(C139="","",COUNTIFS(Red_Team!$B$2:$B$301,C139,Red_Team!$I$2:$I$301,"Aberta"))</f>
        <v/>
      </c>
      <c r="N139" s="15" t="n"/>
      <c r="O139" s="16">
        <f>IF(A139="","",IF(M139&gt;0,"NÃO – objeções abertas",IF(AND(D139="Autenticidade confirmada (origem institucional)",Q139&lt;&gt;"A"),"NÃO – exige item classe A",IF(AND(Q139="C",D139&lt;&gt;"Alegação da defesa (classe C)"),"NÃO – item classe C",IF(AND(D139="Alegação da defesa (classe C)",Q139&lt;&gt;"C"),"NÃO – item não é classe C",IF(D139="Indícios técnicos de alteração",IF(L139="Sim","Sim","NÃO – exige unanimidade"),IF(K139&gt;=2,"Sim","NÃO – sem maioria")))))))</f>
        <v/>
      </c>
      <c r="P139" s="16">
        <f>IF(C139="","",IF(COUNTIF(C140:C$302,C139)=0,C139,""))</f>
        <v/>
      </c>
      <c r="Q139" s="16">
        <f>IF(C139="","",IFERROR(LEFT(INDEX(Custodia!$U$2:$U$301,MATCH(C139,Custodia!$A$2:$A$301,0)),1),"?"))</f>
        <v/>
      </c>
    </row>
    <row r="140">
      <c r="A140" s="15" t="n"/>
      <c r="B140" s="18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6">
        <f>IF(A140="","",COUNTIF(F140,"A favor")+COUNTIF(H140,"A favor")+COUNTIF(J140,"A favor"))</f>
        <v/>
      </c>
      <c r="L140" s="16">
        <f>IF(A140="","",IF(K140=3,"Sim","Não"))</f>
        <v/>
      </c>
      <c r="M140" s="16">
        <f>IF(C140="","",COUNTIFS(Red_Team!$B$2:$B$301,C140,Red_Team!$I$2:$I$301,"Aberta"))</f>
        <v/>
      </c>
      <c r="N140" s="15" t="n"/>
      <c r="O140" s="16">
        <f>IF(A140="","",IF(M140&gt;0,"NÃO – objeções abertas",IF(AND(D140="Autenticidade confirmada (origem institucional)",Q140&lt;&gt;"A"),"NÃO – exige item classe A",IF(AND(Q140="C",D140&lt;&gt;"Alegação da defesa (classe C)"),"NÃO – item classe C",IF(AND(D140="Alegação da defesa (classe C)",Q140&lt;&gt;"C"),"NÃO – item não é classe C",IF(D140="Indícios técnicos de alteração",IF(L140="Sim","Sim","NÃO – exige unanimidade"),IF(K140&gt;=2,"Sim","NÃO – sem maioria")))))))</f>
        <v/>
      </c>
      <c r="P140" s="16">
        <f>IF(C140="","",IF(COUNTIF(C141:C$302,C140)=0,C140,""))</f>
        <v/>
      </c>
      <c r="Q140" s="16">
        <f>IF(C140="","",IFERROR(LEFT(INDEX(Custodia!$U$2:$U$301,MATCH(C140,Custodia!$A$2:$A$301,0)),1),"?"))</f>
        <v/>
      </c>
    </row>
    <row r="141">
      <c r="A141" s="15" t="n"/>
      <c r="B141" s="18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6">
        <f>IF(A141="","",COUNTIF(F141,"A favor")+COUNTIF(H141,"A favor")+COUNTIF(J141,"A favor"))</f>
        <v/>
      </c>
      <c r="L141" s="16">
        <f>IF(A141="","",IF(K141=3,"Sim","Não"))</f>
        <v/>
      </c>
      <c r="M141" s="16">
        <f>IF(C141="","",COUNTIFS(Red_Team!$B$2:$B$301,C141,Red_Team!$I$2:$I$301,"Aberta"))</f>
        <v/>
      </c>
      <c r="N141" s="15" t="n"/>
      <c r="O141" s="16">
        <f>IF(A141="","",IF(M141&gt;0,"NÃO – objeções abertas",IF(AND(D141="Autenticidade confirmada (origem institucional)",Q141&lt;&gt;"A"),"NÃO – exige item classe A",IF(AND(Q141="C",D141&lt;&gt;"Alegação da defesa (classe C)"),"NÃO – item classe C",IF(AND(D141="Alegação da defesa (classe C)",Q141&lt;&gt;"C"),"NÃO – item não é classe C",IF(D141="Indícios técnicos de alteração",IF(L141="Sim","Sim","NÃO – exige unanimidade"),IF(K141&gt;=2,"Sim","NÃO – sem maioria")))))))</f>
        <v/>
      </c>
      <c r="P141" s="16">
        <f>IF(C141="","",IF(COUNTIF(C142:C$302,C141)=0,C141,""))</f>
        <v/>
      </c>
      <c r="Q141" s="16">
        <f>IF(C141="","",IFERROR(LEFT(INDEX(Custodia!$U$2:$U$301,MATCH(C141,Custodia!$A$2:$A$301,0)),1),"?"))</f>
        <v/>
      </c>
    </row>
    <row r="142">
      <c r="A142" s="15" t="n"/>
      <c r="B142" s="18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6">
        <f>IF(A142="","",COUNTIF(F142,"A favor")+COUNTIF(H142,"A favor")+COUNTIF(J142,"A favor"))</f>
        <v/>
      </c>
      <c r="L142" s="16">
        <f>IF(A142="","",IF(K142=3,"Sim","Não"))</f>
        <v/>
      </c>
      <c r="M142" s="16">
        <f>IF(C142="","",COUNTIFS(Red_Team!$B$2:$B$301,C142,Red_Team!$I$2:$I$301,"Aberta"))</f>
        <v/>
      </c>
      <c r="N142" s="15" t="n"/>
      <c r="O142" s="16">
        <f>IF(A142="","",IF(M142&gt;0,"NÃO – objeções abertas",IF(AND(D142="Autenticidade confirmada (origem institucional)",Q142&lt;&gt;"A"),"NÃO – exige item classe A",IF(AND(Q142="C",D142&lt;&gt;"Alegação da defesa (classe C)"),"NÃO – item classe C",IF(AND(D142="Alegação da defesa (classe C)",Q142&lt;&gt;"C"),"NÃO – item não é classe C",IF(D142="Indícios técnicos de alteração",IF(L142="Sim","Sim","NÃO – exige unanimidade"),IF(K142&gt;=2,"Sim","NÃO – sem maioria")))))))</f>
        <v/>
      </c>
      <c r="P142" s="16">
        <f>IF(C142="","",IF(COUNTIF(C143:C$302,C142)=0,C142,""))</f>
        <v/>
      </c>
      <c r="Q142" s="16">
        <f>IF(C142="","",IFERROR(LEFT(INDEX(Custodia!$U$2:$U$301,MATCH(C142,Custodia!$A$2:$A$301,0)),1),"?"))</f>
        <v/>
      </c>
    </row>
    <row r="143">
      <c r="A143" s="15" t="n"/>
      <c r="B143" s="18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6">
        <f>IF(A143="","",COUNTIF(F143,"A favor")+COUNTIF(H143,"A favor")+COUNTIF(J143,"A favor"))</f>
        <v/>
      </c>
      <c r="L143" s="16">
        <f>IF(A143="","",IF(K143=3,"Sim","Não"))</f>
        <v/>
      </c>
      <c r="M143" s="16">
        <f>IF(C143="","",COUNTIFS(Red_Team!$B$2:$B$301,C143,Red_Team!$I$2:$I$301,"Aberta"))</f>
        <v/>
      </c>
      <c r="N143" s="15" t="n"/>
      <c r="O143" s="16">
        <f>IF(A143="","",IF(M143&gt;0,"NÃO – objeções abertas",IF(AND(D143="Autenticidade confirmada (origem institucional)",Q143&lt;&gt;"A"),"NÃO – exige item classe A",IF(AND(Q143="C",D143&lt;&gt;"Alegação da defesa (classe C)"),"NÃO – item classe C",IF(AND(D143="Alegação da defesa (classe C)",Q143&lt;&gt;"C"),"NÃO – item não é classe C",IF(D143="Indícios técnicos de alteração",IF(L143="Sim","Sim","NÃO – exige unanimidade"),IF(K143&gt;=2,"Sim","NÃO – sem maioria")))))))</f>
        <v/>
      </c>
      <c r="P143" s="16">
        <f>IF(C143="","",IF(COUNTIF(C144:C$302,C143)=0,C143,""))</f>
        <v/>
      </c>
      <c r="Q143" s="16">
        <f>IF(C143="","",IFERROR(LEFT(INDEX(Custodia!$U$2:$U$301,MATCH(C143,Custodia!$A$2:$A$301,0)),1),"?"))</f>
        <v/>
      </c>
    </row>
    <row r="144">
      <c r="A144" s="15" t="n"/>
      <c r="B144" s="18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6">
        <f>IF(A144="","",COUNTIF(F144,"A favor")+COUNTIF(H144,"A favor")+COUNTIF(J144,"A favor"))</f>
        <v/>
      </c>
      <c r="L144" s="16">
        <f>IF(A144="","",IF(K144=3,"Sim","Não"))</f>
        <v/>
      </c>
      <c r="M144" s="16">
        <f>IF(C144="","",COUNTIFS(Red_Team!$B$2:$B$301,C144,Red_Team!$I$2:$I$301,"Aberta"))</f>
        <v/>
      </c>
      <c r="N144" s="15" t="n"/>
      <c r="O144" s="16">
        <f>IF(A144="","",IF(M144&gt;0,"NÃO – objeções abertas",IF(AND(D144="Autenticidade confirmada (origem institucional)",Q144&lt;&gt;"A"),"NÃO – exige item classe A",IF(AND(Q144="C",D144&lt;&gt;"Alegação da defesa (classe C)"),"NÃO – item classe C",IF(AND(D144="Alegação da defesa (classe C)",Q144&lt;&gt;"C"),"NÃO – item não é classe C",IF(D144="Indícios técnicos de alteração",IF(L144="Sim","Sim","NÃO – exige unanimidade"),IF(K144&gt;=2,"Sim","NÃO – sem maioria")))))))</f>
        <v/>
      </c>
      <c r="P144" s="16">
        <f>IF(C144="","",IF(COUNTIF(C145:C$302,C144)=0,C144,""))</f>
        <v/>
      </c>
      <c r="Q144" s="16">
        <f>IF(C144="","",IFERROR(LEFT(INDEX(Custodia!$U$2:$U$301,MATCH(C144,Custodia!$A$2:$A$301,0)),1),"?"))</f>
        <v/>
      </c>
    </row>
    <row r="145">
      <c r="A145" s="15" t="n"/>
      <c r="B145" s="18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6">
        <f>IF(A145="","",COUNTIF(F145,"A favor")+COUNTIF(H145,"A favor")+COUNTIF(J145,"A favor"))</f>
        <v/>
      </c>
      <c r="L145" s="16">
        <f>IF(A145="","",IF(K145=3,"Sim","Não"))</f>
        <v/>
      </c>
      <c r="M145" s="16">
        <f>IF(C145="","",COUNTIFS(Red_Team!$B$2:$B$301,C145,Red_Team!$I$2:$I$301,"Aberta"))</f>
        <v/>
      </c>
      <c r="N145" s="15" t="n"/>
      <c r="O145" s="16">
        <f>IF(A145="","",IF(M145&gt;0,"NÃO – objeções abertas",IF(AND(D145="Autenticidade confirmada (origem institucional)",Q145&lt;&gt;"A"),"NÃO – exige item classe A",IF(AND(Q145="C",D145&lt;&gt;"Alegação da defesa (classe C)"),"NÃO – item classe C",IF(AND(D145="Alegação da defesa (classe C)",Q145&lt;&gt;"C"),"NÃO – item não é classe C",IF(D145="Indícios técnicos de alteração",IF(L145="Sim","Sim","NÃO – exige unanimidade"),IF(K145&gt;=2,"Sim","NÃO – sem maioria")))))))</f>
        <v/>
      </c>
      <c r="P145" s="16">
        <f>IF(C145="","",IF(COUNTIF(C146:C$302,C145)=0,C145,""))</f>
        <v/>
      </c>
      <c r="Q145" s="16">
        <f>IF(C145="","",IFERROR(LEFT(INDEX(Custodia!$U$2:$U$301,MATCH(C145,Custodia!$A$2:$A$301,0)),1),"?"))</f>
        <v/>
      </c>
    </row>
    <row r="146">
      <c r="A146" s="15" t="n"/>
      <c r="B146" s="18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6">
        <f>IF(A146="","",COUNTIF(F146,"A favor")+COUNTIF(H146,"A favor")+COUNTIF(J146,"A favor"))</f>
        <v/>
      </c>
      <c r="L146" s="16">
        <f>IF(A146="","",IF(K146=3,"Sim","Não"))</f>
        <v/>
      </c>
      <c r="M146" s="16">
        <f>IF(C146="","",COUNTIFS(Red_Team!$B$2:$B$301,C146,Red_Team!$I$2:$I$301,"Aberta"))</f>
        <v/>
      </c>
      <c r="N146" s="15" t="n"/>
      <c r="O146" s="16">
        <f>IF(A146="","",IF(M146&gt;0,"NÃO – objeções abertas",IF(AND(D146="Autenticidade confirmada (origem institucional)",Q146&lt;&gt;"A"),"NÃO – exige item classe A",IF(AND(Q146="C",D146&lt;&gt;"Alegação da defesa (classe C)"),"NÃO – item classe C",IF(AND(D146="Alegação da defesa (classe C)",Q146&lt;&gt;"C"),"NÃO – item não é classe C",IF(D146="Indícios técnicos de alteração",IF(L146="Sim","Sim","NÃO – exige unanimidade"),IF(K146&gt;=2,"Sim","NÃO – sem maioria")))))))</f>
        <v/>
      </c>
      <c r="P146" s="16">
        <f>IF(C146="","",IF(COUNTIF(C147:C$302,C146)=0,C146,""))</f>
        <v/>
      </c>
      <c r="Q146" s="16">
        <f>IF(C146="","",IFERROR(LEFT(INDEX(Custodia!$U$2:$U$301,MATCH(C146,Custodia!$A$2:$A$301,0)),1),"?"))</f>
        <v/>
      </c>
    </row>
    <row r="147">
      <c r="A147" s="15" t="n"/>
      <c r="B147" s="18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6">
        <f>IF(A147="","",COUNTIF(F147,"A favor")+COUNTIF(H147,"A favor")+COUNTIF(J147,"A favor"))</f>
        <v/>
      </c>
      <c r="L147" s="16">
        <f>IF(A147="","",IF(K147=3,"Sim","Não"))</f>
        <v/>
      </c>
      <c r="M147" s="16">
        <f>IF(C147="","",COUNTIFS(Red_Team!$B$2:$B$301,C147,Red_Team!$I$2:$I$301,"Aberta"))</f>
        <v/>
      </c>
      <c r="N147" s="15" t="n"/>
      <c r="O147" s="16">
        <f>IF(A147="","",IF(M147&gt;0,"NÃO – objeções abertas",IF(AND(D147="Autenticidade confirmada (origem institucional)",Q147&lt;&gt;"A"),"NÃO – exige item classe A",IF(AND(Q147="C",D147&lt;&gt;"Alegação da defesa (classe C)"),"NÃO – item classe C",IF(AND(D147="Alegação da defesa (classe C)",Q147&lt;&gt;"C"),"NÃO – item não é classe C",IF(D147="Indícios técnicos de alteração",IF(L147="Sim","Sim","NÃO – exige unanimidade"),IF(K147&gt;=2,"Sim","NÃO – sem maioria")))))))</f>
        <v/>
      </c>
      <c r="P147" s="16">
        <f>IF(C147="","",IF(COUNTIF(C148:C$302,C147)=0,C147,""))</f>
        <v/>
      </c>
      <c r="Q147" s="16">
        <f>IF(C147="","",IFERROR(LEFT(INDEX(Custodia!$U$2:$U$301,MATCH(C147,Custodia!$A$2:$A$301,0)),1),"?"))</f>
        <v/>
      </c>
    </row>
    <row r="148">
      <c r="A148" s="15" t="n"/>
      <c r="B148" s="18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6">
        <f>IF(A148="","",COUNTIF(F148,"A favor")+COUNTIF(H148,"A favor")+COUNTIF(J148,"A favor"))</f>
        <v/>
      </c>
      <c r="L148" s="16">
        <f>IF(A148="","",IF(K148=3,"Sim","Não"))</f>
        <v/>
      </c>
      <c r="M148" s="16">
        <f>IF(C148="","",COUNTIFS(Red_Team!$B$2:$B$301,C148,Red_Team!$I$2:$I$301,"Aberta"))</f>
        <v/>
      </c>
      <c r="N148" s="15" t="n"/>
      <c r="O148" s="16">
        <f>IF(A148="","",IF(M148&gt;0,"NÃO – objeções abertas",IF(AND(D148="Autenticidade confirmada (origem institucional)",Q148&lt;&gt;"A"),"NÃO – exige item classe A",IF(AND(Q148="C",D148&lt;&gt;"Alegação da defesa (classe C)"),"NÃO – item classe C",IF(AND(D148="Alegação da defesa (classe C)",Q148&lt;&gt;"C"),"NÃO – item não é classe C",IF(D148="Indícios técnicos de alteração",IF(L148="Sim","Sim","NÃO – exige unanimidade"),IF(K148&gt;=2,"Sim","NÃO – sem maioria")))))))</f>
        <v/>
      </c>
      <c r="P148" s="16">
        <f>IF(C148="","",IF(COUNTIF(C149:C$302,C148)=0,C148,""))</f>
        <v/>
      </c>
      <c r="Q148" s="16">
        <f>IF(C148="","",IFERROR(LEFT(INDEX(Custodia!$U$2:$U$301,MATCH(C148,Custodia!$A$2:$A$301,0)),1),"?"))</f>
        <v/>
      </c>
    </row>
    <row r="149">
      <c r="A149" s="15" t="n"/>
      <c r="B149" s="18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6">
        <f>IF(A149="","",COUNTIF(F149,"A favor")+COUNTIF(H149,"A favor")+COUNTIF(J149,"A favor"))</f>
        <v/>
      </c>
      <c r="L149" s="16">
        <f>IF(A149="","",IF(K149=3,"Sim","Não"))</f>
        <v/>
      </c>
      <c r="M149" s="16">
        <f>IF(C149="","",COUNTIFS(Red_Team!$B$2:$B$301,C149,Red_Team!$I$2:$I$301,"Aberta"))</f>
        <v/>
      </c>
      <c r="N149" s="15" t="n"/>
      <c r="O149" s="16">
        <f>IF(A149="","",IF(M149&gt;0,"NÃO – objeções abertas",IF(AND(D149="Autenticidade confirmada (origem institucional)",Q149&lt;&gt;"A"),"NÃO – exige item classe A",IF(AND(Q149="C",D149&lt;&gt;"Alegação da defesa (classe C)"),"NÃO – item classe C",IF(AND(D149="Alegação da defesa (classe C)",Q149&lt;&gt;"C"),"NÃO – item não é classe C",IF(D149="Indícios técnicos de alteração",IF(L149="Sim","Sim","NÃO – exige unanimidade"),IF(K149&gt;=2,"Sim","NÃO – sem maioria")))))))</f>
        <v/>
      </c>
      <c r="P149" s="16">
        <f>IF(C149="","",IF(COUNTIF(C150:C$302,C149)=0,C149,""))</f>
        <v/>
      </c>
      <c r="Q149" s="16">
        <f>IF(C149="","",IFERROR(LEFT(INDEX(Custodia!$U$2:$U$301,MATCH(C149,Custodia!$A$2:$A$301,0)),1),"?"))</f>
        <v/>
      </c>
    </row>
    <row r="150">
      <c r="A150" s="15" t="n"/>
      <c r="B150" s="18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6">
        <f>IF(A150="","",COUNTIF(F150,"A favor")+COUNTIF(H150,"A favor")+COUNTIF(J150,"A favor"))</f>
        <v/>
      </c>
      <c r="L150" s="16">
        <f>IF(A150="","",IF(K150=3,"Sim","Não"))</f>
        <v/>
      </c>
      <c r="M150" s="16">
        <f>IF(C150="","",COUNTIFS(Red_Team!$B$2:$B$301,C150,Red_Team!$I$2:$I$301,"Aberta"))</f>
        <v/>
      </c>
      <c r="N150" s="15" t="n"/>
      <c r="O150" s="16">
        <f>IF(A150="","",IF(M150&gt;0,"NÃO – objeções abertas",IF(AND(D150="Autenticidade confirmada (origem institucional)",Q150&lt;&gt;"A"),"NÃO – exige item classe A",IF(AND(Q150="C",D150&lt;&gt;"Alegação da defesa (classe C)"),"NÃO – item classe C",IF(AND(D150="Alegação da defesa (classe C)",Q150&lt;&gt;"C"),"NÃO – item não é classe C",IF(D150="Indícios técnicos de alteração",IF(L150="Sim","Sim","NÃO – exige unanimidade"),IF(K150&gt;=2,"Sim","NÃO – sem maioria")))))))</f>
        <v/>
      </c>
      <c r="P150" s="16">
        <f>IF(C150="","",IF(COUNTIF(C151:C$302,C150)=0,C150,""))</f>
        <v/>
      </c>
      <c r="Q150" s="16">
        <f>IF(C150="","",IFERROR(LEFT(INDEX(Custodia!$U$2:$U$301,MATCH(C150,Custodia!$A$2:$A$301,0)),1),"?"))</f>
        <v/>
      </c>
    </row>
    <row r="151">
      <c r="A151" s="15" t="n"/>
      <c r="B151" s="18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6">
        <f>IF(A151="","",COUNTIF(F151,"A favor")+COUNTIF(H151,"A favor")+COUNTIF(J151,"A favor"))</f>
        <v/>
      </c>
      <c r="L151" s="16">
        <f>IF(A151="","",IF(K151=3,"Sim","Não"))</f>
        <v/>
      </c>
      <c r="M151" s="16">
        <f>IF(C151="","",COUNTIFS(Red_Team!$B$2:$B$301,C151,Red_Team!$I$2:$I$301,"Aberta"))</f>
        <v/>
      </c>
      <c r="N151" s="15" t="n"/>
      <c r="O151" s="16">
        <f>IF(A151="","",IF(M151&gt;0,"NÃO – objeções abertas",IF(AND(D151="Autenticidade confirmada (origem institucional)",Q151&lt;&gt;"A"),"NÃO – exige item classe A",IF(AND(Q151="C",D151&lt;&gt;"Alegação da defesa (classe C)"),"NÃO – item classe C",IF(AND(D151="Alegação da defesa (classe C)",Q151&lt;&gt;"C"),"NÃO – item não é classe C",IF(D151="Indícios técnicos de alteração",IF(L151="Sim","Sim","NÃO – exige unanimidade"),IF(K151&gt;=2,"Sim","NÃO – sem maioria")))))))</f>
        <v/>
      </c>
      <c r="P151" s="16">
        <f>IF(C151="","",IF(COUNTIF(C152:C$302,C151)=0,C151,""))</f>
        <v/>
      </c>
      <c r="Q151" s="16">
        <f>IF(C151="","",IFERROR(LEFT(INDEX(Custodia!$U$2:$U$301,MATCH(C151,Custodia!$A$2:$A$301,0)),1),"?"))</f>
        <v/>
      </c>
    </row>
    <row r="152">
      <c r="A152" s="15" t="n"/>
      <c r="B152" s="18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6">
        <f>IF(A152="","",COUNTIF(F152,"A favor")+COUNTIF(H152,"A favor")+COUNTIF(J152,"A favor"))</f>
        <v/>
      </c>
      <c r="L152" s="16">
        <f>IF(A152="","",IF(K152=3,"Sim","Não"))</f>
        <v/>
      </c>
      <c r="M152" s="16">
        <f>IF(C152="","",COUNTIFS(Red_Team!$B$2:$B$301,C152,Red_Team!$I$2:$I$301,"Aberta"))</f>
        <v/>
      </c>
      <c r="N152" s="15" t="n"/>
      <c r="O152" s="16">
        <f>IF(A152="","",IF(M152&gt;0,"NÃO – objeções abertas",IF(AND(D152="Autenticidade confirmada (origem institucional)",Q152&lt;&gt;"A"),"NÃO – exige item classe A",IF(AND(Q152="C",D152&lt;&gt;"Alegação da defesa (classe C)"),"NÃO – item classe C",IF(AND(D152="Alegação da defesa (classe C)",Q152&lt;&gt;"C"),"NÃO – item não é classe C",IF(D152="Indícios técnicos de alteração",IF(L152="Sim","Sim","NÃO – exige unanimidade"),IF(K152&gt;=2,"Sim","NÃO – sem maioria")))))))</f>
        <v/>
      </c>
      <c r="P152" s="16">
        <f>IF(C152="","",IF(COUNTIF(C153:C$302,C152)=0,C152,""))</f>
        <v/>
      </c>
      <c r="Q152" s="16">
        <f>IF(C152="","",IFERROR(LEFT(INDEX(Custodia!$U$2:$U$301,MATCH(C152,Custodia!$A$2:$A$301,0)),1),"?"))</f>
        <v/>
      </c>
    </row>
    <row r="153">
      <c r="A153" s="15" t="n"/>
      <c r="B153" s="18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6">
        <f>IF(A153="","",COUNTIF(F153,"A favor")+COUNTIF(H153,"A favor")+COUNTIF(J153,"A favor"))</f>
        <v/>
      </c>
      <c r="L153" s="16">
        <f>IF(A153="","",IF(K153=3,"Sim","Não"))</f>
        <v/>
      </c>
      <c r="M153" s="16">
        <f>IF(C153="","",COUNTIFS(Red_Team!$B$2:$B$301,C153,Red_Team!$I$2:$I$301,"Aberta"))</f>
        <v/>
      </c>
      <c r="N153" s="15" t="n"/>
      <c r="O153" s="16">
        <f>IF(A153="","",IF(M153&gt;0,"NÃO – objeções abertas",IF(AND(D153="Autenticidade confirmada (origem institucional)",Q153&lt;&gt;"A"),"NÃO – exige item classe A",IF(AND(Q153="C",D153&lt;&gt;"Alegação da defesa (classe C)"),"NÃO – item classe C",IF(AND(D153="Alegação da defesa (classe C)",Q153&lt;&gt;"C"),"NÃO – item não é classe C",IF(D153="Indícios técnicos de alteração",IF(L153="Sim","Sim","NÃO – exige unanimidade"),IF(K153&gt;=2,"Sim","NÃO – sem maioria")))))))</f>
        <v/>
      </c>
      <c r="P153" s="16">
        <f>IF(C153="","",IF(COUNTIF(C154:C$302,C153)=0,C153,""))</f>
        <v/>
      </c>
      <c r="Q153" s="16">
        <f>IF(C153="","",IFERROR(LEFT(INDEX(Custodia!$U$2:$U$301,MATCH(C153,Custodia!$A$2:$A$301,0)),1),"?"))</f>
        <v/>
      </c>
    </row>
    <row r="154">
      <c r="A154" s="15" t="n"/>
      <c r="B154" s="18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6">
        <f>IF(A154="","",COUNTIF(F154,"A favor")+COUNTIF(H154,"A favor")+COUNTIF(J154,"A favor"))</f>
        <v/>
      </c>
      <c r="L154" s="16">
        <f>IF(A154="","",IF(K154=3,"Sim","Não"))</f>
        <v/>
      </c>
      <c r="M154" s="16">
        <f>IF(C154="","",COUNTIFS(Red_Team!$B$2:$B$301,C154,Red_Team!$I$2:$I$301,"Aberta"))</f>
        <v/>
      </c>
      <c r="N154" s="15" t="n"/>
      <c r="O154" s="16">
        <f>IF(A154="","",IF(M154&gt;0,"NÃO – objeções abertas",IF(AND(D154="Autenticidade confirmada (origem institucional)",Q154&lt;&gt;"A"),"NÃO – exige item classe A",IF(AND(Q154="C",D154&lt;&gt;"Alegação da defesa (classe C)"),"NÃO – item classe C",IF(AND(D154="Alegação da defesa (classe C)",Q154&lt;&gt;"C"),"NÃO – item não é classe C",IF(D154="Indícios técnicos de alteração",IF(L154="Sim","Sim","NÃO – exige unanimidade"),IF(K154&gt;=2,"Sim","NÃO – sem maioria")))))))</f>
        <v/>
      </c>
      <c r="P154" s="16">
        <f>IF(C154="","",IF(COUNTIF(C155:C$302,C154)=0,C154,""))</f>
        <v/>
      </c>
      <c r="Q154" s="16">
        <f>IF(C154="","",IFERROR(LEFT(INDEX(Custodia!$U$2:$U$301,MATCH(C154,Custodia!$A$2:$A$301,0)),1),"?"))</f>
        <v/>
      </c>
    </row>
    <row r="155">
      <c r="A155" s="15" t="n"/>
      <c r="B155" s="18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6">
        <f>IF(A155="","",COUNTIF(F155,"A favor")+COUNTIF(H155,"A favor")+COUNTIF(J155,"A favor"))</f>
        <v/>
      </c>
      <c r="L155" s="16">
        <f>IF(A155="","",IF(K155=3,"Sim","Não"))</f>
        <v/>
      </c>
      <c r="M155" s="16">
        <f>IF(C155="","",COUNTIFS(Red_Team!$B$2:$B$301,C155,Red_Team!$I$2:$I$301,"Aberta"))</f>
        <v/>
      </c>
      <c r="N155" s="15" t="n"/>
      <c r="O155" s="16">
        <f>IF(A155="","",IF(M155&gt;0,"NÃO – objeções abertas",IF(AND(D155="Autenticidade confirmada (origem institucional)",Q155&lt;&gt;"A"),"NÃO – exige item classe A",IF(AND(Q155="C",D155&lt;&gt;"Alegação da defesa (classe C)"),"NÃO – item classe C",IF(AND(D155="Alegação da defesa (classe C)",Q155&lt;&gt;"C"),"NÃO – item não é classe C",IF(D155="Indícios técnicos de alteração",IF(L155="Sim","Sim","NÃO – exige unanimidade"),IF(K155&gt;=2,"Sim","NÃO – sem maioria")))))))</f>
        <v/>
      </c>
      <c r="P155" s="16">
        <f>IF(C155="","",IF(COUNTIF(C156:C$302,C155)=0,C155,""))</f>
        <v/>
      </c>
      <c r="Q155" s="16">
        <f>IF(C155="","",IFERROR(LEFT(INDEX(Custodia!$U$2:$U$301,MATCH(C155,Custodia!$A$2:$A$301,0)),1),"?"))</f>
        <v/>
      </c>
    </row>
    <row r="156">
      <c r="A156" s="15" t="n"/>
      <c r="B156" s="18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6">
        <f>IF(A156="","",COUNTIF(F156,"A favor")+COUNTIF(H156,"A favor")+COUNTIF(J156,"A favor"))</f>
        <v/>
      </c>
      <c r="L156" s="16">
        <f>IF(A156="","",IF(K156=3,"Sim","Não"))</f>
        <v/>
      </c>
      <c r="M156" s="16">
        <f>IF(C156="","",COUNTIFS(Red_Team!$B$2:$B$301,C156,Red_Team!$I$2:$I$301,"Aberta"))</f>
        <v/>
      </c>
      <c r="N156" s="15" t="n"/>
      <c r="O156" s="16">
        <f>IF(A156="","",IF(M156&gt;0,"NÃO – objeções abertas",IF(AND(D156="Autenticidade confirmada (origem institucional)",Q156&lt;&gt;"A"),"NÃO – exige item classe A",IF(AND(Q156="C",D156&lt;&gt;"Alegação da defesa (classe C)"),"NÃO – item classe C",IF(AND(D156="Alegação da defesa (classe C)",Q156&lt;&gt;"C"),"NÃO – item não é classe C",IF(D156="Indícios técnicos de alteração",IF(L156="Sim","Sim","NÃO – exige unanimidade"),IF(K156&gt;=2,"Sim","NÃO – sem maioria")))))))</f>
        <v/>
      </c>
      <c r="P156" s="16">
        <f>IF(C156="","",IF(COUNTIF(C157:C$302,C156)=0,C156,""))</f>
        <v/>
      </c>
      <c r="Q156" s="16">
        <f>IF(C156="","",IFERROR(LEFT(INDEX(Custodia!$U$2:$U$301,MATCH(C156,Custodia!$A$2:$A$301,0)),1),"?"))</f>
        <v/>
      </c>
    </row>
    <row r="157">
      <c r="A157" s="15" t="n"/>
      <c r="B157" s="18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6">
        <f>IF(A157="","",COUNTIF(F157,"A favor")+COUNTIF(H157,"A favor")+COUNTIF(J157,"A favor"))</f>
        <v/>
      </c>
      <c r="L157" s="16">
        <f>IF(A157="","",IF(K157=3,"Sim","Não"))</f>
        <v/>
      </c>
      <c r="M157" s="16">
        <f>IF(C157="","",COUNTIFS(Red_Team!$B$2:$B$301,C157,Red_Team!$I$2:$I$301,"Aberta"))</f>
        <v/>
      </c>
      <c r="N157" s="15" t="n"/>
      <c r="O157" s="16">
        <f>IF(A157="","",IF(M157&gt;0,"NÃO – objeções abertas",IF(AND(D157="Autenticidade confirmada (origem institucional)",Q157&lt;&gt;"A"),"NÃO – exige item classe A",IF(AND(Q157="C",D157&lt;&gt;"Alegação da defesa (classe C)"),"NÃO – item classe C",IF(AND(D157="Alegação da defesa (classe C)",Q157&lt;&gt;"C"),"NÃO – item não é classe C",IF(D157="Indícios técnicos de alteração",IF(L157="Sim","Sim","NÃO – exige unanimidade"),IF(K157&gt;=2,"Sim","NÃO – sem maioria")))))))</f>
        <v/>
      </c>
      <c r="P157" s="16">
        <f>IF(C157="","",IF(COUNTIF(C158:C$302,C157)=0,C157,""))</f>
        <v/>
      </c>
      <c r="Q157" s="16">
        <f>IF(C157="","",IFERROR(LEFT(INDEX(Custodia!$U$2:$U$301,MATCH(C157,Custodia!$A$2:$A$301,0)),1),"?"))</f>
        <v/>
      </c>
    </row>
    <row r="158">
      <c r="A158" s="15" t="n"/>
      <c r="B158" s="18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6">
        <f>IF(A158="","",COUNTIF(F158,"A favor")+COUNTIF(H158,"A favor")+COUNTIF(J158,"A favor"))</f>
        <v/>
      </c>
      <c r="L158" s="16">
        <f>IF(A158="","",IF(K158=3,"Sim","Não"))</f>
        <v/>
      </c>
      <c r="M158" s="16">
        <f>IF(C158="","",COUNTIFS(Red_Team!$B$2:$B$301,C158,Red_Team!$I$2:$I$301,"Aberta"))</f>
        <v/>
      </c>
      <c r="N158" s="15" t="n"/>
      <c r="O158" s="16">
        <f>IF(A158="","",IF(M158&gt;0,"NÃO – objeções abertas",IF(AND(D158="Autenticidade confirmada (origem institucional)",Q158&lt;&gt;"A"),"NÃO – exige item classe A",IF(AND(Q158="C",D158&lt;&gt;"Alegação da defesa (classe C)"),"NÃO – item classe C",IF(AND(D158="Alegação da defesa (classe C)",Q158&lt;&gt;"C"),"NÃO – item não é classe C",IF(D158="Indícios técnicos de alteração",IF(L158="Sim","Sim","NÃO – exige unanimidade"),IF(K158&gt;=2,"Sim","NÃO – sem maioria")))))))</f>
        <v/>
      </c>
      <c r="P158" s="16">
        <f>IF(C158="","",IF(COUNTIF(C159:C$302,C158)=0,C158,""))</f>
        <v/>
      </c>
      <c r="Q158" s="16">
        <f>IF(C158="","",IFERROR(LEFT(INDEX(Custodia!$U$2:$U$301,MATCH(C158,Custodia!$A$2:$A$301,0)),1),"?"))</f>
        <v/>
      </c>
    </row>
    <row r="159">
      <c r="A159" s="15" t="n"/>
      <c r="B159" s="18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6">
        <f>IF(A159="","",COUNTIF(F159,"A favor")+COUNTIF(H159,"A favor")+COUNTIF(J159,"A favor"))</f>
        <v/>
      </c>
      <c r="L159" s="16">
        <f>IF(A159="","",IF(K159=3,"Sim","Não"))</f>
        <v/>
      </c>
      <c r="M159" s="16">
        <f>IF(C159="","",COUNTIFS(Red_Team!$B$2:$B$301,C159,Red_Team!$I$2:$I$301,"Aberta"))</f>
        <v/>
      </c>
      <c r="N159" s="15" t="n"/>
      <c r="O159" s="16">
        <f>IF(A159="","",IF(M159&gt;0,"NÃO – objeções abertas",IF(AND(D159="Autenticidade confirmada (origem institucional)",Q159&lt;&gt;"A"),"NÃO – exige item classe A",IF(AND(Q159="C",D159&lt;&gt;"Alegação da defesa (classe C)"),"NÃO – item classe C",IF(AND(D159="Alegação da defesa (classe C)",Q159&lt;&gt;"C"),"NÃO – item não é classe C",IF(D159="Indícios técnicos de alteração",IF(L159="Sim","Sim","NÃO – exige unanimidade"),IF(K159&gt;=2,"Sim","NÃO – sem maioria")))))))</f>
        <v/>
      </c>
      <c r="P159" s="16">
        <f>IF(C159="","",IF(COUNTIF(C160:C$302,C159)=0,C159,""))</f>
        <v/>
      </c>
      <c r="Q159" s="16">
        <f>IF(C159="","",IFERROR(LEFT(INDEX(Custodia!$U$2:$U$301,MATCH(C159,Custodia!$A$2:$A$301,0)),1),"?"))</f>
        <v/>
      </c>
    </row>
    <row r="160">
      <c r="A160" s="15" t="n"/>
      <c r="B160" s="18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6">
        <f>IF(A160="","",COUNTIF(F160,"A favor")+COUNTIF(H160,"A favor")+COUNTIF(J160,"A favor"))</f>
        <v/>
      </c>
      <c r="L160" s="16">
        <f>IF(A160="","",IF(K160=3,"Sim","Não"))</f>
        <v/>
      </c>
      <c r="M160" s="16">
        <f>IF(C160="","",COUNTIFS(Red_Team!$B$2:$B$301,C160,Red_Team!$I$2:$I$301,"Aberta"))</f>
        <v/>
      </c>
      <c r="N160" s="15" t="n"/>
      <c r="O160" s="16">
        <f>IF(A160="","",IF(M160&gt;0,"NÃO – objeções abertas",IF(AND(D160="Autenticidade confirmada (origem institucional)",Q160&lt;&gt;"A"),"NÃO – exige item classe A",IF(AND(Q160="C",D160&lt;&gt;"Alegação da defesa (classe C)"),"NÃO – item classe C",IF(AND(D160="Alegação da defesa (classe C)",Q160&lt;&gt;"C"),"NÃO – item não é classe C",IF(D160="Indícios técnicos de alteração",IF(L160="Sim","Sim","NÃO – exige unanimidade"),IF(K160&gt;=2,"Sim","NÃO – sem maioria")))))))</f>
        <v/>
      </c>
      <c r="P160" s="16">
        <f>IF(C160="","",IF(COUNTIF(C161:C$302,C160)=0,C160,""))</f>
        <v/>
      </c>
      <c r="Q160" s="16">
        <f>IF(C160="","",IFERROR(LEFT(INDEX(Custodia!$U$2:$U$301,MATCH(C160,Custodia!$A$2:$A$301,0)),1),"?"))</f>
        <v/>
      </c>
    </row>
    <row r="161">
      <c r="A161" s="15" t="n"/>
      <c r="B161" s="18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6">
        <f>IF(A161="","",COUNTIF(F161,"A favor")+COUNTIF(H161,"A favor")+COUNTIF(J161,"A favor"))</f>
        <v/>
      </c>
      <c r="L161" s="16">
        <f>IF(A161="","",IF(K161=3,"Sim","Não"))</f>
        <v/>
      </c>
      <c r="M161" s="16">
        <f>IF(C161="","",COUNTIFS(Red_Team!$B$2:$B$301,C161,Red_Team!$I$2:$I$301,"Aberta"))</f>
        <v/>
      </c>
      <c r="N161" s="15" t="n"/>
      <c r="O161" s="16">
        <f>IF(A161="","",IF(M161&gt;0,"NÃO – objeções abertas",IF(AND(D161="Autenticidade confirmada (origem institucional)",Q161&lt;&gt;"A"),"NÃO – exige item classe A",IF(AND(Q161="C",D161&lt;&gt;"Alegação da defesa (classe C)"),"NÃO – item classe C",IF(AND(D161="Alegação da defesa (classe C)",Q161&lt;&gt;"C"),"NÃO – item não é classe C",IF(D161="Indícios técnicos de alteração",IF(L161="Sim","Sim","NÃO – exige unanimidade"),IF(K161&gt;=2,"Sim","NÃO – sem maioria")))))))</f>
        <v/>
      </c>
      <c r="P161" s="16">
        <f>IF(C161="","",IF(COUNTIF(C162:C$302,C161)=0,C161,""))</f>
        <v/>
      </c>
      <c r="Q161" s="16">
        <f>IF(C161="","",IFERROR(LEFT(INDEX(Custodia!$U$2:$U$301,MATCH(C161,Custodia!$A$2:$A$301,0)),1),"?"))</f>
        <v/>
      </c>
    </row>
    <row r="162">
      <c r="A162" s="15" t="n"/>
      <c r="B162" s="18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6">
        <f>IF(A162="","",COUNTIF(F162,"A favor")+COUNTIF(H162,"A favor")+COUNTIF(J162,"A favor"))</f>
        <v/>
      </c>
      <c r="L162" s="16">
        <f>IF(A162="","",IF(K162=3,"Sim","Não"))</f>
        <v/>
      </c>
      <c r="M162" s="16">
        <f>IF(C162="","",COUNTIFS(Red_Team!$B$2:$B$301,C162,Red_Team!$I$2:$I$301,"Aberta"))</f>
        <v/>
      </c>
      <c r="N162" s="15" t="n"/>
      <c r="O162" s="16">
        <f>IF(A162="","",IF(M162&gt;0,"NÃO – objeções abertas",IF(AND(D162="Autenticidade confirmada (origem institucional)",Q162&lt;&gt;"A"),"NÃO – exige item classe A",IF(AND(Q162="C",D162&lt;&gt;"Alegação da defesa (classe C)"),"NÃO – item classe C",IF(AND(D162="Alegação da defesa (classe C)",Q162&lt;&gt;"C"),"NÃO – item não é classe C",IF(D162="Indícios técnicos de alteração",IF(L162="Sim","Sim","NÃO – exige unanimidade"),IF(K162&gt;=2,"Sim","NÃO – sem maioria")))))))</f>
        <v/>
      </c>
      <c r="P162" s="16">
        <f>IF(C162="","",IF(COUNTIF(C163:C$302,C162)=0,C162,""))</f>
        <v/>
      </c>
      <c r="Q162" s="16">
        <f>IF(C162="","",IFERROR(LEFT(INDEX(Custodia!$U$2:$U$301,MATCH(C162,Custodia!$A$2:$A$301,0)),1),"?"))</f>
        <v/>
      </c>
    </row>
    <row r="163">
      <c r="A163" s="15" t="n"/>
      <c r="B163" s="18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6">
        <f>IF(A163="","",COUNTIF(F163,"A favor")+COUNTIF(H163,"A favor")+COUNTIF(J163,"A favor"))</f>
        <v/>
      </c>
      <c r="L163" s="16">
        <f>IF(A163="","",IF(K163=3,"Sim","Não"))</f>
        <v/>
      </c>
      <c r="M163" s="16">
        <f>IF(C163="","",COUNTIFS(Red_Team!$B$2:$B$301,C163,Red_Team!$I$2:$I$301,"Aberta"))</f>
        <v/>
      </c>
      <c r="N163" s="15" t="n"/>
      <c r="O163" s="16">
        <f>IF(A163="","",IF(M163&gt;0,"NÃO – objeções abertas",IF(AND(D163="Autenticidade confirmada (origem institucional)",Q163&lt;&gt;"A"),"NÃO – exige item classe A",IF(AND(Q163="C",D163&lt;&gt;"Alegação da defesa (classe C)"),"NÃO – item classe C",IF(AND(D163="Alegação da defesa (classe C)",Q163&lt;&gt;"C"),"NÃO – item não é classe C",IF(D163="Indícios técnicos de alteração",IF(L163="Sim","Sim","NÃO – exige unanimidade"),IF(K163&gt;=2,"Sim","NÃO – sem maioria")))))))</f>
        <v/>
      </c>
      <c r="P163" s="16">
        <f>IF(C163="","",IF(COUNTIF(C164:C$302,C163)=0,C163,""))</f>
        <v/>
      </c>
      <c r="Q163" s="16">
        <f>IF(C163="","",IFERROR(LEFT(INDEX(Custodia!$U$2:$U$301,MATCH(C163,Custodia!$A$2:$A$301,0)),1),"?"))</f>
        <v/>
      </c>
    </row>
    <row r="164">
      <c r="A164" s="15" t="n"/>
      <c r="B164" s="18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6">
        <f>IF(A164="","",COUNTIF(F164,"A favor")+COUNTIF(H164,"A favor")+COUNTIF(J164,"A favor"))</f>
        <v/>
      </c>
      <c r="L164" s="16">
        <f>IF(A164="","",IF(K164=3,"Sim","Não"))</f>
        <v/>
      </c>
      <c r="M164" s="16">
        <f>IF(C164="","",COUNTIFS(Red_Team!$B$2:$B$301,C164,Red_Team!$I$2:$I$301,"Aberta"))</f>
        <v/>
      </c>
      <c r="N164" s="15" t="n"/>
      <c r="O164" s="16">
        <f>IF(A164="","",IF(M164&gt;0,"NÃO – objeções abertas",IF(AND(D164="Autenticidade confirmada (origem institucional)",Q164&lt;&gt;"A"),"NÃO – exige item classe A",IF(AND(Q164="C",D164&lt;&gt;"Alegação da defesa (classe C)"),"NÃO – item classe C",IF(AND(D164="Alegação da defesa (classe C)",Q164&lt;&gt;"C"),"NÃO – item não é classe C",IF(D164="Indícios técnicos de alteração",IF(L164="Sim","Sim","NÃO – exige unanimidade"),IF(K164&gt;=2,"Sim","NÃO – sem maioria")))))))</f>
        <v/>
      </c>
      <c r="P164" s="16">
        <f>IF(C164="","",IF(COUNTIF(C165:C$302,C164)=0,C164,""))</f>
        <v/>
      </c>
      <c r="Q164" s="16">
        <f>IF(C164="","",IFERROR(LEFT(INDEX(Custodia!$U$2:$U$301,MATCH(C164,Custodia!$A$2:$A$301,0)),1),"?"))</f>
        <v/>
      </c>
    </row>
    <row r="165">
      <c r="A165" s="15" t="n"/>
      <c r="B165" s="18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6">
        <f>IF(A165="","",COUNTIF(F165,"A favor")+COUNTIF(H165,"A favor")+COUNTIF(J165,"A favor"))</f>
        <v/>
      </c>
      <c r="L165" s="16">
        <f>IF(A165="","",IF(K165=3,"Sim","Não"))</f>
        <v/>
      </c>
      <c r="M165" s="16">
        <f>IF(C165="","",COUNTIFS(Red_Team!$B$2:$B$301,C165,Red_Team!$I$2:$I$301,"Aberta"))</f>
        <v/>
      </c>
      <c r="N165" s="15" t="n"/>
      <c r="O165" s="16">
        <f>IF(A165="","",IF(M165&gt;0,"NÃO – objeções abertas",IF(AND(D165="Autenticidade confirmada (origem institucional)",Q165&lt;&gt;"A"),"NÃO – exige item classe A",IF(AND(Q165="C",D165&lt;&gt;"Alegação da defesa (classe C)"),"NÃO – item classe C",IF(AND(D165="Alegação da defesa (classe C)",Q165&lt;&gt;"C"),"NÃO – item não é classe C",IF(D165="Indícios técnicos de alteração",IF(L165="Sim","Sim","NÃO – exige unanimidade"),IF(K165&gt;=2,"Sim","NÃO – sem maioria")))))))</f>
        <v/>
      </c>
      <c r="P165" s="16">
        <f>IF(C165="","",IF(COUNTIF(C166:C$302,C165)=0,C165,""))</f>
        <v/>
      </c>
      <c r="Q165" s="16">
        <f>IF(C165="","",IFERROR(LEFT(INDEX(Custodia!$U$2:$U$301,MATCH(C165,Custodia!$A$2:$A$301,0)),1),"?"))</f>
        <v/>
      </c>
    </row>
    <row r="166">
      <c r="A166" s="15" t="n"/>
      <c r="B166" s="18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6">
        <f>IF(A166="","",COUNTIF(F166,"A favor")+COUNTIF(H166,"A favor")+COUNTIF(J166,"A favor"))</f>
        <v/>
      </c>
      <c r="L166" s="16">
        <f>IF(A166="","",IF(K166=3,"Sim","Não"))</f>
        <v/>
      </c>
      <c r="M166" s="16">
        <f>IF(C166="","",COUNTIFS(Red_Team!$B$2:$B$301,C166,Red_Team!$I$2:$I$301,"Aberta"))</f>
        <v/>
      </c>
      <c r="N166" s="15" t="n"/>
      <c r="O166" s="16">
        <f>IF(A166="","",IF(M166&gt;0,"NÃO – objeções abertas",IF(AND(D166="Autenticidade confirmada (origem institucional)",Q166&lt;&gt;"A"),"NÃO – exige item classe A",IF(AND(Q166="C",D166&lt;&gt;"Alegação da defesa (classe C)"),"NÃO – item classe C",IF(AND(D166="Alegação da defesa (classe C)",Q166&lt;&gt;"C"),"NÃO – item não é classe C",IF(D166="Indícios técnicos de alteração",IF(L166="Sim","Sim","NÃO – exige unanimidade"),IF(K166&gt;=2,"Sim","NÃO – sem maioria")))))))</f>
        <v/>
      </c>
      <c r="P166" s="16">
        <f>IF(C166="","",IF(COUNTIF(C167:C$302,C166)=0,C166,""))</f>
        <v/>
      </c>
      <c r="Q166" s="16">
        <f>IF(C166="","",IFERROR(LEFT(INDEX(Custodia!$U$2:$U$301,MATCH(C166,Custodia!$A$2:$A$301,0)),1),"?"))</f>
        <v/>
      </c>
    </row>
    <row r="167">
      <c r="A167" s="15" t="n"/>
      <c r="B167" s="18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6">
        <f>IF(A167="","",COUNTIF(F167,"A favor")+COUNTIF(H167,"A favor")+COUNTIF(J167,"A favor"))</f>
        <v/>
      </c>
      <c r="L167" s="16">
        <f>IF(A167="","",IF(K167=3,"Sim","Não"))</f>
        <v/>
      </c>
      <c r="M167" s="16">
        <f>IF(C167="","",COUNTIFS(Red_Team!$B$2:$B$301,C167,Red_Team!$I$2:$I$301,"Aberta"))</f>
        <v/>
      </c>
      <c r="N167" s="15" t="n"/>
      <c r="O167" s="16">
        <f>IF(A167="","",IF(M167&gt;0,"NÃO – objeções abertas",IF(AND(D167="Autenticidade confirmada (origem institucional)",Q167&lt;&gt;"A"),"NÃO – exige item classe A",IF(AND(Q167="C",D167&lt;&gt;"Alegação da defesa (classe C)"),"NÃO – item classe C",IF(AND(D167="Alegação da defesa (classe C)",Q167&lt;&gt;"C"),"NÃO – item não é classe C",IF(D167="Indícios técnicos de alteração",IF(L167="Sim","Sim","NÃO – exige unanimidade"),IF(K167&gt;=2,"Sim","NÃO – sem maioria")))))))</f>
        <v/>
      </c>
      <c r="P167" s="16">
        <f>IF(C167="","",IF(COUNTIF(C168:C$302,C167)=0,C167,""))</f>
        <v/>
      </c>
      <c r="Q167" s="16">
        <f>IF(C167="","",IFERROR(LEFT(INDEX(Custodia!$U$2:$U$301,MATCH(C167,Custodia!$A$2:$A$301,0)),1),"?"))</f>
        <v/>
      </c>
    </row>
    <row r="168">
      <c r="A168" s="15" t="n"/>
      <c r="B168" s="18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6">
        <f>IF(A168="","",COUNTIF(F168,"A favor")+COUNTIF(H168,"A favor")+COUNTIF(J168,"A favor"))</f>
        <v/>
      </c>
      <c r="L168" s="16">
        <f>IF(A168="","",IF(K168=3,"Sim","Não"))</f>
        <v/>
      </c>
      <c r="M168" s="16">
        <f>IF(C168="","",COUNTIFS(Red_Team!$B$2:$B$301,C168,Red_Team!$I$2:$I$301,"Aberta"))</f>
        <v/>
      </c>
      <c r="N168" s="15" t="n"/>
      <c r="O168" s="16">
        <f>IF(A168="","",IF(M168&gt;0,"NÃO – objeções abertas",IF(AND(D168="Autenticidade confirmada (origem institucional)",Q168&lt;&gt;"A"),"NÃO – exige item classe A",IF(AND(Q168="C",D168&lt;&gt;"Alegação da defesa (classe C)"),"NÃO – item classe C",IF(AND(D168="Alegação da defesa (classe C)",Q168&lt;&gt;"C"),"NÃO – item não é classe C",IF(D168="Indícios técnicos de alteração",IF(L168="Sim","Sim","NÃO – exige unanimidade"),IF(K168&gt;=2,"Sim","NÃO – sem maioria")))))))</f>
        <v/>
      </c>
      <c r="P168" s="16">
        <f>IF(C168="","",IF(COUNTIF(C169:C$302,C168)=0,C168,""))</f>
        <v/>
      </c>
      <c r="Q168" s="16">
        <f>IF(C168="","",IFERROR(LEFT(INDEX(Custodia!$U$2:$U$301,MATCH(C168,Custodia!$A$2:$A$301,0)),1),"?"))</f>
        <v/>
      </c>
    </row>
    <row r="169">
      <c r="A169" s="15" t="n"/>
      <c r="B169" s="18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6">
        <f>IF(A169="","",COUNTIF(F169,"A favor")+COUNTIF(H169,"A favor")+COUNTIF(J169,"A favor"))</f>
        <v/>
      </c>
      <c r="L169" s="16">
        <f>IF(A169="","",IF(K169=3,"Sim","Não"))</f>
        <v/>
      </c>
      <c r="M169" s="16">
        <f>IF(C169="","",COUNTIFS(Red_Team!$B$2:$B$301,C169,Red_Team!$I$2:$I$301,"Aberta"))</f>
        <v/>
      </c>
      <c r="N169" s="15" t="n"/>
      <c r="O169" s="16">
        <f>IF(A169="","",IF(M169&gt;0,"NÃO – objeções abertas",IF(AND(D169="Autenticidade confirmada (origem institucional)",Q169&lt;&gt;"A"),"NÃO – exige item classe A",IF(AND(Q169="C",D169&lt;&gt;"Alegação da defesa (classe C)"),"NÃO – item classe C",IF(AND(D169="Alegação da defesa (classe C)",Q169&lt;&gt;"C"),"NÃO – item não é classe C",IF(D169="Indícios técnicos de alteração",IF(L169="Sim","Sim","NÃO – exige unanimidade"),IF(K169&gt;=2,"Sim","NÃO – sem maioria")))))))</f>
        <v/>
      </c>
      <c r="P169" s="16">
        <f>IF(C169="","",IF(COUNTIF(C170:C$302,C169)=0,C169,""))</f>
        <v/>
      </c>
      <c r="Q169" s="16">
        <f>IF(C169="","",IFERROR(LEFT(INDEX(Custodia!$U$2:$U$301,MATCH(C169,Custodia!$A$2:$A$301,0)),1),"?"))</f>
        <v/>
      </c>
    </row>
    <row r="170">
      <c r="A170" s="15" t="n"/>
      <c r="B170" s="18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6">
        <f>IF(A170="","",COUNTIF(F170,"A favor")+COUNTIF(H170,"A favor")+COUNTIF(J170,"A favor"))</f>
        <v/>
      </c>
      <c r="L170" s="16">
        <f>IF(A170="","",IF(K170=3,"Sim","Não"))</f>
        <v/>
      </c>
      <c r="M170" s="16">
        <f>IF(C170="","",COUNTIFS(Red_Team!$B$2:$B$301,C170,Red_Team!$I$2:$I$301,"Aberta"))</f>
        <v/>
      </c>
      <c r="N170" s="15" t="n"/>
      <c r="O170" s="16">
        <f>IF(A170="","",IF(M170&gt;0,"NÃO – objeções abertas",IF(AND(D170="Autenticidade confirmada (origem institucional)",Q170&lt;&gt;"A"),"NÃO – exige item classe A",IF(AND(Q170="C",D170&lt;&gt;"Alegação da defesa (classe C)"),"NÃO – item classe C",IF(AND(D170="Alegação da defesa (classe C)",Q170&lt;&gt;"C"),"NÃO – item não é classe C",IF(D170="Indícios técnicos de alteração",IF(L170="Sim","Sim","NÃO – exige unanimidade"),IF(K170&gt;=2,"Sim","NÃO – sem maioria")))))))</f>
        <v/>
      </c>
      <c r="P170" s="16">
        <f>IF(C170="","",IF(COUNTIF(C171:C$302,C170)=0,C170,""))</f>
        <v/>
      </c>
      <c r="Q170" s="16">
        <f>IF(C170="","",IFERROR(LEFT(INDEX(Custodia!$U$2:$U$301,MATCH(C170,Custodia!$A$2:$A$301,0)),1),"?"))</f>
        <v/>
      </c>
    </row>
    <row r="171">
      <c r="A171" s="15" t="n"/>
      <c r="B171" s="18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6">
        <f>IF(A171="","",COUNTIF(F171,"A favor")+COUNTIF(H171,"A favor")+COUNTIF(J171,"A favor"))</f>
        <v/>
      </c>
      <c r="L171" s="16">
        <f>IF(A171="","",IF(K171=3,"Sim","Não"))</f>
        <v/>
      </c>
      <c r="M171" s="16">
        <f>IF(C171="","",COUNTIFS(Red_Team!$B$2:$B$301,C171,Red_Team!$I$2:$I$301,"Aberta"))</f>
        <v/>
      </c>
      <c r="N171" s="15" t="n"/>
      <c r="O171" s="16">
        <f>IF(A171="","",IF(M171&gt;0,"NÃO – objeções abertas",IF(AND(D171="Autenticidade confirmada (origem institucional)",Q171&lt;&gt;"A"),"NÃO – exige item classe A",IF(AND(Q171="C",D171&lt;&gt;"Alegação da defesa (classe C)"),"NÃO – item classe C",IF(AND(D171="Alegação da defesa (classe C)",Q171&lt;&gt;"C"),"NÃO – item não é classe C",IF(D171="Indícios técnicos de alteração",IF(L171="Sim","Sim","NÃO – exige unanimidade"),IF(K171&gt;=2,"Sim","NÃO – sem maioria")))))))</f>
        <v/>
      </c>
      <c r="P171" s="16">
        <f>IF(C171="","",IF(COUNTIF(C172:C$302,C171)=0,C171,""))</f>
        <v/>
      </c>
      <c r="Q171" s="16">
        <f>IF(C171="","",IFERROR(LEFT(INDEX(Custodia!$U$2:$U$301,MATCH(C171,Custodia!$A$2:$A$301,0)),1),"?"))</f>
        <v/>
      </c>
    </row>
    <row r="172">
      <c r="A172" s="15" t="n"/>
      <c r="B172" s="18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6">
        <f>IF(A172="","",COUNTIF(F172,"A favor")+COUNTIF(H172,"A favor")+COUNTIF(J172,"A favor"))</f>
        <v/>
      </c>
      <c r="L172" s="16">
        <f>IF(A172="","",IF(K172=3,"Sim","Não"))</f>
        <v/>
      </c>
      <c r="M172" s="16">
        <f>IF(C172="","",COUNTIFS(Red_Team!$B$2:$B$301,C172,Red_Team!$I$2:$I$301,"Aberta"))</f>
        <v/>
      </c>
      <c r="N172" s="15" t="n"/>
      <c r="O172" s="16">
        <f>IF(A172="","",IF(M172&gt;0,"NÃO – objeções abertas",IF(AND(D172="Autenticidade confirmada (origem institucional)",Q172&lt;&gt;"A"),"NÃO – exige item classe A",IF(AND(Q172="C",D172&lt;&gt;"Alegação da defesa (classe C)"),"NÃO – item classe C",IF(AND(D172="Alegação da defesa (classe C)",Q172&lt;&gt;"C"),"NÃO – item não é classe C",IF(D172="Indícios técnicos de alteração",IF(L172="Sim","Sim","NÃO – exige unanimidade"),IF(K172&gt;=2,"Sim","NÃO – sem maioria")))))))</f>
        <v/>
      </c>
      <c r="P172" s="16">
        <f>IF(C172="","",IF(COUNTIF(C173:C$302,C172)=0,C172,""))</f>
        <v/>
      </c>
      <c r="Q172" s="16">
        <f>IF(C172="","",IFERROR(LEFT(INDEX(Custodia!$U$2:$U$301,MATCH(C172,Custodia!$A$2:$A$301,0)),1),"?"))</f>
        <v/>
      </c>
    </row>
    <row r="173">
      <c r="A173" s="15" t="n"/>
      <c r="B173" s="18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6">
        <f>IF(A173="","",COUNTIF(F173,"A favor")+COUNTIF(H173,"A favor")+COUNTIF(J173,"A favor"))</f>
        <v/>
      </c>
      <c r="L173" s="16">
        <f>IF(A173="","",IF(K173=3,"Sim","Não"))</f>
        <v/>
      </c>
      <c r="M173" s="16">
        <f>IF(C173="","",COUNTIFS(Red_Team!$B$2:$B$301,C173,Red_Team!$I$2:$I$301,"Aberta"))</f>
        <v/>
      </c>
      <c r="N173" s="15" t="n"/>
      <c r="O173" s="16">
        <f>IF(A173="","",IF(M173&gt;0,"NÃO – objeções abertas",IF(AND(D173="Autenticidade confirmada (origem institucional)",Q173&lt;&gt;"A"),"NÃO – exige item classe A",IF(AND(Q173="C",D173&lt;&gt;"Alegação da defesa (classe C)"),"NÃO – item classe C",IF(AND(D173="Alegação da defesa (classe C)",Q173&lt;&gt;"C"),"NÃO – item não é classe C",IF(D173="Indícios técnicos de alteração",IF(L173="Sim","Sim","NÃO – exige unanimidade"),IF(K173&gt;=2,"Sim","NÃO – sem maioria")))))))</f>
        <v/>
      </c>
      <c r="P173" s="16">
        <f>IF(C173="","",IF(COUNTIF(C174:C$302,C173)=0,C173,""))</f>
        <v/>
      </c>
      <c r="Q173" s="16">
        <f>IF(C173="","",IFERROR(LEFT(INDEX(Custodia!$U$2:$U$301,MATCH(C173,Custodia!$A$2:$A$301,0)),1),"?"))</f>
        <v/>
      </c>
    </row>
    <row r="174">
      <c r="A174" s="15" t="n"/>
      <c r="B174" s="18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6">
        <f>IF(A174="","",COUNTIF(F174,"A favor")+COUNTIF(H174,"A favor")+COUNTIF(J174,"A favor"))</f>
        <v/>
      </c>
      <c r="L174" s="16">
        <f>IF(A174="","",IF(K174=3,"Sim","Não"))</f>
        <v/>
      </c>
      <c r="M174" s="16">
        <f>IF(C174="","",COUNTIFS(Red_Team!$B$2:$B$301,C174,Red_Team!$I$2:$I$301,"Aberta"))</f>
        <v/>
      </c>
      <c r="N174" s="15" t="n"/>
      <c r="O174" s="16">
        <f>IF(A174="","",IF(M174&gt;0,"NÃO – objeções abertas",IF(AND(D174="Autenticidade confirmada (origem institucional)",Q174&lt;&gt;"A"),"NÃO – exige item classe A",IF(AND(Q174="C",D174&lt;&gt;"Alegação da defesa (classe C)"),"NÃO – item classe C",IF(AND(D174="Alegação da defesa (classe C)",Q174&lt;&gt;"C"),"NÃO – item não é classe C",IF(D174="Indícios técnicos de alteração",IF(L174="Sim","Sim","NÃO – exige unanimidade"),IF(K174&gt;=2,"Sim","NÃO – sem maioria")))))))</f>
        <v/>
      </c>
      <c r="P174" s="16">
        <f>IF(C174="","",IF(COUNTIF(C175:C$302,C174)=0,C174,""))</f>
        <v/>
      </c>
      <c r="Q174" s="16">
        <f>IF(C174="","",IFERROR(LEFT(INDEX(Custodia!$U$2:$U$301,MATCH(C174,Custodia!$A$2:$A$301,0)),1),"?"))</f>
        <v/>
      </c>
    </row>
    <row r="175">
      <c r="A175" s="15" t="n"/>
      <c r="B175" s="18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6">
        <f>IF(A175="","",COUNTIF(F175,"A favor")+COUNTIF(H175,"A favor")+COUNTIF(J175,"A favor"))</f>
        <v/>
      </c>
      <c r="L175" s="16">
        <f>IF(A175="","",IF(K175=3,"Sim","Não"))</f>
        <v/>
      </c>
      <c r="M175" s="16">
        <f>IF(C175="","",COUNTIFS(Red_Team!$B$2:$B$301,C175,Red_Team!$I$2:$I$301,"Aberta"))</f>
        <v/>
      </c>
      <c r="N175" s="15" t="n"/>
      <c r="O175" s="16">
        <f>IF(A175="","",IF(M175&gt;0,"NÃO – objeções abertas",IF(AND(D175="Autenticidade confirmada (origem institucional)",Q175&lt;&gt;"A"),"NÃO – exige item classe A",IF(AND(Q175="C",D175&lt;&gt;"Alegação da defesa (classe C)"),"NÃO – item classe C",IF(AND(D175="Alegação da defesa (classe C)",Q175&lt;&gt;"C"),"NÃO – item não é classe C",IF(D175="Indícios técnicos de alteração",IF(L175="Sim","Sim","NÃO – exige unanimidade"),IF(K175&gt;=2,"Sim","NÃO – sem maioria")))))))</f>
        <v/>
      </c>
      <c r="P175" s="16">
        <f>IF(C175="","",IF(COUNTIF(C176:C$302,C175)=0,C175,""))</f>
        <v/>
      </c>
      <c r="Q175" s="16">
        <f>IF(C175="","",IFERROR(LEFT(INDEX(Custodia!$U$2:$U$301,MATCH(C175,Custodia!$A$2:$A$301,0)),1),"?"))</f>
        <v/>
      </c>
    </row>
    <row r="176">
      <c r="A176" s="15" t="n"/>
      <c r="B176" s="18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6">
        <f>IF(A176="","",COUNTIF(F176,"A favor")+COUNTIF(H176,"A favor")+COUNTIF(J176,"A favor"))</f>
        <v/>
      </c>
      <c r="L176" s="16">
        <f>IF(A176="","",IF(K176=3,"Sim","Não"))</f>
        <v/>
      </c>
      <c r="M176" s="16">
        <f>IF(C176="","",COUNTIFS(Red_Team!$B$2:$B$301,C176,Red_Team!$I$2:$I$301,"Aberta"))</f>
        <v/>
      </c>
      <c r="N176" s="15" t="n"/>
      <c r="O176" s="16">
        <f>IF(A176="","",IF(M176&gt;0,"NÃO – objeções abertas",IF(AND(D176="Autenticidade confirmada (origem institucional)",Q176&lt;&gt;"A"),"NÃO – exige item classe A",IF(AND(Q176="C",D176&lt;&gt;"Alegação da defesa (classe C)"),"NÃO – item classe C",IF(AND(D176="Alegação da defesa (classe C)",Q176&lt;&gt;"C"),"NÃO – item não é classe C",IF(D176="Indícios técnicos de alteração",IF(L176="Sim","Sim","NÃO – exige unanimidade"),IF(K176&gt;=2,"Sim","NÃO – sem maioria")))))))</f>
        <v/>
      </c>
      <c r="P176" s="16">
        <f>IF(C176="","",IF(COUNTIF(C177:C$302,C176)=0,C176,""))</f>
        <v/>
      </c>
      <c r="Q176" s="16">
        <f>IF(C176="","",IFERROR(LEFT(INDEX(Custodia!$U$2:$U$301,MATCH(C176,Custodia!$A$2:$A$301,0)),1),"?"))</f>
        <v/>
      </c>
    </row>
    <row r="177">
      <c r="A177" s="15" t="n"/>
      <c r="B177" s="18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6">
        <f>IF(A177="","",COUNTIF(F177,"A favor")+COUNTIF(H177,"A favor")+COUNTIF(J177,"A favor"))</f>
        <v/>
      </c>
      <c r="L177" s="16">
        <f>IF(A177="","",IF(K177=3,"Sim","Não"))</f>
        <v/>
      </c>
      <c r="M177" s="16">
        <f>IF(C177="","",COUNTIFS(Red_Team!$B$2:$B$301,C177,Red_Team!$I$2:$I$301,"Aberta"))</f>
        <v/>
      </c>
      <c r="N177" s="15" t="n"/>
      <c r="O177" s="16">
        <f>IF(A177="","",IF(M177&gt;0,"NÃO – objeções abertas",IF(AND(D177="Autenticidade confirmada (origem institucional)",Q177&lt;&gt;"A"),"NÃO – exige item classe A",IF(AND(Q177="C",D177&lt;&gt;"Alegação da defesa (classe C)"),"NÃO – item classe C",IF(AND(D177="Alegação da defesa (classe C)",Q177&lt;&gt;"C"),"NÃO – item não é classe C",IF(D177="Indícios técnicos de alteração",IF(L177="Sim","Sim","NÃO – exige unanimidade"),IF(K177&gt;=2,"Sim","NÃO – sem maioria")))))))</f>
        <v/>
      </c>
      <c r="P177" s="16">
        <f>IF(C177="","",IF(COUNTIF(C178:C$302,C177)=0,C177,""))</f>
        <v/>
      </c>
      <c r="Q177" s="16">
        <f>IF(C177="","",IFERROR(LEFT(INDEX(Custodia!$U$2:$U$301,MATCH(C177,Custodia!$A$2:$A$301,0)),1),"?"))</f>
        <v/>
      </c>
    </row>
    <row r="178">
      <c r="A178" s="15" t="n"/>
      <c r="B178" s="18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6">
        <f>IF(A178="","",COUNTIF(F178,"A favor")+COUNTIF(H178,"A favor")+COUNTIF(J178,"A favor"))</f>
        <v/>
      </c>
      <c r="L178" s="16">
        <f>IF(A178="","",IF(K178=3,"Sim","Não"))</f>
        <v/>
      </c>
      <c r="M178" s="16">
        <f>IF(C178="","",COUNTIFS(Red_Team!$B$2:$B$301,C178,Red_Team!$I$2:$I$301,"Aberta"))</f>
        <v/>
      </c>
      <c r="N178" s="15" t="n"/>
      <c r="O178" s="16">
        <f>IF(A178="","",IF(M178&gt;0,"NÃO – objeções abertas",IF(AND(D178="Autenticidade confirmada (origem institucional)",Q178&lt;&gt;"A"),"NÃO – exige item classe A",IF(AND(Q178="C",D178&lt;&gt;"Alegação da defesa (classe C)"),"NÃO – item classe C",IF(AND(D178="Alegação da defesa (classe C)",Q178&lt;&gt;"C"),"NÃO – item não é classe C",IF(D178="Indícios técnicos de alteração",IF(L178="Sim","Sim","NÃO – exige unanimidade"),IF(K178&gt;=2,"Sim","NÃO – sem maioria")))))))</f>
        <v/>
      </c>
      <c r="P178" s="16">
        <f>IF(C178="","",IF(COUNTIF(C179:C$302,C178)=0,C178,""))</f>
        <v/>
      </c>
      <c r="Q178" s="16">
        <f>IF(C178="","",IFERROR(LEFT(INDEX(Custodia!$U$2:$U$301,MATCH(C178,Custodia!$A$2:$A$301,0)),1),"?"))</f>
        <v/>
      </c>
    </row>
    <row r="179">
      <c r="A179" s="15" t="n"/>
      <c r="B179" s="18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6">
        <f>IF(A179="","",COUNTIF(F179,"A favor")+COUNTIF(H179,"A favor")+COUNTIF(J179,"A favor"))</f>
        <v/>
      </c>
      <c r="L179" s="16">
        <f>IF(A179="","",IF(K179=3,"Sim","Não"))</f>
        <v/>
      </c>
      <c r="M179" s="16">
        <f>IF(C179="","",COUNTIFS(Red_Team!$B$2:$B$301,C179,Red_Team!$I$2:$I$301,"Aberta"))</f>
        <v/>
      </c>
      <c r="N179" s="15" t="n"/>
      <c r="O179" s="16">
        <f>IF(A179="","",IF(M179&gt;0,"NÃO – objeções abertas",IF(AND(D179="Autenticidade confirmada (origem institucional)",Q179&lt;&gt;"A"),"NÃO – exige item classe A",IF(AND(Q179="C",D179&lt;&gt;"Alegação da defesa (classe C)"),"NÃO – item classe C",IF(AND(D179="Alegação da defesa (classe C)",Q179&lt;&gt;"C"),"NÃO – item não é classe C",IF(D179="Indícios técnicos de alteração",IF(L179="Sim","Sim","NÃO – exige unanimidade"),IF(K179&gt;=2,"Sim","NÃO – sem maioria")))))))</f>
        <v/>
      </c>
      <c r="P179" s="16">
        <f>IF(C179="","",IF(COUNTIF(C180:C$302,C179)=0,C179,""))</f>
        <v/>
      </c>
      <c r="Q179" s="16">
        <f>IF(C179="","",IFERROR(LEFT(INDEX(Custodia!$U$2:$U$301,MATCH(C179,Custodia!$A$2:$A$301,0)),1),"?"))</f>
        <v/>
      </c>
    </row>
    <row r="180">
      <c r="A180" s="15" t="n"/>
      <c r="B180" s="18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6">
        <f>IF(A180="","",COUNTIF(F180,"A favor")+COUNTIF(H180,"A favor")+COUNTIF(J180,"A favor"))</f>
        <v/>
      </c>
      <c r="L180" s="16">
        <f>IF(A180="","",IF(K180=3,"Sim","Não"))</f>
        <v/>
      </c>
      <c r="M180" s="16">
        <f>IF(C180="","",COUNTIFS(Red_Team!$B$2:$B$301,C180,Red_Team!$I$2:$I$301,"Aberta"))</f>
        <v/>
      </c>
      <c r="N180" s="15" t="n"/>
      <c r="O180" s="16">
        <f>IF(A180="","",IF(M180&gt;0,"NÃO – objeções abertas",IF(AND(D180="Autenticidade confirmada (origem institucional)",Q180&lt;&gt;"A"),"NÃO – exige item classe A",IF(AND(Q180="C",D180&lt;&gt;"Alegação da defesa (classe C)"),"NÃO – item classe C",IF(AND(D180="Alegação da defesa (classe C)",Q180&lt;&gt;"C"),"NÃO – item não é classe C",IF(D180="Indícios técnicos de alteração",IF(L180="Sim","Sim","NÃO – exige unanimidade"),IF(K180&gt;=2,"Sim","NÃO – sem maioria")))))))</f>
        <v/>
      </c>
      <c r="P180" s="16">
        <f>IF(C180="","",IF(COUNTIF(C181:C$302,C180)=0,C180,""))</f>
        <v/>
      </c>
      <c r="Q180" s="16">
        <f>IF(C180="","",IFERROR(LEFT(INDEX(Custodia!$U$2:$U$301,MATCH(C180,Custodia!$A$2:$A$301,0)),1),"?"))</f>
        <v/>
      </c>
    </row>
    <row r="181">
      <c r="A181" s="15" t="n"/>
      <c r="B181" s="18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6">
        <f>IF(A181="","",COUNTIF(F181,"A favor")+COUNTIF(H181,"A favor")+COUNTIF(J181,"A favor"))</f>
        <v/>
      </c>
      <c r="L181" s="16">
        <f>IF(A181="","",IF(K181=3,"Sim","Não"))</f>
        <v/>
      </c>
      <c r="M181" s="16">
        <f>IF(C181="","",COUNTIFS(Red_Team!$B$2:$B$301,C181,Red_Team!$I$2:$I$301,"Aberta"))</f>
        <v/>
      </c>
      <c r="N181" s="15" t="n"/>
      <c r="O181" s="16">
        <f>IF(A181="","",IF(M181&gt;0,"NÃO – objeções abertas",IF(AND(D181="Autenticidade confirmada (origem institucional)",Q181&lt;&gt;"A"),"NÃO – exige item classe A",IF(AND(Q181="C",D181&lt;&gt;"Alegação da defesa (classe C)"),"NÃO – item classe C",IF(AND(D181="Alegação da defesa (classe C)",Q181&lt;&gt;"C"),"NÃO – item não é classe C",IF(D181="Indícios técnicos de alteração",IF(L181="Sim","Sim","NÃO – exige unanimidade"),IF(K181&gt;=2,"Sim","NÃO – sem maioria")))))))</f>
        <v/>
      </c>
      <c r="P181" s="16">
        <f>IF(C181="","",IF(COUNTIF(C182:C$302,C181)=0,C181,""))</f>
        <v/>
      </c>
      <c r="Q181" s="16">
        <f>IF(C181="","",IFERROR(LEFT(INDEX(Custodia!$U$2:$U$301,MATCH(C181,Custodia!$A$2:$A$301,0)),1),"?"))</f>
        <v/>
      </c>
    </row>
    <row r="182">
      <c r="A182" s="15" t="n"/>
      <c r="B182" s="18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6">
        <f>IF(A182="","",COUNTIF(F182,"A favor")+COUNTIF(H182,"A favor")+COUNTIF(J182,"A favor"))</f>
        <v/>
      </c>
      <c r="L182" s="16">
        <f>IF(A182="","",IF(K182=3,"Sim","Não"))</f>
        <v/>
      </c>
      <c r="M182" s="16">
        <f>IF(C182="","",COUNTIFS(Red_Team!$B$2:$B$301,C182,Red_Team!$I$2:$I$301,"Aberta"))</f>
        <v/>
      </c>
      <c r="N182" s="15" t="n"/>
      <c r="O182" s="16">
        <f>IF(A182="","",IF(M182&gt;0,"NÃO – objeções abertas",IF(AND(D182="Autenticidade confirmada (origem institucional)",Q182&lt;&gt;"A"),"NÃO – exige item classe A",IF(AND(Q182="C",D182&lt;&gt;"Alegação da defesa (classe C)"),"NÃO – item classe C",IF(AND(D182="Alegação da defesa (classe C)",Q182&lt;&gt;"C"),"NÃO – item não é classe C",IF(D182="Indícios técnicos de alteração",IF(L182="Sim","Sim","NÃO – exige unanimidade"),IF(K182&gt;=2,"Sim","NÃO – sem maioria")))))))</f>
        <v/>
      </c>
      <c r="P182" s="16">
        <f>IF(C182="","",IF(COUNTIF(C183:C$302,C182)=0,C182,""))</f>
        <v/>
      </c>
      <c r="Q182" s="16">
        <f>IF(C182="","",IFERROR(LEFT(INDEX(Custodia!$U$2:$U$301,MATCH(C182,Custodia!$A$2:$A$301,0)),1),"?"))</f>
        <v/>
      </c>
    </row>
    <row r="183">
      <c r="A183" s="15" t="n"/>
      <c r="B183" s="18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6">
        <f>IF(A183="","",COUNTIF(F183,"A favor")+COUNTIF(H183,"A favor")+COUNTIF(J183,"A favor"))</f>
        <v/>
      </c>
      <c r="L183" s="16">
        <f>IF(A183="","",IF(K183=3,"Sim","Não"))</f>
        <v/>
      </c>
      <c r="M183" s="16">
        <f>IF(C183="","",COUNTIFS(Red_Team!$B$2:$B$301,C183,Red_Team!$I$2:$I$301,"Aberta"))</f>
        <v/>
      </c>
      <c r="N183" s="15" t="n"/>
      <c r="O183" s="16">
        <f>IF(A183="","",IF(M183&gt;0,"NÃO – objeções abertas",IF(AND(D183="Autenticidade confirmada (origem institucional)",Q183&lt;&gt;"A"),"NÃO – exige item classe A",IF(AND(Q183="C",D183&lt;&gt;"Alegação da defesa (classe C)"),"NÃO – item classe C",IF(AND(D183="Alegação da defesa (classe C)",Q183&lt;&gt;"C"),"NÃO – item não é classe C",IF(D183="Indícios técnicos de alteração",IF(L183="Sim","Sim","NÃO – exige unanimidade"),IF(K183&gt;=2,"Sim","NÃO – sem maioria")))))))</f>
        <v/>
      </c>
      <c r="P183" s="16">
        <f>IF(C183="","",IF(COUNTIF(C184:C$302,C183)=0,C183,""))</f>
        <v/>
      </c>
      <c r="Q183" s="16">
        <f>IF(C183="","",IFERROR(LEFT(INDEX(Custodia!$U$2:$U$301,MATCH(C183,Custodia!$A$2:$A$301,0)),1),"?"))</f>
        <v/>
      </c>
    </row>
    <row r="184">
      <c r="A184" s="15" t="n"/>
      <c r="B184" s="18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6">
        <f>IF(A184="","",COUNTIF(F184,"A favor")+COUNTIF(H184,"A favor")+COUNTIF(J184,"A favor"))</f>
        <v/>
      </c>
      <c r="L184" s="16">
        <f>IF(A184="","",IF(K184=3,"Sim","Não"))</f>
        <v/>
      </c>
      <c r="M184" s="16">
        <f>IF(C184="","",COUNTIFS(Red_Team!$B$2:$B$301,C184,Red_Team!$I$2:$I$301,"Aberta"))</f>
        <v/>
      </c>
      <c r="N184" s="15" t="n"/>
      <c r="O184" s="16">
        <f>IF(A184="","",IF(M184&gt;0,"NÃO – objeções abertas",IF(AND(D184="Autenticidade confirmada (origem institucional)",Q184&lt;&gt;"A"),"NÃO – exige item classe A",IF(AND(Q184="C",D184&lt;&gt;"Alegação da defesa (classe C)"),"NÃO – item classe C",IF(AND(D184="Alegação da defesa (classe C)",Q184&lt;&gt;"C"),"NÃO – item não é classe C",IF(D184="Indícios técnicos de alteração",IF(L184="Sim","Sim","NÃO – exige unanimidade"),IF(K184&gt;=2,"Sim","NÃO – sem maioria")))))))</f>
        <v/>
      </c>
      <c r="P184" s="16">
        <f>IF(C184="","",IF(COUNTIF(C185:C$302,C184)=0,C184,""))</f>
        <v/>
      </c>
      <c r="Q184" s="16">
        <f>IF(C184="","",IFERROR(LEFT(INDEX(Custodia!$U$2:$U$301,MATCH(C184,Custodia!$A$2:$A$301,0)),1),"?"))</f>
        <v/>
      </c>
    </row>
    <row r="185">
      <c r="A185" s="15" t="n"/>
      <c r="B185" s="18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6">
        <f>IF(A185="","",COUNTIF(F185,"A favor")+COUNTIF(H185,"A favor")+COUNTIF(J185,"A favor"))</f>
        <v/>
      </c>
      <c r="L185" s="16">
        <f>IF(A185="","",IF(K185=3,"Sim","Não"))</f>
        <v/>
      </c>
      <c r="M185" s="16">
        <f>IF(C185="","",COUNTIFS(Red_Team!$B$2:$B$301,C185,Red_Team!$I$2:$I$301,"Aberta"))</f>
        <v/>
      </c>
      <c r="N185" s="15" t="n"/>
      <c r="O185" s="16">
        <f>IF(A185="","",IF(M185&gt;0,"NÃO – objeções abertas",IF(AND(D185="Autenticidade confirmada (origem institucional)",Q185&lt;&gt;"A"),"NÃO – exige item classe A",IF(AND(Q185="C",D185&lt;&gt;"Alegação da defesa (classe C)"),"NÃO – item classe C",IF(AND(D185="Alegação da defesa (classe C)",Q185&lt;&gt;"C"),"NÃO – item não é classe C",IF(D185="Indícios técnicos de alteração",IF(L185="Sim","Sim","NÃO – exige unanimidade"),IF(K185&gt;=2,"Sim","NÃO – sem maioria")))))))</f>
        <v/>
      </c>
      <c r="P185" s="16">
        <f>IF(C185="","",IF(COUNTIF(C186:C$302,C185)=0,C185,""))</f>
        <v/>
      </c>
      <c r="Q185" s="16">
        <f>IF(C185="","",IFERROR(LEFT(INDEX(Custodia!$U$2:$U$301,MATCH(C185,Custodia!$A$2:$A$301,0)),1),"?"))</f>
        <v/>
      </c>
    </row>
    <row r="186">
      <c r="A186" s="15" t="n"/>
      <c r="B186" s="18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6">
        <f>IF(A186="","",COUNTIF(F186,"A favor")+COUNTIF(H186,"A favor")+COUNTIF(J186,"A favor"))</f>
        <v/>
      </c>
      <c r="L186" s="16">
        <f>IF(A186="","",IF(K186=3,"Sim","Não"))</f>
        <v/>
      </c>
      <c r="M186" s="16">
        <f>IF(C186="","",COUNTIFS(Red_Team!$B$2:$B$301,C186,Red_Team!$I$2:$I$301,"Aberta"))</f>
        <v/>
      </c>
      <c r="N186" s="15" t="n"/>
      <c r="O186" s="16">
        <f>IF(A186="","",IF(M186&gt;0,"NÃO – objeções abertas",IF(AND(D186="Autenticidade confirmada (origem institucional)",Q186&lt;&gt;"A"),"NÃO – exige item classe A",IF(AND(Q186="C",D186&lt;&gt;"Alegação da defesa (classe C)"),"NÃO – item classe C",IF(AND(D186="Alegação da defesa (classe C)",Q186&lt;&gt;"C"),"NÃO – item não é classe C",IF(D186="Indícios técnicos de alteração",IF(L186="Sim","Sim","NÃO – exige unanimidade"),IF(K186&gt;=2,"Sim","NÃO – sem maioria")))))))</f>
        <v/>
      </c>
      <c r="P186" s="16">
        <f>IF(C186="","",IF(COUNTIF(C187:C$302,C186)=0,C186,""))</f>
        <v/>
      </c>
      <c r="Q186" s="16">
        <f>IF(C186="","",IFERROR(LEFT(INDEX(Custodia!$U$2:$U$301,MATCH(C186,Custodia!$A$2:$A$301,0)),1),"?"))</f>
        <v/>
      </c>
    </row>
    <row r="187">
      <c r="A187" s="15" t="n"/>
      <c r="B187" s="18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6">
        <f>IF(A187="","",COUNTIF(F187,"A favor")+COUNTIF(H187,"A favor")+COUNTIF(J187,"A favor"))</f>
        <v/>
      </c>
      <c r="L187" s="16">
        <f>IF(A187="","",IF(K187=3,"Sim","Não"))</f>
        <v/>
      </c>
      <c r="M187" s="16">
        <f>IF(C187="","",COUNTIFS(Red_Team!$B$2:$B$301,C187,Red_Team!$I$2:$I$301,"Aberta"))</f>
        <v/>
      </c>
      <c r="N187" s="15" t="n"/>
      <c r="O187" s="16">
        <f>IF(A187="","",IF(M187&gt;0,"NÃO – objeções abertas",IF(AND(D187="Autenticidade confirmada (origem institucional)",Q187&lt;&gt;"A"),"NÃO – exige item classe A",IF(AND(Q187="C",D187&lt;&gt;"Alegação da defesa (classe C)"),"NÃO – item classe C",IF(AND(D187="Alegação da defesa (classe C)",Q187&lt;&gt;"C"),"NÃO – item não é classe C",IF(D187="Indícios técnicos de alteração",IF(L187="Sim","Sim","NÃO – exige unanimidade"),IF(K187&gt;=2,"Sim","NÃO – sem maioria")))))))</f>
        <v/>
      </c>
      <c r="P187" s="16">
        <f>IF(C187="","",IF(COUNTIF(C188:C$302,C187)=0,C187,""))</f>
        <v/>
      </c>
      <c r="Q187" s="16">
        <f>IF(C187="","",IFERROR(LEFT(INDEX(Custodia!$U$2:$U$301,MATCH(C187,Custodia!$A$2:$A$301,0)),1),"?"))</f>
        <v/>
      </c>
    </row>
    <row r="188">
      <c r="A188" s="15" t="n"/>
      <c r="B188" s="18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6">
        <f>IF(A188="","",COUNTIF(F188,"A favor")+COUNTIF(H188,"A favor")+COUNTIF(J188,"A favor"))</f>
        <v/>
      </c>
      <c r="L188" s="16">
        <f>IF(A188="","",IF(K188=3,"Sim","Não"))</f>
        <v/>
      </c>
      <c r="M188" s="16">
        <f>IF(C188="","",COUNTIFS(Red_Team!$B$2:$B$301,C188,Red_Team!$I$2:$I$301,"Aberta"))</f>
        <v/>
      </c>
      <c r="N188" s="15" t="n"/>
      <c r="O188" s="16">
        <f>IF(A188="","",IF(M188&gt;0,"NÃO – objeções abertas",IF(AND(D188="Autenticidade confirmada (origem institucional)",Q188&lt;&gt;"A"),"NÃO – exige item classe A",IF(AND(Q188="C",D188&lt;&gt;"Alegação da defesa (classe C)"),"NÃO – item classe C",IF(AND(D188="Alegação da defesa (classe C)",Q188&lt;&gt;"C"),"NÃO – item não é classe C",IF(D188="Indícios técnicos de alteração",IF(L188="Sim","Sim","NÃO – exige unanimidade"),IF(K188&gt;=2,"Sim","NÃO – sem maioria")))))))</f>
        <v/>
      </c>
      <c r="P188" s="16">
        <f>IF(C188="","",IF(COUNTIF(C189:C$302,C188)=0,C188,""))</f>
        <v/>
      </c>
      <c r="Q188" s="16">
        <f>IF(C188="","",IFERROR(LEFT(INDEX(Custodia!$U$2:$U$301,MATCH(C188,Custodia!$A$2:$A$301,0)),1),"?"))</f>
        <v/>
      </c>
    </row>
    <row r="189">
      <c r="A189" s="15" t="n"/>
      <c r="B189" s="18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6">
        <f>IF(A189="","",COUNTIF(F189,"A favor")+COUNTIF(H189,"A favor")+COUNTIF(J189,"A favor"))</f>
        <v/>
      </c>
      <c r="L189" s="16">
        <f>IF(A189="","",IF(K189=3,"Sim","Não"))</f>
        <v/>
      </c>
      <c r="M189" s="16">
        <f>IF(C189="","",COUNTIFS(Red_Team!$B$2:$B$301,C189,Red_Team!$I$2:$I$301,"Aberta"))</f>
        <v/>
      </c>
      <c r="N189" s="15" t="n"/>
      <c r="O189" s="16">
        <f>IF(A189="","",IF(M189&gt;0,"NÃO – objeções abertas",IF(AND(D189="Autenticidade confirmada (origem institucional)",Q189&lt;&gt;"A"),"NÃO – exige item classe A",IF(AND(Q189="C",D189&lt;&gt;"Alegação da defesa (classe C)"),"NÃO – item classe C",IF(AND(D189="Alegação da defesa (classe C)",Q189&lt;&gt;"C"),"NÃO – item não é classe C",IF(D189="Indícios técnicos de alteração",IF(L189="Sim","Sim","NÃO – exige unanimidade"),IF(K189&gt;=2,"Sim","NÃO – sem maioria")))))))</f>
        <v/>
      </c>
      <c r="P189" s="16">
        <f>IF(C189="","",IF(COUNTIF(C190:C$302,C189)=0,C189,""))</f>
        <v/>
      </c>
      <c r="Q189" s="16">
        <f>IF(C189="","",IFERROR(LEFT(INDEX(Custodia!$U$2:$U$301,MATCH(C189,Custodia!$A$2:$A$301,0)),1),"?"))</f>
        <v/>
      </c>
    </row>
    <row r="190">
      <c r="A190" s="15" t="n"/>
      <c r="B190" s="18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6">
        <f>IF(A190="","",COUNTIF(F190,"A favor")+COUNTIF(H190,"A favor")+COUNTIF(J190,"A favor"))</f>
        <v/>
      </c>
      <c r="L190" s="16">
        <f>IF(A190="","",IF(K190=3,"Sim","Não"))</f>
        <v/>
      </c>
      <c r="M190" s="16">
        <f>IF(C190="","",COUNTIFS(Red_Team!$B$2:$B$301,C190,Red_Team!$I$2:$I$301,"Aberta"))</f>
        <v/>
      </c>
      <c r="N190" s="15" t="n"/>
      <c r="O190" s="16">
        <f>IF(A190="","",IF(M190&gt;0,"NÃO – objeções abertas",IF(AND(D190="Autenticidade confirmada (origem institucional)",Q190&lt;&gt;"A"),"NÃO – exige item classe A",IF(AND(Q190="C",D190&lt;&gt;"Alegação da defesa (classe C)"),"NÃO – item classe C",IF(AND(D190="Alegação da defesa (classe C)",Q190&lt;&gt;"C"),"NÃO – item não é classe C",IF(D190="Indícios técnicos de alteração",IF(L190="Sim","Sim","NÃO – exige unanimidade"),IF(K190&gt;=2,"Sim","NÃO – sem maioria")))))))</f>
        <v/>
      </c>
      <c r="P190" s="16">
        <f>IF(C190="","",IF(COUNTIF(C191:C$302,C190)=0,C190,""))</f>
        <v/>
      </c>
      <c r="Q190" s="16">
        <f>IF(C190="","",IFERROR(LEFT(INDEX(Custodia!$U$2:$U$301,MATCH(C190,Custodia!$A$2:$A$301,0)),1),"?"))</f>
        <v/>
      </c>
    </row>
    <row r="191">
      <c r="A191" s="15" t="n"/>
      <c r="B191" s="18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6">
        <f>IF(A191="","",COUNTIF(F191,"A favor")+COUNTIF(H191,"A favor")+COUNTIF(J191,"A favor"))</f>
        <v/>
      </c>
      <c r="L191" s="16">
        <f>IF(A191="","",IF(K191=3,"Sim","Não"))</f>
        <v/>
      </c>
      <c r="M191" s="16">
        <f>IF(C191="","",COUNTIFS(Red_Team!$B$2:$B$301,C191,Red_Team!$I$2:$I$301,"Aberta"))</f>
        <v/>
      </c>
      <c r="N191" s="15" t="n"/>
      <c r="O191" s="16">
        <f>IF(A191="","",IF(M191&gt;0,"NÃO – objeções abertas",IF(AND(D191="Autenticidade confirmada (origem institucional)",Q191&lt;&gt;"A"),"NÃO – exige item classe A",IF(AND(Q191="C",D191&lt;&gt;"Alegação da defesa (classe C)"),"NÃO – item classe C",IF(AND(D191="Alegação da defesa (classe C)",Q191&lt;&gt;"C"),"NÃO – item não é classe C",IF(D191="Indícios técnicos de alteração",IF(L191="Sim","Sim","NÃO – exige unanimidade"),IF(K191&gt;=2,"Sim","NÃO – sem maioria")))))))</f>
        <v/>
      </c>
      <c r="P191" s="16">
        <f>IF(C191="","",IF(COUNTIF(C192:C$302,C191)=0,C191,""))</f>
        <v/>
      </c>
      <c r="Q191" s="16">
        <f>IF(C191="","",IFERROR(LEFT(INDEX(Custodia!$U$2:$U$301,MATCH(C191,Custodia!$A$2:$A$301,0)),1),"?"))</f>
        <v/>
      </c>
    </row>
    <row r="192">
      <c r="A192" s="15" t="n"/>
      <c r="B192" s="18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6">
        <f>IF(A192="","",COUNTIF(F192,"A favor")+COUNTIF(H192,"A favor")+COUNTIF(J192,"A favor"))</f>
        <v/>
      </c>
      <c r="L192" s="16">
        <f>IF(A192="","",IF(K192=3,"Sim","Não"))</f>
        <v/>
      </c>
      <c r="M192" s="16">
        <f>IF(C192="","",COUNTIFS(Red_Team!$B$2:$B$301,C192,Red_Team!$I$2:$I$301,"Aberta"))</f>
        <v/>
      </c>
      <c r="N192" s="15" t="n"/>
      <c r="O192" s="16">
        <f>IF(A192="","",IF(M192&gt;0,"NÃO – objeções abertas",IF(AND(D192="Autenticidade confirmada (origem institucional)",Q192&lt;&gt;"A"),"NÃO – exige item classe A",IF(AND(Q192="C",D192&lt;&gt;"Alegação da defesa (classe C)"),"NÃO – item classe C",IF(AND(D192="Alegação da defesa (classe C)",Q192&lt;&gt;"C"),"NÃO – item não é classe C",IF(D192="Indícios técnicos de alteração",IF(L192="Sim","Sim","NÃO – exige unanimidade"),IF(K192&gt;=2,"Sim","NÃO – sem maioria")))))))</f>
        <v/>
      </c>
      <c r="P192" s="16">
        <f>IF(C192="","",IF(COUNTIF(C193:C$302,C192)=0,C192,""))</f>
        <v/>
      </c>
      <c r="Q192" s="16">
        <f>IF(C192="","",IFERROR(LEFT(INDEX(Custodia!$U$2:$U$301,MATCH(C192,Custodia!$A$2:$A$301,0)),1),"?"))</f>
        <v/>
      </c>
    </row>
    <row r="193">
      <c r="A193" s="15" t="n"/>
      <c r="B193" s="18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6">
        <f>IF(A193="","",COUNTIF(F193,"A favor")+COUNTIF(H193,"A favor")+COUNTIF(J193,"A favor"))</f>
        <v/>
      </c>
      <c r="L193" s="16">
        <f>IF(A193="","",IF(K193=3,"Sim","Não"))</f>
        <v/>
      </c>
      <c r="M193" s="16">
        <f>IF(C193="","",COUNTIFS(Red_Team!$B$2:$B$301,C193,Red_Team!$I$2:$I$301,"Aberta"))</f>
        <v/>
      </c>
      <c r="N193" s="15" t="n"/>
      <c r="O193" s="16">
        <f>IF(A193="","",IF(M193&gt;0,"NÃO – objeções abertas",IF(AND(D193="Autenticidade confirmada (origem institucional)",Q193&lt;&gt;"A"),"NÃO – exige item classe A",IF(AND(Q193="C",D193&lt;&gt;"Alegação da defesa (classe C)"),"NÃO – item classe C",IF(AND(D193="Alegação da defesa (classe C)",Q193&lt;&gt;"C"),"NÃO – item não é classe C",IF(D193="Indícios técnicos de alteração",IF(L193="Sim","Sim","NÃO – exige unanimidade"),IF(K193&gt;=2,"Sim","NÃO – sem maioria")))))))</f>
        <v/>
      </c>
      <c r="P193" s="16">
        <f>IF(C193="","",IF(COUNTIF(C194:C$302,C193)=0,C193,""))</f>
        <v/>
      </c>
      <c r="Q193" s="16">
        <f>IF(C193="","",IFERROR(LEFT(INDEX(Custodia!$U$2:$U$301,MATCH(C193,Custodia!$A$2:$A$301,0)),1),"?"))</f>
        <v/>
      </c>
    </row>
    <row r="194">
      <c r="A194" s="15" t="n"/>
      <c r="B194" s="18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6">
        <f>IF(A194="","",COUNTIF(F194,"A favor")+COUNTIF(H194,"A favor")+COUNTIF(J194,"A favor"))</f>
        <v/>
      </c>
      <c r="L194" s="16">
        <f>IF(A194="","",IF(K194=3,"Sim","Não"))</f>
        <v/>
      </c>
      <c r="M194" s="16">
        <f>IF(C194="","",COUNTIFS(Red_Team!$B$2:$B$301,C194,Red_Team!$I$2:$I$301,"Aberta"))</f>
        <v/>
      </c>
      <c r="N194" s="15" t="n"/>
      <c r="O194" s="16">
        <f>IF(A194="","",IF(M194&gt;0,"NÃO – objeções abertas",IF(AND(D194="Autenticidade confirmada (origem institucional)",Q194&lt;&gt;"A"),"NÃO – exige item classe A",IF(AND(Q194="C",D194&lt;&gt;"Alegação da defesa (classe C)"),"NÃO – item classe C",IF(AND(D194="Alegação da defesa (classe C)",Q194&lt;&gt;"C"),"NÃO – item não é classe C",IF(D194="Indícios técnicos de alteração",IF(L194="Sim","Sim","NÃO – exige unanimidade"),IF(K194&gt;=2,"Sim","NÃO – sem maioria")))))))</f>
        <v/>
      </c>
      <c r="P194" s="16">
        <f>IF(C194="","",IF(COUNTIF(C195:C$302,C194)=0,C194,""))</f>
        <v/>
      </c>
      <c r="Q194" s="16">
        <f>IF(C194="","",IFERROR(LEFT(INDEX(Custodia!$U$2:$U$301,MATCH(C194,Custodia!$A$2:$A$301,0)),1),"?"))</f>
        <v/>
      </c>
    </row>
    <row r="195">
      <c r="A195" s="15" t="n"/>
      <c r="B195" s="18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6">
        <f>IF(A195="","",COUNTIF(F195,"A favor")+COUNTIF(H195,"A favor")+COUNTIF(J195,"A favor"))</f>
        <v/>
      </c>
      <c r="L195" s="16">
        <f>IF(A195="","",IF(K195=3,"Sim","Não"))</f>
        <v/>
      </c>
      <c r="M195" s="16">
        <f>IF(C195="","",COUNTIFS(Red_Team!$B$2:$B$301,C195,Red_Team!$I$2:$I$301,"Aberta"))</f>
        <v/>
      </c>
      <c r="N195" s="15" t="n"/>
      <c r="O195" s="16">
        <f>IF(A195="","",IF(M195&gt;0,"NÃO – objeções abertas",IF(AND(D195="Autenticidade confirmada (origem institucional)",Q195&lt;&gt;"A"),"NÃO – exige item classe A",IF(AND(Q195="C",D195&lt;&gt;"Alegação da defesa (classe C)"),"NÃO – item classe C",IF(AND(D195="Alegação da defesa (classe C)",Q195&lt;&gt;"C"),"NÃO – item não é classe C",IF(D195="Indícios técnicos de alteração",IF(L195="Sim","Sim","NÃO – exige unanimidade"),IF(K195&gt;=2,"Sim","NÃO – sem maioria")))))))</f>
        <v/>
      </c>
      <c r="P195" s="16">
        <f>IF(C195="","",IF(COUNTIF(C196:C$302,C195)=0,C195,""))</f>
        <v/>
      </c>
      <c r="Q195" s="16">
        <f>IF(C195="","",IFERROR(LEFT(INDEX(Custodia!$U$2:$U$301,MATCH(C195,Custodia!$A$2:$A$301,0)),1),"?"))</f>
        <v/>
      </c>
    </row>
    <row r="196">
      <c r="A196" s="15" t="n"/>
      <c r="B196" s="18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6">
        <f>IF(A196="","",COUNTIF(F196,"A favor")+COUNTIF(H196,"A favor")+COUNTIF(J196,"A favor"))</f>
        <v/>
      </c>
      <c r="L196" s="16">
        <f>IF(A196="","",IF(K196=3,"Sim","Não"))</f>
        <v/>
      </c>
      <c r="M196" s="16">
        <f>IF(C196="","",COUNTIFS(Red_Team!$B$2:$B$301,C196,Red_Team!$I$2:$I$301,"Aberta"))</f>
        <v/>
      </c>
      <c r="N196" s="15" t="n"/>
      <c r="O196" s="16">
        <f>IF(A196="","",IF(M196&gt;0,"NÃO – objeções abertas",IF(AND(D196="Autenticidade confirmada (origem institucional)",Q196&lt;&gt;"A"),"NÃO – exige item classe A",IF(AND(Q196="C",D196&lt;&gt;"Alegação da defesa (classe C)"),"NÃO – item classe C",IF(AND(D196="Alegação da defesa (classe C)",Q196&lt;&gt;"C"),"NÃO – item não é classe C",IF(D196="Indícios técnicos de alteração",IF(L196="Sim","Sim","NÃO – exige unanimidade"),IF(K196&gt;=2,"Sim","NÃO – sem maioria")))))))</f>
        <v/>
      </c>
      <c r="P196" s="16">
        <f>IF(C196="","",IF(COUNTIF(C197:C$302,C196)=0,C196,""))</f>
        <v/>
      </c>
      <c r="Q196" s="16">
        <f>IF(C196="","",IFERROR(LEFT(INDEX(Custodia!$U$2:$U$301,MATCH(C196,Custodia!$A$2:$A$301,0)),1),"?"))</f>
        <v/>
      </c>
    </row>
    <row r="197">
      <c r="A197" s="15" t="n"/>
      <c r="B197" s="18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6">
        <f>IF(A197="","",COUNTIF(F197,"A favor")+COUNTIF(H197,"A favor")+COUNTIF(J197,"A favor"))</f>
        <v/>
      </c>
      <c r="L197" s="16">
        <f>IF(A197="","",IF(K197=3,"Sim","Não"))</f>
        <v/>
      </c>
      <c r="M197" s="16">
        <f>IF(C197="","",COUNTIFS(Red_Team!$B$2:$B$301,C197,Red_Team!$I$2:$I$301,"Aberta"))</f>
        <v/>
      </c>
      <c r="N197" s="15" t="n"/>
      <c r="O197" s="16">
        <f>IF(A197="","",IF(M197&gt;0,"NÃO – objeções abertas",IF(AND(D197="Autenticidade confirmada (origem institucional)",Q197&lt;&gt;"A"),"NÃO – exige item classe A",IF(AND(Q197="C",D197&lt;&gt;"Alegação da defesa (classe C)"),"NÃO – item classe C",IF(AND(D197="Alegação da defesa (classe C)",Q197&lt;&gt;"C"),"NÃO – item não é classe C",IF(D197="Indícios técnicos de alteração",IF(L197="Sim","Sim","NÃO – exige unanimidade"),IF(K197&gt;=2,"Sim","NÃO – sem maioria")))))))</f>
        <v/>
      </c>
      <c r="P197" s="16">
        <f>IF(C197="","",IF(COUNTIF(C198:C$302,C197)=0,C197,""))</f>
        <v/>
      </c>
      <c r="Q197" s="16">
        <f>IF(C197="","",IFERROR(LEFT(INDEX(Custodia!$U$2:$U$301,MATCH(C197,Custodia!$A$2:$A$301,0)),1),"?"))</f>
        <v/>
      </c>
    </row>
    <row r="198">
      <c r="A198" s="15" t="n"/>
      <c r="B198" s="18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6">
        <f>IF(A198="","",COUNTIF(F198,"A favor")+COUNTIF(H198,"A favor")+COUNTIF(J198,"A favor"))</f>
        <v/>
      </c>
      <c r="L198" s="16">
        <f>IF(A198="","",IF(K198=3,"Sim","Não"))</f>
        <v/>
      </c>
      <c r="M198" s="16">
        <f>IF(C198="","",COUNTIFS(Red_Team!$B$2:$B$301,C198,Red_Team!$I$2:$I$301,"Aberta"))</f>
        <v/>
      </c>
      <c r="N198" s="15" t="n"/>
      <c r="O198" s="16">
        <f>IF(A198="","",IF(M198&gt;0,"NÃO – objeções abertas",IF(AND(D198="Autenticidade confirmada (origem institucional)",Q198&lt;&gt;"A"),"NÃO – exige item classe A",IF(AND(Q198="C",D198&lt;&gt;"Alegação da defesa (classe C)"),"NÃO – item classe C",IF(AND(D198="Alegação da defesa (classe C)",Q198&lt;&gt;"C"),"NÃO – item não é classe C",IF(D198="Indícios técnicos de alteração",IF(L198="Sim","Sim","NÃO – exige unanimidade"),IF(K198&gt;=2,"Sim","NÃO – sem maioria")))))))</f>
        <v/>
      </c>
      <c r="P198" s="16">
        <f>IF(C198="","",IF(COUNTIF(C199:C$302,C198)=0,C198,""))</f>
        <v/>
      </c>
      <c r="Q198" s="16">
        <f>IF(C198="","",IFERROR(LEFT(INDEX(Custodia!$U$2:$U$301,MATCH(C198,Custodia!$A$2:$A$301,0)),1),"?"))</f>
        <v/>
      </c>
    </row>
    <row r="199">
      <c r="A199" s="15" t="n"/>
      <c r="B199" s="18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6">
        <f>IF(A199="","",COUNTIF(F199,"A favor")+COUNTIF(H199,"A favor")+COUNTIF(J199,"A favor"))</f>
        <v/>
      </c>
      <c r="L199" s="16">
        <f>IF(A199="","",IF(K199=3,"Sim","Não"))</f>
        <v/>
      </c>
      <c r="M199" s="16">
        <f>IF(C199="","",COUNTIFS(Red_Team!$B$2:$B$301,C199,Red_Team!$I$2:$I$301,"Aberta"))</f>
        <v/>
      </c>
      <c r="N199" s="15" t="n"/>
      <c r="O199" s="16">
        <f>IF(A199="","",IF(M199&gt;0,"NÃO – objeções abertas",IF(AND(D199="Autenticidade confirmada (origem institucional)",Q199&lt;&gt;"A"),"NÃO – exige item classe A",IF(AND(Q199="C",D199&lt;&gt;"Alegação da defesa (classe C)"),"NÃO – item classe C",IF(AND(D199="Alegação da defesa (classe C)",Q199&lt;&gt;"C"),"NÃO – item não é classe C",IF(D199="Indícios técnicos de alteração",IF(L199="Sim","Sim","NÃO – exige unanimidade"),IF(K199&gt;=2,"Sim","NÃO – sem maioria")))))))</f>
        <v/>
      </c>
      <c r="P199" s="16">
        <f>IF(C199="","",IF(COUNTIF(C200:C$302,C199)=0,C199,""))</f>
        <v/>
      </c>
      <c r="Q199" s="16">
        <f>IF(C199="","",IFERROR(LEFT(INDEX(Custodia!$U$2:$U$301,MATCH(C199,Custodia!$A$2:$A$301,0)),1),"?"))</f>
        <v/>
      </c>
    </row>
    <row r="200">
      <c r="A200" s="15" t="n"/>
      <c r="B200" s="18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6">
        <f>IF(A200="","",COUNTIF(F200,"A favor")+COUNTIF(H200,"A favor")+COUNTIF(J200,"A favor"))</f>
        <v/>
      </c>
      <c r="L200" s="16">
        <f>IF(A200="","",IF(K200=3,"Sim","Não"))</f>
        <v/>
      </c>
      <c r="M200" s="16">
        <f>IF(C200="","",COUNTIFS(Red_Team!$B$2:$B$301,C200,Red_Team!$I$2:$I$301,"Aberta"))</f>
        <v/>
      </c>
      <c r="N200" s="15" t="n"/>
      <c r="O200" s="16">
        <f>IF(A200="","",IF(M200&gt;0,"NÃO – objeções abertas",IF(AND(D200="Autenticidade confirmada (origem institucional)",Q200&lt;&gt;"A"),"NÃO – exige item classe A",IF(AND(Q200="C",D200&lt;&gt;"Alegação da defesa (classe C)"),"NÃO – item classe C",IF(AND(D200="Alegação da defesa (classe C)",Q200&lt;&gt;"C"),"NÃO – item não é classe C",IF(D200="Indícios técnicos de alteração",IF(L200="Sim","Sim","NÃO – exige unanimidade"),IF(K200&gt;=2,"Sim","NÃO – sem maioria")))))))</f>
        <v/>
      </c>
      <c r="P200" s="16">
        <f>IF(C200="","",IF(COUNTIF(C201:C$302,C200)=0,C200,""))</f>
        <v/>
      </c>
      <c r="Q200" s="16">
        <f>IF(C200="","",IFERROR(LEFT(INDEX(Custodia!$U$2:$U$301,MATCH(C200,Custodia!$A$2:$A$301,0)),1),"?"))</f>
        <v/>
      </c>
    </row>
    <row r="201">
      <c r="A201" s="15" t="n"/>
      <c r="B201" s="18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6">
        <f>IF(A201="","",COUNTIF(F201,"A favor")+COUNTIF(H201,"A favor")+COUNTIF(J201,"A favor"))</f>
        <v/>
      </c>
      <c r="L201" s="16">
        <f>IF(A201="","",IF(K201=3,"Sim","Não"))</f>
        <v/>
      </c>
      <c r="M201" s="16">
        <f>IF(C201="","",COUNTIFS(Red_Team!$B$2:$B$301,C201,Red_Team!$I$2:$I$301,"Aberta"))</f>
        <v/>
      </c>
      <c r="N201" s="15" t="n"/>
      <c r="O201" s="16">
        <f>IF(A201="","",IF(M201&gt;0,"NÃO – objeções abertas",IF(AND(D201="Autenticidade confirmada (origem institucional)",Q201&lt;&gt;"A"),"NÃO – exige item classe A",IF(AND(Q201="C",D201&lt;&gt;"Alegação da defesa (classe C)"),"NÃO – item classe C",IF(AND(D201="Alegação da defesa (classe C)",Q201&lt;&gt;"C"),"NÃO – item não é classe C",IF(D201="Indícios técnicos de alteração",IF(L201="Sim","Sim","NÃO – exige unanimidade"),IF(K201&gt;=2,"Sim","NÃO – sem maioria")))))))</f>
        <v/>
      </c>
      <c r="P201" s="16">
        <f>IF(C201="","",IF(COUNTIF(C202:C$302,C201)=0,C201,""))</f>
        <v/>
      </c>
      <c r="Q201" s="16">
        <f>IF(C201="","",IFERROR(LEFT(INDEX(Custodia!$U$2:$U$301,MATCH(C201,Custodia!$A$2:$A$301,0)),1),"?"))</f>
        <v/>
      </c>
    </row>
    <row r="202">
      <c r="A202" s="15" t="n"/>
      <c r="B202" s="18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6">
        <f>IF(A202="","",COUNTIF(F202,"A favor")+COUNTIF(H202,"A favor")+COUNTIF(J202,"A favor"))</f>
        <v/>
      </c>
      <c r="L202" s="16">
        <f>IF(A202="","",IF(K202=3,"Sim","Não"))</f>
        <v/>
      </c>
      <c r="M202" s="16">
        <f>IF(C202="","",COUNTIFS(Red_Team!$B$2:$B$301,C202,Red_Team!$I$2:$I$301,"Aberta"))</f>
        <v/>
      </c>
      <c r="N202" s="15" t="n"/>
      <c r="O202" s="16">
        <f>IF(A202="","",IF(M202&gt;0,"NÃO – objeções abertas",IF(AND(D202="Autenticidade confirmada (origem institucional)",Q202&lt;&gt;"A"),"NÃO – exige item classe A",IF(AND(Q202="C",D202&lt;&gt;"Alegação da defesa (classe C)"),"NÃO – item classe C",IF(AND(D202="Alegação da defesa (classe C)",Q202&lt;&gt;"C"),"NÃO – item não é classe C",IF(D202="Indícios técnicos de alteração",IF(L202="Sim","Sim","NÃO – exige unanimidade"),IF(K202&gt;=2,"Sim","NÃO – sem maioria")))))))</f>
        <v/>
      </c>
      <c r="P202" s="16">
        <f>IF(C202="","",IF(COUNTIF(C203:C$302,C202)=0,C202,""))</f>
        <v/>
      </c>
      <c r="Q202" s="16">
        <f>IF(C202="","",IFERROR(LEFT(INDEX(Custodia!$U$2:$U$301,MATCH(C202,Custodia!$A$2:$A$301,0)),1),"?"))</f>
        <v/>
      </c>
    </row>
    <row r="203">
      <c r="A203" s="15" t="n"/>
      <c r="B203" s="18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6">
        <f>IF(A203="","",COUNTIF(F203,"A favor")+COUNTIF(H203,"A favor")+COUNTIF(J203,"A favor"))</f>
        <v/>
      </c>
      <c r="L203" s="16">
        <f>IF(A203="","",IF(K203=3,"Sim","Não"))</f>
        <v/>
      </c>
      <c r="M203" s="16">
        <f>IF(C203="","",COUNTIFS(Red_Team!$B$2:$B$301,C203,Red_Team!$I$2:$I$301,"Aberta"))</f>
        <v/>
      </c>
      <c r="N203" s="15" t="n"/>
      <c r="O203" s="16">
        <f>IF(A203="","",IF(M203&gt;0,"NÃO – objeções abertas",IF(AND(D203="Autenticidade confirmada (origem institucional)",Q203&lt;&gt;"A"),"NÃO – exige item classe A",IF(AND(Q203="C",D203&lt;&gt;"Alegação da defesa (classe C)"),"NÃO – item classe C",IF(AND(D203="Alegação da defesa (classe C)",Q203&lt;&gt;"C"),"NÃO – item não é classe C",IF(D203="Indícios técnicos de alteração",IF(L203="Sim","Sim","NÃO – exige unanimidade"),IF(K203&gt;=2,"Sim","NÃO – sem maioria")))))))</f>
        <v/>
      </c>
      <c r="P203" s="16">
        <f>IF(C203="","",IF(COUNTIF(C204:C$302,C203)=0,C203,""))</f>
        <v/>
      </c>
      <c r="Q203" s="16">
        <f>IF(C203="","",IFERROR(LEFT(INDEX(Custodia!$U$2:$U$301,MATCH(C203,Custodia!$A$2:$A$301,0)),1),"?"))</f>
        <v/>
      </c>
    </row>
    <row r="204">
      <c r="A204" s="15" t="n"/>
      <c r="B204" s="18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6">
        <f>IF(A204="","",COUNTIF(F204,"A favor")+COUNTIF(H204,"A favor")+COUNTIF(J204,"A favor"))</f>
        <v/>
      </c>
      <c r="L204" s="16">
        <f>IF(A204="","",IF(K204=3,"Sim","Não"))</f>
        <v/>
      </c>
      <c r="M204" s="16">
        <f>IF(C204="","",COUNTIFS(Red_Team!$B$2:$B$301,C204,Red_Team!$I$2:$I$301,"Aberta"))</f>
        <v/>
      </c>
      <c r="N204" s="15" t="n"/>
      <c r="O204" s="16">
        <f>IF(A204="","",IF(M204&gt;0,"NÃO – objeções abertas",IF(AND(D204="Autenticidade confirmada (origem institucional)",Q204&lt;&gt;"A"),"NÃO – exige item classe A",IF(AND(Q204="C",D204&lt;&gt;"Alegação da defesa (classe C)"),"NÃO – item classe C",IF(AND(D204="Alegação da defesa (classe C)",Q204&lt;&gt;"C"),"NÃO – item não é classe C",IF(D204="Indícios técnicos de alteração",IF(L204="Sim","Sim","NÃO – exige unanimidade"),IF(K204&gt;=2,"Sim","NÃO – sem maioria")))))))</f>
        <v/>
      </c>
      <c r="P204" s="16">
        <f>IF(C204="","",IF(COUNTIF(C205:C$302,C204)=0,C204,""))</f>
        <v/>
      </c>
      <c r="Q204" s="16">
        <f>IF(C204="","",IFERROR(LEFT(INDEX(Custodia!$U$2:$U$301,MATCH(C204,Custodia!$A$2:$A$301,0)),1),"?"))</f>
        <v/>
      </c>
    </row>
    <row r="205">
      <c r="A205" s="15" t="n"/>
      <c r="B205" s="18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6">
        <f>IF(A205="","",COUNTIF(F205,"A favor")+COUNTIF(H205,"A favor")+COUNTIF(J205,"A favor"))</f>
        <v/>
      </c>
      <c r="L205" s="16">
        <f>IF(A205="","",IF(K205=3,"Sim","Não"))</f>
        <v/>
      </c>
      <c r="M205" s="16">
        <f>IF(C205="","",COUNTIFS(Red_Team!$B$2:$B$301,C205,Red_Team!$I$2:$I$301,"Aberta"))</f>
        <v/>
      </c>
      <c r="N205" s="15" t="n"/>
      <c r="O205" s="16">
        <f>IF(A205="","",IF(M205&gt;0,"NÃO – objeções abertas",IF(AND(D205="Autenticidade confirmada (origem institucional)",Q205&lt;&gt;"A"),"NÃO – exige item classe A",IF(AND(Q205="C",D205&lt;&gt;"Alegação da defesa (classe C)"),"NÃO – item classe C",IF(AND(D205="Alegação da defesa (classe C)",Q205&lt;&gt;"C"),"NÃO – item não é classe C",IF(D205="Indícios técnicos de alteração",IF(L205="Sim","Sim","NÃO – exige unanimidade"),IF(K205&gt;=2,"Sim","NÃO – sem maioria")))))))</f>
        <v/>
      </c>
      <c r="P205" s="16">
        <f>IF(C205="","",IF(COUNTIF(C206:C$302,C205)=0,C205,""))</f>
        <v/>
      </c>
      <c r="Q205" s="16">
        <f>IF(C205="","",IFERROR(LEFT(INDEX(Custodia!$U$2:$U$301,MATCH(C205,Custodia!$A$2:$A$301,0)),1),"?"))</f>
        <v/>
      </c>
    </row>
    <row r="206">
      <c r="A206" s="15" t="n"/>
      <c r="B206" s="18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6">
        <f>IF(A206="","",COUNTIF(F206,"A favor")+COUNTIF(H206,"A favor")+COUNTIF(J206,"A favor"))</f>
        <v/>
      </c>
      <c r="L206" s="16">
        <f>IF(A206="","",IF(K206=3,"Sim","Não"))</f>
        <v/>
      </c>
      <c r="M206" s="16">
        <f>IF(C206="","",COUNTIFS(Red_Team!$B$2:$B$301,C206,Red_Team!$I$2:$I$301,"Aberta"))</f>
        <v/>
      </c>
      <c r="N206" s="15" t="n"/>
      <c r="O206" s="16">
        <f>IF(A206="","",IF(M206&gt;0,"NÃO – objeções abertas",IF(AND(D206="Autenticidade confirmada (origem institucional)",Q206&lt;&gt;"A"),"NÃO – exige item classe A",IF(AND(Q206="C",D206&lt;&gt;"Alegação da defesa (classe C)"),"NÃO – item classe C",IF(AND(D206="Alegação da defesa (classe C)",Q206&lt;&gt;"C"),"NÃO – item não é classe C",IF(D206="Indícios técnicos de alteração",IF(L206="Sim","Sim","NÃO – exige unanimidade"),IF(K206&gt;=2,"Sim","NÃO – sem maioria")))))))</f>
        <v/>
      </c>
      <c r="P206" s="16">
        <f>IF(C206="","",IF(COUNTIF(C207:C$302,C206)=0,C206,""))</f>
        <v/>
      </c>
      <c r="Q206" s="16">
        <f>IF(C206="","",IFERROR(LEFT(INDEX(Custodia!$U$2:$U$301,MATCH(C206,Custodia!$A$2:$A$301,0)),1),"?"))</f>
        <v/>
      </c>
    </row>
    <row r="207">
      <c r="A207" s="15" t="n"/>
      <c r="B207" s="18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6">
        <f>IF(A207="","",COUNTIF(F207,"A favor")+COUNTIF(H207,"A favor")+COUNTIF(J207,"A favor"))</f>
        <v/>
      </c>
      <c r="L207" s="16">
        <f>IF(A207="","",IF(K207=3,"Sim","Não"))</f>
        <v/>
      </c>
      <c r="M207" s="16">
        <f>IF(C207="","",COUNTIFS(Red_Team!$B$2:$B$301,C207,Red_Team!$I$2:$I$301,"Aberta"))</f>
        <v/>
      </c>
      <c r="N207" s="15" t="n"/>
      <c r="O207" s="16">
        <f>IF(A207="","",IF(M207&gt;0,"NÃO – objeções abertas",IF(AND(D207="Autenticidade confirmada (origem institucional)",Q207&lt;&gt;"A"),"NÃO – exige item classe A",IF(AND(Q207="C",D207&lt;&gt;"Alegação da defesa (classe C)"),"NÃO – item classe C",IF(AND(D207="Alegação da defesa (classe C)",Q207&lt;&gt;"C"),"NÃO – item não é classe C",IF(D207="Indícios técnicos de alteração",IF(L207="Sim","Sim","NÃO – exige unanimidade"),IF(K207&gt;=2,"Sim","NÃO – sem maioria")))))))</f>
        <v/>
      </c>
      <c r="P207" s="16">
        <f>IF(C207="","",IF(COUNTIF(C208:C$302,C207)=0,C207,""))</f>
        <v/>
      </c>
      <c r="Q207" s="16">
        <f>IF(C207="","",IFERROR(LEFT(INDEX(Custodia!$U$2:$U$301,MATCH(C207,Custodia!$A$2:$A$301,0)),1),"?"))</f>
        <v/>
      </c>
    </row>
    <row r="208">
      <c r="A208" s="15" t="n"/>
      <c r="B208" s="18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6">
        <f>IF(A208="","",COUNTIF(F208,"A favor")+COUNTIF(H208,"A favor")+COUNTIF(J208,"A favor"))</f>
        <v/>
      </c>
      <c r="L208" s="16">
        <f>IF(A208="","",IF(K208=3,"Sim","Não"))</f>
        <v/>
      </c>
      <c r="M208" s="16">
        <f>IF(C208="","",COUNTIFS(Red_Team!$B$2:$B$301,C208,Red_Team!$I$2:$I$301,"Aberta"))</f>
        <v/>
      </c>
      <c r="N208" s="15" t="n"/>
      <c r="O208" s="16">
        <f>IF(A208="","",IF(M208&gt;0,"NÃO – objeções abertas",IF(AND(D208="Autenticidade confirmada (origem institucional)",Q208&lt;&gt;"A"),"NÃO – exige item classe A",IF(AND(Q208="C",D208&lt;&gt;"Alegação da defesa (classe C)"),"NÃO – item classe C",IF(AND(D208="Alegação da defesa (classe C)",Q208&lt;&gt;"C"),"NÃO – item não é classe C",IF(D208="Indícios técnicos de alteração",IF(L208="Sim","Sim","NÃO – exige unanimidade"),IF(K208&gt;=2,"Sim","NÃO – sem maioria")))))))</f>
        <v/>
      </c>
      <c r="P208" s="16">
        <f>IF(C208="","",IF(COUNTIF(C209:C$302,C208)=0,C208,""))</f>
        <v/>
      </c>
      <c r="Q208" s="16">
        <f>IF(C208="","",IFERROR(LEFT(INDEX(Custodia!$U$2:$U$301,MATCH(C208,Custodia!$A$2:$A$301,0)),1),"?"))</f>
        <v/>
      </c>
    </row>
    <row r="209">
      <c r="A209" s="15" t="n"/>
      <c r="B209" s="18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6">
        <f>IF(A209="","",COUNTIF(F209,"A favor")+COUNTIF(H209,"A favor")+COUNTIF(J209,"A favor"))</f>
        <v/>
      </c>
      <c r="L209" s="16">
        <f>IF(A209="","",IF(K209=3,"Sim","Não"))</f>
        <v/>
      </c>
      <c r="M209" s="16">
        <f>IF(C209="","",COUNTIFS(Red_Team!$B$2:$B$301,C209,Red_Team!$I$2:$I$301,"Aberta"))</f>
        <v/>
      </c>
      <c r="N209" s="15" t="n"/>
      <c r="O209" s="16">
        <f>IF(A209="","",IF(M209&gt;0,"NÃO – objeções abertas",IF(AND(D209="Autenticidade confirmada (origem institucional)",Q209&lt;&gt;"A"),"NÃO – exige item classe A",IF(AND(Q209="C",D209&lt;&gt;"Alegação da defesa (classe C)"),"NÃO – item classe C",IF(AND(D209="Alegação da defesa (classe C)",Q209&lt;&gt;"C"),"NÃO – item não é classe C",IF(D209="Indícios técnicos de alteração",IF(L209="Sim","Sim","NÃO – exige unanimidade"),IF(K209&gt;=2,"Sim","NÃO – sem maioria")))))))</f>
        <v/>
      </c>
      <c r="P209" s="16">
        <f>IF(C209="","",IF(COUNTIF(C210:C$302,C209)=0,C209,""))</f>
        <v/>
      </c>
      <c r="Q209" s="16">
        <f>IF(C209="","",IFERROR(LEFT(INDEX(Custodia!$U$2:$U$301,MATCH(C209,Custodia!$A$2:$A$301,0)),1),"?"))</f>
        <v/>
      </c>
    </row>
    <row r="210">
      <c r="A210" s="15" t="n"/>
      <c r="B210" s="18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6">
        <f>IF(A210="","",COUNTIF(F210,"A favor")+COUNTIF(H210,"A favor")+COUNTIF(J210,"A favor"))</f>
        <v/>
      </c>
      <c r="L210" s="16">
        <f>IF(A210="","",IF(K210=3,"Sim","Não"))</f>
        <v/>
      </c>
      <c r="M210" s="16">
        <f>IF(C210="","",COUNTIFS(Red_Team!$B$2:$B$301,C210,Red_Team!$I$2:$I$301,"Aberta"))</f>
        <v/>
      </c>
      <c r="N210" s="15" t="n"/>
      <c r="O210" s="16">
        <f>IF(A210="","",IF(M210&gt;0,"NÃO – objeções abertas",IF(AND(D210="Autenticidade confirmada (origem institucional)",Q210&lt;&gt;"A"),"NÃO – exige item classe A",IF(AND(Q210="C",D210&lt;&gt;"Alegação da defesa (classe C)"),"NÃO – item classe C",IF(AND(D210="Alegação da defesa (classe C)",Q210&lt;&gt;"C"),"NÃO – item não é classe C",IF(D210="Indícios técnicos de alteração",IF(L210="Sim","Sim","NÃO – exige unanimidade"),IF(K210&gt;=2,"Sim","NÃO – sem maioria")))))))</f>
        <v/>
      </c>
      <c r="P210" s="16">
        <f>IF(C210="","",IF(COUNTIF(C211:C$302,C210)=0,C210,""))</f>
        <v/>
      </c>
      <c r="Q210" s="16">
        <f>IF(C210="","",IFERROR(LEFT(INDEX(Custodia!$U$2:$U$301,MATCH(C210,Custodia!$A$2:$A$301,0)),1),"?"))</f>
        <v/>
      </c>
    </row>
    <row r="211">
      <c r="A211" s="15" t="n"/>
      <c r="B211" s="18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6">
        <f>IF(A211="","",COUNTIF(F211,"A favor")+COUNTIF(H211,"A favor")+COUNTIF(J211,"A favor"))</f>
        <v/>
      </c>
      <c r="L211" s="16">
        <f>IF(A211="","",IF(K211=3,"Sim","Não"))</f>
        <v/>
      </c>
      <c r="M211" s="16">
        <f>IF(C211="","",COUNTIFS(Red_Team!$B$2:$B$301,C211,Red_Team!$I$2:$I$301,"Aberta"))</f>
        <v/>
      </c>
      <c r="N211" s="15" t="n"/>
      <c r="O211" s="16">
        <f>IF(A211="","",IF(M211&gt;0,"NÃO – objeções abertas",IF(AND(D211="Autenticidade confirmada (origem institucional)",Q211&lt;&gt;"A"),"NÃO – exige item classe A",IF(AND(Q211="C",D211&lt;&gt;"Alegação da defesa (classe C)"),"NÃO – item classe C",IF(AND(D211="Alegação da defesa (classe C)",Q211&lt;&gt;"C"),"NÃO – item não é classe C",IF(D211="Indícios técnicos de alteração",IF(L211="Sim","Sim","NÃO – exige unanimidade"),IF(K211&gt;=2,"Sim","NÃO – sem maioria")))))))</f>
        <v/>
      </c>
      <c r="P211" s="16">
        <f>IF(C211="","",IF(COUNTIF(C212:C$302,C211)=0,C211,""))</f>
        <v/>
      </c>
      <c r="Q211" s="16">
        <f>IF(C211="","",IFERROR(LEFT(INDEX(Custodia!$U$2:$U$301,MATCH(C211,Custodia!$A$2:$A$301,0)),1),"?"))</f>
        <v/>
      </c>
    </row>
    <row r="212">
      <c r="A212" s="15" t="n"/>
      <c r="B212" s="18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6">
        <f>IF(A212="","",COUNTIF(F212,"A favor")+COUNTIF(H212,"A favor")+COUNTIF(J212,"A favor"))</f>
        <v/>
      </c>
      <c r="L212" s="16">
        <f>IF(A212="","",IF(K212=3,"Sim","Não"))</f>
        <v/>
      </c>
      <c r="M212" s="16">
        <f>IF(C212="","",COUNTIFS(Red_Team!$B$2:$B$301,C212,Red_Team!$I$2:$I$301,"Aberta"))</f>
        <v/>
      </c>
      <c r="N212" s="15" t="n"/>
      <c r="O212" s="16">
        <f>IF(A212="","",IF(M212&gt;0,"NÃO – objeções abertas",IF(AND(D212="Autenticidade confirmada (origem institucional)",Q212&lt;&gt;"A"),"NÃO – exige item classe A",IF(AND(Q212="C",D212&lt;&gt;"Alegação da defesa (classe C)"),"NÃO – item classe C",IF(AND(D212="Alegação da defesa (classe C)",Q212&lt;&gt;"C"),"NÃO – item não é classe C",IF(D212="Indícios técnicos de alteração",IF(L212="Sim","Sim","NÃO – exige unanimidade"),IF(K212&gt;=2,"Sim","NÃO – sem maioria")))))))</f>
        <v/>
      </c>
      <c r="P212" s="16">
        <f>IF(C212="","",IF(COUNTIF(C213:C$302,C212)=0,C212,""))</f>
        <v/>
      </c>
      <c r="Q212" s="16">
        <f>IF(C212="","",IFERROR(LEFT(INDEX(Custodia!$U$2:$U$301,MATCH(C212,Custodia!$A$2:$A$301,0)),1),"?"))</f>
        <v/>
      </c>
    </row>
    <row r="213">
      <c r="A213" s="15" t="n"/>
      <c r="B213" s="18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6">
        <f>IF(A213="","",COUNTIF(F213,"A favor")+COUNTIF(H213,"A favor")+COUNTIF(J213,"A favor"))</f>
        <v/>
      </c>
      <c r="L213" s="16">
        <f>IF(A213="","",IF(K213=3,"Sim","Não"))</f>
        <v/>
      </c>
      <c r="M213" s="16">
        <f>IF(C213="","",COUNTIFS(Red_Team!$B$2:$B$301,C213,Red_Team!$I$2:$I$301,"Aberta"))</f>
        <v/>
      </c>
      <c r="N213" s="15" t="n"/>
      <c r="O213" s="16">
        <f>IF(A213="","",IF(M213&gt;0,"NÃO – objeções abertas",IF(AND(D213="Autenticidade confirmada (origem institucional)",Q213&lt;&gt;"A"),"NÃO – exige item classe A",IF(AND(Q213="C",D213&lt;&gt;"Alegação da defesa (classe C)"),"NÃO – item classe C",IF(AND(D213="Alegação da defesa (classe C)",Q213&lt;&gt;"C"),"NÃO – item não é classe C",IF(D213="Indícios técnicos de alteração",IF(L213="Sim","Sim","NÃO – exige unanimidade"),IF(K213&gt;=2,"Sim","NÃO – sem maioria")))))))</f>
        <v/>
      </c>
      <c r="P213" s="16">
        <f>IF(C213="","",IF(COUNTIF(C214:C$302,C213)=0,C213,""))</f>
        <v/>
      </c>
      <c r="Q213" s="16">
        <f>IF(C213="","",IFERROR(LEFT(INDEX(Custodia!$U$2:$U$301,MATCH(C213,Custodia!$A$2:$A$301,0)),1),"?"))</f>
        <v/>
      </c>
    </row>
    <row r="214">
      <c r="A214" s="15" t="n"/>
      <c r="B214" s="18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6">
        <f>IF(A214="","",COUNTIF(F214,"A favor")+COUNTIF(H214,"A favor")+COUNTIF(J214,"A favor"))</f>
        <v/>
      </c>
      <c r="L214" s="16">
        <f>IF(A214="","",IF(K214=3,"Sim","Não"))</f>
        <v/>
      </c>
      <c r="M214" s="16">
        <f>IF(C214="","",COUNTIFS(Red_Team!$B$2:$B$301,C214,Red_Team!$I$2:$I$301,"Aberta"))</f>
        <v/>
      </c>
      <c r="N214" s="15" t="n"/>
      <c r="O214" s="16">
        <f>IF(A214="","",IF(M214&gt;0,"NÃO – objeções abertas",IF(AND(D214="Autenticidade confirmada (origem institucional)",Q214&lt;&gt;"A"),"NÃO – exige item classe A",IF(AND(Q214="C",D214&lt;&gt;"Alegação da defesa (classe C)"),"NÃO – item classe C",IF(AND(D214="Alegação da defesa (classe C)",Q214&lt;&gt;"C"),"NÃO – item não é classe C",IF(D214="Indícios técnicos de alteração",IF(L214="Sim","Sim","NÃO – exige unanimidade"),IF(K214&gt;=2,"Sim","NÃO – sem maioria")))))))</f>
        <v/>
      </c>
      <c r="P214" s="16">
        <f>IF(C214="","",IF(COUNTIF(C215:C$302,C214)=0,C214,""))</f>
        <v/>
      </c>
      <c r="Q214" s="16">
        <f>IF(C214="","",IFERROR(LEFT(INDEX(Custodia!$U$2:$U$301,MATCH(C214,Custodia!$A$2:$A$301,0)),1),"?"))</f>
        <v/>
      </c>
    </row>
    <row r="215">
      <c r="A215" s="15" t="n"/>
      <c r="B215" s="18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6">
        <f>IF(A215="","",COUNTIF(F215,"A favor")+COUNTIF(H215,"A favor")+COUNTIF(J215,"A favor"))</f>
        <v/>
      </c>
      <c r="L215" s="16">
        <f>IF(A215="","",IF(K215=3,"Sim","Não"))</f>
        <v/>
      </c>
      <c r="M215" s="16">
        <f>IF(C215="","",COUNTIFS(Red_Team!$B$2:$B$301,C215,Red_Team!$I$2:$I$301,"Aberta"))</f>
        <v/>
      </c>
      <c r="N215" s="15" t="n"/>
      <c r="O215" s="16">
        <f>IF(A215="","",IF(M215&gt;0,"NÃO – objeções abertas",IF(AND(D215="Autenticidade confirmada (origem institucional)",Q215&lt;&gt;"A"),"NÃO – exige item classe A",IF(AND(Q215="C",D215&lt;&gt;"Alegação da defesa (classe C)"),"NÃO – item classe C",IF(AND(D215="Alegação da defesa (classe C)",Q215&lt;&gt;"C"),"NÃO – item não é classe C",IF(D215="Indícios técnicos de alteração",IF(L215="Sim","Sim","NÃO – exige unanimidade"),IF(K215&gt;=2,"Sim","NÃO – sem maioria")))))))</f>
        <v/>
      </c>
      <c r="P215" s="16">
        <f>IF(C215="","",IF(COUNTIF(C216:C$302,C215)=0,C215,""))</f>
        <v/>
      </c>
      <c r="Q215" s="16">
        <f>IF(C215="","",IFERROR(LEFT(INDEX(Custodia!$U$2:$U$301,MATCH(C215,Custodia!$A$2:$A$301,0)),1),"?"))</f>
        <v/>
      </c>
    </row>
    <row r="216">
      <c r="A216" s="15" t="n"/>
      <c r="B216" s="18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6">
        <f>IF(A216="","",COUNTIF(F216,"A favor")+COUNTIF(H216,"A favor")+COUNTIF(J216,"A favor"))</f>
        <v/>
      </c>
      <c r="L216" s="16">
        <f>IF(A216="","",IF(K216=3,"Sim","Não"))</f>
        <v/>
      </c>
      <c r="M216" s="16">
        <f>IF(C216="","",COUNTIFS(Red_Team!$B$2:$B$301,C216,Red_Team!$I$2:$I$301,"Aberta"))</f>
        <v/>
      </c>
      <c r="N216" s="15" t="n"/>
      <c r="O216" s="16">
        <f>IF(A216="","",IF(M216&gt;0,"NÃO – objeções abertas",IF(AND(D216="Autenticidade confirmada (origem institucional)",Q216&lt;&gt;"A"),"NÃO – exige item classe A",IF(AND(Q216="C",D216&lt;&gt;"Alegação da defesa (classe C)"),"NÃO – item classe C",IF(AND(D216="Alegação da defesa (classe C)",Q216&lt;&gt;"C"),"NÃO – item não é classe C",IF(D216="Indícios técnicos de alteração",IF(L216="Sim","Sim","NÃO – exige unanimidade"),IF(K216&gt;=2,"Sim","NÃO – sem maioria")))))))</f>
        <v/>
      </c>
      <c r="P216" s="16">
        <f>IF(C216="","",IF(COUNTIF(C217:C$302,C216)=0,C216,""))</f>
        <v/>
      </c>
      <c r="Q216" s="16">
        <f>IF(C216="","",IFERROR(LEFT(INDEX(Custodia!$U$2:$U$301,MATCH(C216,Custodia!$A$2:$A$301,0)),1),"?"))</f>
        <v/>
      </c>
    </row>
    <row r="217">
      <c r="A217" s="15" t="n"/>
      <c r="B217" s="18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6">
        <f>IF(A217="","",COUNTIF(F217,"A favor")+COUNTIF(H217,"A favor")+COUNTIF(J217,"A favor"))</f>
        <v/>
      </c>
      <c r="L217" s="16">
        <f>IF(A217="","",IF(K217=3,"Sim","Não"))</f>
        <v/>
      </c>
      <c r="M217" s="16">
        <f>IF(C217="","",COUNTIFS(Red_Team!$B$2:$B$301,C217,Red_Team!$I$2:$I$301,"Aberta"))</f>
        <v/>
      </c>
      <c r="N217" s="15" t="n"/>
      <c r="O217" s="16">
        <f>IF(A217="","",IF(M217&gt;0,"NÃO – objeções abertas",IF(AND(D217="Autenticidade confirmada (origem institucional)",Q217&lt;&gt;"A"),"NÃO – exige item classe A",IF(AND(Q217="C",D217&lt;&gt;"Alegação da defesa (classe C)"),"NÃO – item classe C",IF(AND(D217="Alegação da defesa (classe C)",Q217&lt;&gt;"C"),"NÃO – item não é classe C",IF(D217="Indícios técnicos de alteração",IF(L217="Sim","Sim","NÃO – exige unanimidade"),IF(K217&gt;=2,"Sim","NÃO – sem maioria")))))))</f>
        <v/>
      </c>
      <c r="P217" s="16">
        <f>IF(C217="","",IF(COUNTIF(C218:C$302,C217)=0,C217,""))</f>
        <v/>
      </c>
      <c r="Q217" s="16">
        <f>IF(C217="","",IFERROR(LEFT(INDEX(Custodia!$U$2:$U$301,MATCH(C217,Custodia!$A$2:$A$301,0)),1),"?"))</f>
        <v/>
      </c>
    </row>
    <row r="218">
      <c r="A218" s="15" t="n"/>
      <c r="B218" s="18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6">
        <f>IF(A218="","",COUNTIF(F218,"A favor")+COUNTIF(H218,"A favor")+COUNTIF(J218,"A favor"))</f>
        <v/>
      </c>
      <c r="L218" s="16">
        <f>IF(A218="","",IF(K218=3,"Sim","Não"))</f>
        <v/>
      </c>
      <c r="M218" s="16">
        <f>IF(C218="","",COUNTIFS(Red_Team!$B$2:$B$301,C218,Red_Team!$I$2:$I$301,"Aberta"))</f>
        <v/>
      </c>
      <c r="N218" s="15" t="n"/>
      <c r="O218" s="16">
        <f>IF(A218="","",IF(M218&gt;0,"NÃO – objeções abertas",IF(AND(D218="Autenticidade confirmada (origem institucional)",Q218&lt;&gt;"A"),"NÃO – exige item classe A",IF(AND(Q218="C",D218&lt;&gt;"Alegação da defesa (classe C)"),"NÃO – item classe C",IF(AND(D218="Alegação da defesa (classe C)",Q218&lt;&gt;"C"),"NÃO – item não é classe C",IF(D218="Indícios técnicos de alteração",IF(L218="Sim","Sim","NÃO – exige unanimidade"),IF(K218&gt;=2,"Sim","NÃO – sem maioria")))))))</f>
        <v/>
      </c>
      <c r="P218" s="16">
        <f>IF(C218="","",IF(COUNTIF(C219:C$302,C218)=0,C218,""))</f>
        <v/>
      </c>
      <c r="Q218" s="16">
        <f>IF(C218="","",IFERROR(LEFT(INDEX(Custodia!$U$2:$U$301,MATCH(C218,Custodia!$A$2:$A$301,0)),1),"?"))</f>
        <v/>
      </c>
    </row>
    <row r="219">
      <c r="A219" s="15" t="n"/>
      <c r="B219" s="18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6">
        <f>IF(A219="","",COUNTIF(F219,"A favor")+COUNTIF(H219,"A favor")+COUNTIF(J219,"A favor"))</f>
        <v/>
      </c>
      <c r="L219" s="16">
        <f>IF(A219="","",IF(K219=3,"Sim","Não"))</f>
        <v/>
      </c>
      <c r="M219" s="16">
        <f>IF(C219="","",COUNTIFS(Red_Team!$B$2:$B$301,C219,Red_Team!$I$2:$I$301,"Aberta"))</f>
        <v/>
      </c>
      <c r="N219" s="15" t="n"/>
      <c r="O219" s="16">
        <f>IF(A219="","",IF(M219&gt;0,"NÃO – objeções abertas",IF(AND(D219="Autenticidade confirmada (origem institucional)",Q219&lt;&gt;"A"),"NÃO – exige item classe A",IF(AND(Q219="C",D219&lt;&gt;"Alegação da defesa (classe C)"),"NÃO – item classe C",IF(AND(D219="Alegação da defesa (classe C)",Q219&lt;&gt;"C"),"NÃO – item não é classe C",IF(D219="Indícios técnicos de alteração",IF(L219="Sim","Sim","NÃO – exige unanimidade"),IF(K219&gt;=2,"Sim","NÃO – sem maioria")))))))</f>
        <v/>
      </c>
      <c r="P219" s="16">
        <f>IF(C219="","",IF(COUNTIF(C220:C$302,C219)=0,C219,""))</f>
        <v/>
      </c>
      <c r="Q219" s="16">
        <f>IF(C219="","",IFERROR(LEFT(INDEX(Custodia!$U$2:$U$301,MATCH(C219,Custodia!$A$2:$A$301,0)),1),"?"))</f>
        <v/>
      </c>
    </row>
    <row r="220">
      <c r="A220" s="15" t="n"/>
      <c r="B220" s="18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6">
        <f>IF(A220="","",COUNTIF(F220,"A favor")+COUNTIF(H220,"A favor")+COUNTIF(J220,"A favor"))</f>
        <v/>
      </c>
      <c r="L220" s="16">
        <f>IF(A220="","",IF(K220=3,"Sim","Não"))</f>
        <v/>
      </c>
      <c r="M220" s="16">
        <f>IF(C220="","",COUNTIFS(Red_Team!$B$2:$B$301,C220,Red_Team!$I$2:$I$301,"Aberta"))</f>
        <v/>
      </c>
      <c r="N220" s="15" t="n"/>
      <c r="O220" s="16">
        <f>IF(A220="","",IF(M220&gt;0,"NÃO – objeções abertas",IF(AND(D220="Autenticidade confirmada (origem institucional)",Q220&lt;&gt;"A"),"NÃO – exige item classe A",IF(AND(Q220="C",D220&lt;&gt;"Alegação da defesa (classe C)"),"NÃO – item classe C",IF(AND(D220="Alegação da defesa (classe C)",Q220&lt;&gt;"C"),"NÃO – item não é classe C",IF(D220="Indícios técnicos de alteração",IF(L220="Sim","Sim","NÃO – exige unanimidade"),IF(K220&gt;=2,"Sim","NÃO – sem maioria")))))))</f>
        <v/>
      </c>
      <c r="P220" s="16">
        <f>IF(C220="","",IF(COUNTIF(C221:C$302,C220)=0,C220,""))</f>
        <v/>
      </c>
      <c r="Q220" s="16">
        <f>IF(C220="","",IFERROR(LEFT(INDEX(Custodia!$U$2:$U$301,MATCH(C220,Custodia!$A$2:$A$301,0)),1),"?"))</f>
        <v/>
      </c>
    </row>
    <row r="221">
      <c r="A221" s="15" t="n"/>
      <c r="B221" s="18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6">
        <f>IF(A221="","",COUNTIF(F221,"A favor")+COUNTIF(H221,"A favor")+COUNTIF(J221,"A favor"))</f>
        <v/>
      </c>
      <c r="L221" s="16">
        <f>IF(A221="","",IF(K221=3,"Sim","Não"))</f>
        <v/>
      </c>
      <c r="M221" s="16">
        <f>IF(C221="","",COUNTIFS(Red_Team!$B$2:$B$301,C221,Red_Team!$I$2:$I$301,"Aberta"))</f>
        <v/>
      </c>
      <c r="N221" s="15" t="n"/>
      <c r="O221" s="16">
        <f>IF(A221="","",IF(M221&gt;0,"NÃO – objeções abertas",IF(AND(D221="Autenticidade confirmada (origem institucional)",Q221&lt;&gt;"A"),"NÃO – exige item classe A",IF(AND(Q221="C",D221&lt;&gt;"Alegação da defesa (classe C)"),"NÃO – item classe C",IF(AND(D221="Alegação da defesa (classe C)",Q221&lt;&gt;"C"),"NÃO – item não é classe C",IF(D221="Indícios técnicos de alteração",IF(L221="Sim","Sim","NÃO – exige unanimidade"),IF(K221&gt;=2,"Sim","NÃO – sem maioria")))))))</f>
        <v/>
      </c>
      <c r="P221" s="16">
        <f>IF(C221="","",IF(COUNTIF(C222:C$302,C221)=0,C221,""))</f>
        <v/>
      </c>
      <c r="Q221" s="16">
        <f>IF(C221="","",IFERROR(LEFT(INDEX(Custodia!$U$2:$U$301,MATCH(C221,Custodia!$A$2:$A$301,0)),1),"?"))</f>
        <v/>
      </c>
    </row>
    <row r="222">
      <c r="A222" s="15" t="n"/>
      <c r="B222" s="18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6">
        <f>IF(A222="","",COUNTIF(F222,"A favor")+COUNTIF(H222,"A favor")+COUNTIF(J222,"A favor"))</f>
        <v/>
      </c>
      <c r="L222" s="16">
        <f>IF(A222="","",IF(K222=3,"Sim","Não"))</f>
        <v/>
      </c>
      <c r="M222" s="16">
        <f>IF(C222="","",COUNTIFS(Red_Team!$B$2:$B$301,C222,Red_Team!$I$2:$I$301,"Aberta"))</f>
        <v/>
      </c>
      <c r="N222" s="15" t="n"/>
      <c r="O222" s="16">
        <f>IF(A222="","",IF(M222&gt;0,"NÃO – objeções abertas",IF(AND(D222="Autenticidade confirmada (origem institucional)",Q222&lt;&gt;"A"),"NÃO – exige item classe A",IF(AND(Q222="C",D222&lt;&gt;"Alegação da defesa (classe C)"),"NÃO – item classe C",IF(AND(D222="Alegação da defesa (classe C)",Q222&lt;&gt;"C"),"NÃO – item não é classe C",IF(D222="Indícios técnicos de alteração",IF(L222="Sim","Sim","NÃO – exige unanimidade"),IF(K222&gt;=2,"Sim","NÃO – sem maioria")))))))</f>
        <v/>
      </c>
      <c r="P222" s="16">
        <f>IF(C222="","",IF(COUNTIF(C223:C$302,C222)=0,C222,""))</f>
        <v/>
      </c>
      <c r="Q222" s="16">
        <f>IF(C222="","",IFERROR(LEFT(INDEX(Custodia!$U$2:$U$301,MATCH(C222,Custodia!$A$2:$A$301,0)),1),"?"))</f>
        <v/>
      </c>
    </row>
    <row r="223">
      <c r="A223" s="15" t="n"/>
      <c r="B223" s="18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6">
        <f>IF(A223="","",COUNTIF(F223,"A favor")+COUNTIF(H223,"A favor")+COUNTIF(J223,"A favor"))</f>
        <v/>
      </c>
      <c r="L223" s="16">
        <f>IF(A223="","",IF(K223=3,"Sim","Não"))</f>
        <v/>
      </c>
      <c r="M223" s="16">
        <f>IF(C223="","",COUNTIFS(Red_Team!$B$2:$B$301,C223,Red_Team!$I$2:$I$301,"Aberta"))</f>
        <v/>
      </c>
      <c r="N223" s="15" t="n"/>
      <c r="O223" s="16">
        <f>IF(A223="","",IF(M223&gt;0,"NÃO – objeções abertas",IF(AND(D223="Autenticidade confirmada (origem institucional)",Q223&lt;&gt;"A"),"NÃO – exige item classe A",IF(AND(Q223="C",D223&lt;&gt;"Alegação da defesa (classe C)"),"NÃO – item classe C",IF(AND(D223="Alegação da defesa (classe C)",Q223&lt;&gt;"C"),"NÃO – item não é classe C",IF(D223="Indícios técnicos de alteração",IF(L223="Sim","Sim","NÃO – exige unanimidade"),IF(K223&gt;=2,"Sim","NÃO – sem maioria")))))))</f>
        <v/>
      </c>
      <c r="P223" s="16">
        <f>IF(C223="","",IF(COUNTIF(C224:C$302,C223)=0,C223,""))</f>
        <v/>
      </c>
      <c r="Q223" s="16">
        <f>IF(C223="","",IFERROR(LEFT(INDEX(Custodia!$U$2:$U$301,MATCH(C223,Custodia!$A$2:$A$301,0)),1),"?"))</f>
        <v/>
      </c>
    </row>
    <row r="224">
      <c r="A224" s="15" t="n"/>
      <c r="B224" s="18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6">
        <f>IF(A224="","",COUNTIF(F224,"A favor")+COUNTIF(H224,"A favor")+COUNTIF(J224,"A favor"))</f>
        <v/>
      </c>
      <c r="L224" s="16">
        <f>IF(A224="","",IF(K224=3,"Sim","Não"))</f>
        <v/>
      </c>
      <c r="M224" s="16">
        <f>IF(C224="","",COUNTIFS(Red_Team!$B$2:$B$301,C224,Red_Team!$I$2:$I$301,"Aberta"))</f>
        <v/>
      </c>
      <c r="N224" s="15" t="n"/>
      <c r="O224" s="16">
        <f>IF(A224="","",IF(M224&gt;0,"NÃO – objeções abertas",IF(AND(D224="Autenticidade confirmada (origem institucional)",Q224&lt;&gt;"A"),"NÃO – exige item classe A",IF(AND(Q224="C",D224&lt;&gt;"Alegação da defesa (classe C)"),"NÃO – item classe C",IF(AND(D224="Alegação da defesa (classe C)",Q224&lt;&gt;"C"),"NÃO – item não é classe C",IF(D224="Indícios técnicos de alteração",IF(L224="Sim","Sim","NÃO – exige unanimidade"),IF(K224&gt;=2,"Sim","NÃO – sem maioria")))))))</f>
        <v/>
      </c>
      <c r="P224" s="16">
        <f>IF(C224="","",IF(COUNTIF(C225:C$302,C224)=0,C224,""))</f>
        <v/>
      </c>
      <c r="Q224" s="16">
        <f>IF(C224="","",IFERROR(LEFT(INDEX(Custodia!$U$2:$U$301,MATCH(C224,Custodia!$A$2:$A$301,0)),1),"?"))</f>
        <v/>
      </c>
    </row>
    <row r="225">
      <c r="A225" s="15" t="n"/>
      <c r="B225" s="18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6">
        <f>IF(A225="","",COUNTIF(F225,"A favor")+COUNTIF(H225,"A favor")+COUNTIF(J225,"A favor"))</f>
        <v/>
      </c>
      <c r="L225" s="16">
        <f>IF(A225="","",IF(K225=3,"Sim","Não"))</f>
        <v/>
      </c>
      <c r="M225" s="16">
        <f>IF(C225="","",COUNTIFS(Red_Team!$B$2:$B$301,C225,Red_Team!$I$2:$I$301,"Aberta"))</f>
        <v/>
      </c>
      <c r="N225" s="15" t="n"/>
      <c r="O225" s="16">
        <f>IF(A225="","",IF(M225&gt;0,"NÃO – objeções abertas",IF(AND(D225="Autenticidade confirmada (origem institucional)",Q225&lt;&gt;"A"),"NÃO – exige item classe A",IF(AND(Q225="C",D225&lt;&gt;"Alegação da defesa (classe C)"),"NÃO – item classe C",IF(AND(D225="Alegação da defesa (classe C)",Q225&lt;&gt;"C"),"NÃO – item não é classe C",IF(D225="Indícios técnicos de alteração",IF(L225="Sim","Sim","NÃO – exige unanimidade"),IF(K225&gt;=2,"Sim","NÃO – sem maioria")))))))</f>
        <v/>
      </c>
      <c r="P225" s="16">
        <f>IF(C225="","",IF(COUNTIF(C226:C$302,C225)=0,C225,""))</f>
        <v/>
      </c>
      <c r="Q225" s="16">
        <f>IF(C225="","",IFERROR(LEFT(INDEX(Custodia!$U$2:$U$301,MATCH(C225,Custodia!$A$2:$A$301,0)),1),"?"))</f>
        <v/>
      </c>
    </row>
    <row r="226">
      <c r="A226" s="15" t="n"/>
      <c r="B226" s="18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6">
        <f>IF(A226="","",COUNTIF(F226,"A favor")+COUNTIF(H226,"A favor")+COUNTIF(J226,"A favor"))</f>
        <v/>
      </c>
      <c r="L226" s="16">
        <f>IF(A226="","",IF(K226=3,"Sim","Não"))</f>
        <v/>
      </c>
      <c r="M226" s="16">
        <f>IF(C226="","",COUNTIFS(Red_Team!$B$2:$B$301,C226,Red_Team!$I$2:$I$301,"Aberta"))</f>
        <v/>
      </c>
      <c r="N226" s="15" t="n"/>
      <c r="O226" s="16">
        <f>IF(A226="","",IF(M226&gt;0,"NÃO – objeções abertas",IF(AND(D226="Autenticidade confirmada (origem institucional)",Q226&lt;&gt;"A"),"NÃO – exige item classe A",IF(AND(Q226="C",D226&lt;&gt;"Alegação da defesa (classe C)"),"NÃO – item classe C",IF(AND(D226="Alegação da defesa (classe C)",Q226&lt;&gt;"C"),"NÃO – item não é classe C",IF(D226="Indícios técnicos de alteração",IF(L226="Sim","Sim","NÃO – exige unanimidade"),IF(K226&gt;=2,"Sim","NÃO – sem maioria")))))))</f>
        <v/>
      </c>
      <c r="P226" s="16">
        <f>IF(C226="","",IF(COUNTIF(C227:C$302,C226)=0,C226,""))</f>
        <v/>
      </c>
      <c r="Q226" s="16">
        <f>IF(C226="","",IFERROR(LEFT(INDEX(Custodia!$U$2:$U$301,MATCH(C226,Custodia!$A$2:$A$301,0)),1),"?"))</f>
        <v/>
      </c>
    </row>
    <row r="227">
      <c r="A227" s="15" t="n"/>
      <c r="B227" s="18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6">
        <f>IF(A227="","",COUNTIF(F227,"A favor")+COUNTIF(H227,"A favor")+COUNTIF(J227,"A favor"))</f>
        <v/>
      </c>
      <c r="L227" s="16">
        <f>IF(A227="","",IF(K227=3,"Sim","Não"))</f>
        <v/>
      </c>
      <c r="M227" s="16">
        <f>IF(C227="","",COUNTIFS(Red_Team!$B$2:$B$301,C227,Red_Team!$I$2:$I$301,"Aberta"))</f>
        <v/>
      </c>
      <c r="N227" s="15" t="n"/>
      <c r="O227" s="16">
        <f>IF(A227="","",IF(M227&gt;0,"NÃO – objeções abertas",IF(AND(D227="Autenticidade confirmada (origem institucional)",Q227&lt;&gt;"A"),"NÃO – exige item classe A",IF(AND(Q227="C",D227&lt;&gt;"Alegação da defesa (classe C)"),"NÃO – item classe C",IF(AND(D227="Alegação da defesa (classe C)",Q227&lt;&gt;"C"),"NÃO – item não é classe C",IF(D227="Indícios técnicos de alteração",IF(L227="Sim","Sim","NÃO – exige unanimidade"),IF(K227&gt;=2,"Sim","NÃO – sem maioria")))))))</f>
        <v/>
      </c>
      <c r="P227" s="16">
        <f>IF(C227="","",IF(COUNTIF(C228:C$302,C227)=0,C227,""))</f>
        <v/>
      </c>
      <c r="Q227" s="16">
        <f>IF(C227="","",IFERROR(LEFT(INDEX(Custodia!$U$2:$U$301,MATCH(C227,Custodia!$A$2:$A$301,0)),1),"?"))</f>
        <v/>
      </c>
    </row>
    <row r="228">
      <c r="A228" s="15" t="n"/>
      <c r="B228" s="18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6">
        <f>IF(A228="","",COUNTIF(F228,"A favor")+COUNTIF(H228,"A favor")+COUNTIF(J228,"A favor"))</f>
        <v/>
      </c>
      <c r="L228" s="16">
        <f>IF(A228="","",IF(K228=3,"Sim","Não"))</f>
        <v/>
      </c>
      <c r="M228" s="16">
        <f>IF(C228="","",COUNTIFS(Red_Team!$B$2:$B$301,C228,Red_Team!$I$2:$I$301,"Aberta"))</f>
        <v/>
      </c>
      <c r="N228" s="15" t="n"/>
      <c r="O228" s="16">
        <f>IF(A228="","",IF(M228&gt;0,"NÃO – objeções abertas",IF(AND(D228="Autenticidade confirmada (origem institucional)",Q228&lt;&gt;"A"),"NÃO – exige item classe A",IF(AND(Q228="C",D228&lt;&gt;"Alegação da defesa (classe C)"),"NÃO – item classe C",IF(AND(D228="Alegação da defesa (classe C)",Q228&lt;&gt;"C"),"NÃO – item não é classe C",IF(D228="Indícios técnicos de alteração",IF(L228="Sim","Sim","NÃO – exige unanimidade"),IF(K228&gt;=2,"Sim","NÃO – sem maioria")))))))</f>
        <v/>
      </c>
      <c r="P228" s="16">
        <f>IF(C228="","",IF(COUNTIF(C229:C$302,C228)=0,C228,""))</f>
        <v/>
      </c>
      <c r="Q228" s="16">
        <f>IF(C228="","",IFERROR(LEFT(INDEX(Custodia!$U$2:$U$301,MATCH(C228,Custodia!$A$2:$A$301,0)),1),"?"))</f>
        <v/>
      </c>
    </row>
    <row r="229">
      <c r="A229" s="15" t="n"/>
      <c r="B229" s="18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6">
        <f>IF(A229="","",COUNTIF(F229,"A favor")+COUNTIF(H229,"A favor")+COUNTIF(J229,"A favor"))</f>
        <v/>
      </c>
      <c r="L229" s="16">
        <f>IF(A229="","",IF(K229=3,"Sim","Não"))</f>
        <v/>
      </c>
      <c r="M229" s="16">
        <f>IF(C229="","",COUNTIFS(Red_Team!$B$2:$B$301,C229,Red_Team!$I$2:$I$301,"Aberta"))</f>
        <v/>
      </c>
      <c r="N229" s="15" t="n"/>
      <c r="O229" s="16">
        <f>IF(A229="","",IF(M229&gt;0,"NÃO – objeções abertas",IF(AND(D229="Autenticidade confirmada (origem institucional)",Q229&lt;&gt;"A"),"NÃO – exige item classe A",IF(AND(Q229="C",D229&lt;&gt;"Alegação da defesa (classe C)"),"NÃO – item classe C",IF(AND(D229="Alegação da defesa (classe C)",Q229&lt;&gt;"C"),"NÃO – item não é classe C",IF(D229="Indícios técnicos de alteração",IF(L229="Sim","Sim","NÃO – exige unanimidade"),IF(K229&gt;=2,"Sim","NÃO – sem maioria")))))))</f>
        <v/>
      </c>
      <c r="P229" s="16">
        <f>IF(C229="","",IF(COUNTIF(C230:C$302,C229)=0,C229,""))</f>
        <v/>
      </c>
      <c r="Q229" s="16">
        <f>IF(C229="","",IFERROR(LEFT(INDEX(Custodia!$U$2:$U$301,MATCH(C229,Custodia!$A$2:$A$301,0)),1),"?"))</f>
        <v/>
      </c>
    </row>
    <row r="230">
      <c r="A230" s="15" t="n"/>
      <c r="B230" s="18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6">
        <f>IF(A230="","",COUNTIF(F230,"A favor")+COUNTIF(H230,"A favor")+COUNTIF(J230,"A favor"))</f>
        <v/>
      </c>
      <c r="L230" s="16">
        <f>IF(A230="","",IF(K230=3,"Sim","Não"))</f>
        <v/>
      </c>
      <c r="M230" s="16">
        <f>IF(C230="","",COUNTIFS(Red_Team!$B$2:$B$301,C230,Red_Team!$I$2:$I$301,"Aberta"))</f>
        <v/>
      </c>
      <c r="N230" s="15" t="n"/>
      <c r="O230" s="16">
        <f>IF(A230="","",IF(M230&gt;0,"NÃO – objeções abertas",IF(AND(D230="Autenticidade confirmada (origem institucional)",Q230&lt;&gt;"A"),"NÃO – exige item classe A",IF(AND(Q230="C",D230&lt;&gt;"Alegação da defesa (classe C)"),"NÃO – item classe C",IF(AND(D230="Alegação da defesa (classe C)",Q230&lt;&gt;"C"),"NÃO – item não é classe C",IF(D230="Indícios técnicos de alteração",IF(L230="Sim","Sim","NÃO – exige unanimidade"),IF(K230&gt;=2,"Sim","NÃO – sem maioria")))))))</f>
        <v/>
      </c>
      <c r="P230" s="16">
        <f>IF(C230="","",IF(COUNTIF(C231:C$302,C230)=0,C230,""))</f>
        <v/>
      </c>
      <c r="Q230" s="16">
        <f>IF(C230="","",IFERROR(LEFT(INDEX(Custodia!$U$2:$U$301,MATCH(C230,Custodia!$A$2:$A$301,0)),1),"?"))</f>
        <v/>
      </c>
    </row>
    <row r="231">
      <c r="A231" s="15" t="n"/>
      <c r="B231" s="18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6">
        <f>IF(A231="","",COUNTIF(F231,"A favor")+COUNTIF(H231,"A favor")+COUNTIF(J231,"A favor"))</f>
        <v/>
      </c>
      <c r="L231" s="16">
        <f>IF(A231="","",IF(K231=3,"Sim","Não"))</f>
        <v/>
      </c>
      <c r="M231" s="16">
        <f>IF(C231="","",COUNTIFS(Red_Team!$B$2:$B$301,C231,Red_Team!$I$2:$I$301,"Aberta"))</f>
        <v/>
      </c>
      <c r="N231" s="15" t="n"/>
      <c r="O231" s="16">
        <f>IF(A231="","",IF(M231&gt;0,"NÃO – objeções abertas",IF(AND(D231="Autenticidade confirmada (origem institucional)",Q231&lt;&gt;"A"),"NÃO – exige item classe A",IF(AND(Q231="C",D231&lt;&gt;"Alegação da defesa (classe C)"),"NÃO – item classe C",IF(AND(D231="Alegação da defesa (classe C)",Q231&lt;&gt;"C"),"NÃO – item não é classe C",IF(D231="Indícios técnicos de alteração",IF(L231="Sim","Sim","NÃO – exige unanimidade"),IF(K231&gt;=2,"Sim","NÃO – sem maioria")))))))</f>
        <v/>
      </c>
      <c r="P231" s="16">
        <f>IF(C231="","",IF(COUNTIF(C232:C$302,C231)=0,C231,""))</f>
        <v/>
      </c>
      <c r="Q231" s="16">
        <f>IF(C231="","",IFERROR(LEFT(INDEX(Custodia!$U$2:$U$301,MATCH(C231,Custodia!$A$2:$A$301,0)),1),"?"))</f>
        <v/>
      </c>
    </row>
    <row r="232">
      <c r="A232" s="15" t="n"/>
      <c r="B232" s="18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6">
        <f>IF(A232="","",COUNTIF(F232,"A favor")+COUNTIF(H232,"A favor")+COUNTIF(J232,"A favor"))</f>
        <v/>
      </c>
      <c r="L232" s="16">
        <f>IF(A232="","",IF(K232=3,"Sim","Não"))</f>
        <v/>
      </c>
      <c r="M232" s="16">
        <f>IF(C232="","",COUNTIFS(Red_Team!$B$2:$B$301,C232,Red_Team!$I$2:$I$301,"Aberta"))</f>
        <v/>
      </c>
      <c r="N232" s="15" t="n"/>
      <c r="O232" s="16">
        <f>IF(A232="","",IF(M232&gt;0,"NÃO – objeções abertas",IF(AND(D232="Autenticidade confirmada (origem institucional)",Q232&lt;&gt;"A"),"NÃO – exige item classe A",IF(AND(Q232="C",D232&lt;&gt;"Alegação da defesa (classe C)"),"NÃO – item classe C",IF(AND(D232="Alegação da defesa (classe C)",Q232&lt;&gt;"C"),"NÃO – item não é classe C",IF(D232="Indícios técnicos de alteração",IF(L232="Sim","Sim","NÃO – exige unanimidade"),IF(K232&gt;=2,"Sim","NÃO – sem maioria")))))))</f>
        <v/>
      </c>
      <c r="P232" s="16">
        <f>IF(C232="","",IF(COUNTIF(C233:C$302,C232)=0,C232,""))</f>
        <v/>
      </c>
      <c r="Q232" s="16">
        <f>IF(C232="","",IFERROR(LEFT(INDEX(Custodia!$U$2:$U$301,MATCH(C232,Custodia!$A$2:$A$301,0)),1),"?"))</f>
        <v/>
      </c>
    </row>
    <row r="233">
      <c r="A233" s="15" t="n"/>
      <c r="B233" s="18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6">
        <f>IF(A233="","",COUNTIF(F233,"A favor")+COUNTIF(H233,"A favor")+COUNTIF(J233,"A favor"))</f>
        <v/>
      </c>
      <c r="L233" s="16">
        <f>IF(A233="","",IF(K233=3,"Sim","Não"))</f>
        <v/>
      </c>
      <c r="M233" s="16">
        <f>IF(C233="","",COUNTIFS(Red_Team!$B$2:$B$301,C233,Red_Team!$I$2:$I$301,"Aberta"))</f>
        <v/>
      </c>
      <c r="N233" s="15" t="n"/>
      <c r="O233" s="16">
        <f>IF(A233="","",IF(M233&gt;0,"NÃO – objeções abertas",IF(AND(D233="Autenticidade confirmada (origem institucional)",Q233&lt;&gt;"A"),"NÃO – exige item classe A",IF(AND(Q233="C",D233&lt;&gt;"Alegação da defesa (classe C)"),"NÃO – item classe C",IF(AND(D233="Alegação da defesa (classe C)",Q233&lt;&gt;"C"),"NÃO – item não é classe C",IF(D233="Indícios técnicos de alteração",IF(L233="Sim","Sim","NÃO – exige unanimidade"),IF(K233&gt;=2,"Sim","NÃO – sem maioria")))))))</f>
        <v/>
      </c>
      <c r="P233" s="16">
        <f>IF(C233="","",IF(COUNTIF(C234:C$302,C233)=0,C233,""))</f>
        <v/>
      </c>
      <c r="Q233" s="16">
        <f>IF(C233="","",IFERROR(LEFT(INDEX(Custodia!$U$2:$U$301,MATCH(C233,Custodia!$A$2:$A$301,0)),1),"?"))</f>
        <v/>
      </c>
    </row>
    <row r="234">
      <c r="A234" s="15" t="n"/>
      <c r="B234" s="18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6">
        <f>IF(A234="","",COUNTIF(F234,"A favor")+COUNTIF(H234,"A favor")+COUNTIF(J234,"A favor"))</f>
        <v/>
      </c>
      <c r="L234" s="16">
        <f>IF(A234="","",IF(K234=3,"Sim","Não"))</f>
        <v/>
      </c>
      <c r="M234" s="16">
        <f>IF(C234="","",COUNTIFS(Red_Team!$B$2:$B$301,C234,Red_Team!$I$2:$I$301,"Aberta"))</f>
        <v/>
      </c>
      <c r="N234" s="15" t="n"/>
      <c r="O234" s="16">
        <f>IF(A234="","",IF(M234&gt;0,"NÃO – objeções abertas",IF(AND(D234="Autenticidade confirmada (origem institucional)",Q234&lt;&gt;"A"),"NÃO – exige item classe A",IF(AND(Q234="C",D234&lt;&gt;"Alegação da defesa (classe C)"),"NÃO – item classe C",IF(AND(D234="Alegação da defesa (classe C)",Q234&lt;&gt;"C"),"NÃO – item não é classe C",IF(D234="Indícios técnicos de alteração",IF(L234="Sim","Sim","NÃO – exige unanimidade"),IF(K234&gt;=2,"Sim","NÃO – sem maioria")))))))</f>
        <v/>
      </c>
      <c r="P234" s="16">
        <f>IF(C234="","",IF(COUNTIF(C235:C$302,C234)=0,C234,""))</f>
        <v/>
      </c>
      <c r="Q234" s="16">
        <f>IF(C234="","",IFERROR(LEFT(INDEX(Custodia!$U$2:$U$301,MATCH(C234,Custodia!$A$2:$A$301,0)),1),"?"))</f>
        <v/>
      </c>
    </row>
    <row r="235">
      <c r="A235" s="15" t="n"/>
      <c r="B235" s="18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6">
        <f>IF(A235="","",COUNTIF(F235,"A favor")+COUNTIF(H235,"A favor")+COUNTIF(J235,"A favor"))</f>
        <v/>
      </c>
      <c r="L235" s="16">
        <f>IF(A235="","",IF(K235=3,"Sim","Não"))</f>
        <v/>
      </c>
      <c r="M235" s="16">
        <f>IF(C235="","",COUNTIFS(Red_Team!$B$2:$B$301,C235,Red_Team!$I$2:$I$301,"Aberta"))</f>
        <v/>
      </c>
      <c r="N235" s="15" t="n"/>
      <c r="O235" s="16">
        <f>IF(A235="","",IF(M235&gt;0,"NÃO – objeções abertas",IF(AND(D235="Autenticidade confirmada (origem institucional)",Q235&lt;&gt;"A"),"NÃO – exige item classe A",IF(AND(Q235="C",D235&lt;&gt;"Alegação da defesa (classe C)"),"NÃO – item classe C",IF(AND(D235="Alegação da defesa (classe C)",Q235&lt;&gt;"C"),"NÃO – item não é classe C",IF(D235="Indícios técnicos de alteração",IF(L235="Sim","Sim","NÃO – exige unanimidade"),IF(K235&gt;=2,"Sim","NÃO – sem maioria")))))))</f>
        <v/>
      </c>
      <c r="P235" s="16">
        <f>IF(C235="","",IF(COUNTIF(C236:C$302,C235)=0,C235,""))</f>
        <v/>
      </c>
      <c r="Q235" s="16">
        <f>IF(C235="","",IFERROR(LEFT(INDEX(Custodia!$U$2:$U$301,MATCH(C235,Custodia!$A$2:$A$301,0)),1),"?"))</f>
        <v/>
      </c>
    </row>
    <row r="236">
      <c r="A236" s="15" t="n"/>
      <c r="B236" s="18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6">
        <f>IF(A236="","",COUNTIF(F236,"A favor")+COUNTIF(H236,"A favor")+COUNTIF(J236,"A favor"))</f>
        <v/>
      </c>
      <c r="L236" s="16">
        <f>IF(A236="","",IF(K236=3,"Sim","Não"))</f>
        <v/>
      </c>
      <c r="M236" s="16">
        <f>IF(C236="","",COUNTIFS(Red_Team!$B$2:$B$301,C236,Red_Team!$I$2:$I$301,"Aberta"))</f>
        <v/>
      </c>
      <c r="N236" s="15" t="n"/>
      <c r="O236" s="16">
        <f>IF(A236="","",IF(M236&gt;0,"NÃO – objeções abertas",IF(AND(D236="Autenticidade confirmada (origem institucional)",Q236&lt;&gt;"A"),"NÃO – exige item classe A",IF(AND(Q236="C",D236&lt;&gt;"Alegação da defesa (classe C)"),"NÃO – item classe C",IF(AND(D236="Alegação da defesa (classe C)",Q236&lt;&gt;"C"),"NÃO – item não é classe C",IF(D236="Indícios técnicos de alteração",IF(L236="Sim","Sim","NÃO – exige unanimidade"),IF(K236&gt;=2,"Sim","NÃO – sem maioria")))))))</f>
        <v/>
      </c>
      <c r="P236" s="16">
        <f>IF(C236="","",IF(COUNTIF(C237:C$302,C236)=0,C236,""))</f>
        <v/>
      </c>
      <c r="Q236" s="16">
        <f>IF(C236="","",IFERROR(LEFT(INDEX(Custodia!$U$2:$U$301,MATCH(C236,Custodia!$A$2:$A$301,0)),1),"?"))</f>
        <v/>
      </c>
    </row>
    <row r="237">
      <c r="A237" s="15" t="n"/>
      <c r="B237" s="18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6">
        <f>IF(A237="","",COUNTIF(F237,"A favor")+COUNTIF(H237,"A favor")+COUNTIF(J237,"A favor"))</f>
        <v/>
      </c>
      <c r="L237" s="16">
        <f>IF(A237="","",IF(K237=3,"Sim","Não"))</f>
        <v/>
      </c>
      <c r="M237" s="16">
        <f>IF(C237="","",COUNTIFS(Red_Team!$B$2:$B$301,C237,Red_Team!$I$2:$I$301,"Aberta"))</f>
        <v/>
      </c>
      <c r="N237" s="15" t="n"/>
      <c r="O237" s="16">
        <f>IF(A237="","",IF(M237&gt;0,"NÃO – objeções abertas",IF(AND(D237="Autenticidade confirmada (origem institucional)",Q237&lt;&gt;"A"),"NÃO – exige item classe A",IF(AND(Q237="C",D237&lt;&gt;"Alegação da defesa (classe C)"),"NÃO – item classe C",IF(AND(D237="Alegação da defesa (classe C)",Q237&lt;&gt;"C"),"NÃO – item não é classe C",IF(D237="Indícios técnicos de alteração",IF(L237="Sim","Sim","NÃO – exige unanimidade"),IF(K237&gt;=2,"Sim","NÃO – sem maioria")))))))</f>
        <v/>
      </c>
      <c r="P237" s="16">
        <f>IF(C237="","",IF(COUNTIF(C238:C$302,C237)=0,C237,""))</f>
        <v/>
      </c>
      <c r="Q237" s="16">
        <f>IF(C237="","",IFERROR(LEFT(INDEX(Custodia!$U$2:$U$301,MATCH(C237,Custodia!$A$2:$A$301,0)),1),"?"))</f>
        <v/>
      </c>
    </row>
    <row r="238">
      <c r="A238" s="15" t="n"/>
      <c r="B238" s="18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6">
        <f>IF(A238="","",COUNTIF(F238,"A favor")+COUNTIF(H238,"A favor")+COUNTIF(J238,"A favor"))</f>
        <v/>
      </c>
      <c r="L238" s="16">
        <f>IF(A238="","",IF(K238=3,"Sim","Não"))</f>
        <v/>
      </c>
      <c r="M238" s="16">
        <f>IF(C238="","",COUNTIFS(Red_Team!$B$2:$B$301,C238,Red_Team!$I$2:$I$301,"Aberta"))</f>
        <v/>
      </c>
      <c r="N238" s="15" t="n"/>
      <c r="O238" s="16">
        <f>IF(A238="","",IF(M238&gt;0,"NÃO – objeções abertas",IF(AND(D238="Autenticidade confirmada (origem institucional)",Q238&lt;&gt;"A"),"NÃO – exige item classe A",IF(AND(Q238="C",D238&lt;&gt;"Alegação da defesa (classe C)"),"NÃO – item classe C",IF(AND(D238="Alegação da defesa (classe C)",Q238&lt;&gt;"C"),"NÃO – item não é classe C",IF(D238="Indícios técnicos de alteração",IF(L238="Sim","Sim","NÃO – exige unanimidade"),IF(K238&gt;=2,"Sim","NÃO – sem maioria")))))))</f>
        <v/>
      </c>
      <c r="P238" s="16">
        <f>IF(C238="","",IF(COUNTIF(C239:C$302,C238)=0,C238,""))</f>
        <v/>
      </c>
      <c r="Q238" s="16">
        <f>IF(C238="","",IFERROR(LEFT(INDEX(Custodia!$U$2:$U$301,MATCH(C238,Custodia!$A$2:$A$301,0)),1),"?"))</f>
        <v/>
      </c>
    </row>
    <row r="239">
      <c r="A239" s="15" t="n"/>
      <c r="B239" s="18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6">
        <f>IF(A239="","",COUNTIF(F239,"A favor")+COUNTIF(H239,"A favor")+COUNTIF(J239,"A favor"))</f>
        <v/>
      </c>
      <c r="L239" s="16">
        <f>IF(A239="","",IF(K239=3,"Sim","Não"))</f>
        <v/>
      </c>
      <c r="M239" s="16">
        <f>IF(C239="","",COUNTIFS(Red_Team!$B$2:$B$301,C239,Red_Team!$I$2:$I$301,"Aberta"))</f>
        <v/>
      </c>
      <c r="N239" s="15" t="n"/>
      <c r="O239" s="16">
        <f>IF(A239="","",IF(M239&gt;0,"NÃO – objeções abertas",IF(AND(D239="Autenticidade confirmada (origem institucional)",Q239&lt;&gt;"A"),"NÃO – exige item classe A",IF(AND(Q239="C",D239&lt;&gt;"Alegação da defesa (classe C)"),"NÃO – item classe C",IF(AND(D239="Alegação da defesa (classe C)",Q239&lt;&gt;"C"),"NÃO – item não é classe C",IF(D239="Indícios técnicos de alteração",IF(L239="Sim","Sim","NÃO – exige unanimidade"),IF(K239&gt;=2,"Sim","NÃO – sem maioria")))))))</f>
        <v/>
      </c>
      <c r="P239" s="16">
        <f>IF(C239="","",IF(COUNTIF(C240:C$302,C239)=0,C239,""))</f>
        <v/>
      </c>
      <c r="Q239" s="16">
        <f>IF(C239="","",IFERROR(LEFT(INDEX(Custodia!$U$2:$U$301,MATCH(C239,Custodia!$A$2:$A$301,0)),1),"?"))</f>
        <v/>
      </c>
    </row>
    <row r="240">
      <c r="A240" s="15" t="n"/>
      <c r="B240" s="18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6">
        <f>IF(A240="","",COUNTIF(F240,"A favor")+COUNTIF(H240,"A favor")+COUNTIF(J240,"A favor"))</f>
        <v/>
      </c>
      <c r="L240" s="16">
        <f>IF(A240="","",IF(K240=3,"Sim","Não"))</f>
        <v/>
      </c>
      <c r="M240" s="16">
        <f>IF(C240="","",COUNTIFS(Red_Team!$B$2:$B$301,C240,Red_Team!$I$2:$I$301,"Aberta"))</f>
        <v/>
      </c>
      <c r="N240" s="15" t="n"/>
      <c r="O240" s="16">
        <f>IF(A240="","",IF(M240&gt;0,"NÃO – objeções abertas",IF(AND(D240="Autenticidade confirmada (origem institucional)",Q240&lt;&gt;"A"),"NÃO – exige item classe A",IF(AND(Q240="C",D240&lt;&gt;"Alegação da defesa (classe C)"),"NÃO – item classe C",IF(AND(D240="Alegação da defesa (classe C)",Q240&lt;&gt;"C"),"NÃO – item não é classe C",IF(D240="Indícios técnicos de alteração",IF(L240="Sim","Sim","NÃO – exige unanimidade"),IF(K240&gt;=2,"Sim","NÃO – sem maioria")))))))</f>
        <v/>
      </c>
      <c r="P240" s="16">
        <f>IF(C240="","",IF(COUNTIF(C241:C$302,C240)=0,C240,""))</f>
        <v/>
      </c>
      <c r="Q240" s="16">
        <f>IF(C240="","",IFERROR(LEFT(INDEX(Custodia!$U$2:$U$301,MATCH(C240,Custodia!$A$2:$A$301,0)),1),"?"))</f>
        <v/>
      </c>
    </row>
    <row r="241">
      <c r="A241" s="15" t="n"/>
      <c r="B241" s="18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6">
        <f>IF(A241="","",COUNTIF(F241,"A favor")+COUNTIF(H241,"A favor")+COUNTIF(J241,"A favor"))</f>
        <v/>
      </c>
      <c r="L241" s="16">
        <f>IF(A241="","",IF(K241=3,"Sim","Não"))</f>
        <v/>
      </c>
      <c r="M241" s="16">
        <f>IF(C241="","",COUNTIFS(Red_Team!$B$2:$B$301,C241,Red_Team!$I$2:$I$301,"Aberta"))</f>
        <v/>
      </c>
      <c r="N241" s="15" t="n"/>
      <c r="O241" s="16">
        <f>IF(A241="","",IF(M241&gt;0,"NÃO – objeções abertas",IF(AND(D241="Autenticidade confirmada (origem institucional)",Q241&lt;&gt;"A"),"NÃO – exige item classe A",IF(AND(Q241="C",D241&lt;&gt;"Alegação da defesa (classe C)"),"NÃO – item classe C",IF(AND(D241="Alegação da defesa (classe C)",Q241&lt;&gt;"C"),"NÃO – item não é classe C",IF(D241="Indícios técnicos de alteração",IF(L241="Sim","Sim","NÃO – exige unanimidade"),IF(K241&gt;=2,"Sim","NÃO – sem maioria")))))))</f>
        <v/>
      </c>
      <c r="P241" s="16">
        <f>IF(C241="","",IF(COUNTIF(C242:C$302,C241)=0,C241,""))</f>
        <v/>
      </c>
      <c r="Q241" s="16">
        <f>IF(C241="","",IFERROR(LEFT(INDEX(Custodia!$U$2:$U$301,MATCH(C241,Custodia!$A$2:$A$301,0)),1),"?"))</f>
        <v/>
      </c>
    </row>
    <row r="242">
      <c r="A242" s="15" t="n"/>
      <c r="B242" s="18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6">
        <f>IF(A242="","",COUNTIF(F242,"A favor")+COUNTIF(H242,"A favor")+COUNTIF(J242,"A favor"))</f>
        <v/>
      </c>
      <c r="L242" s="16">
        <f>IF(A242="","",IF(K242=3,"Sim","Não"))</f>
        <v/>
      </c>
      <c r="M242" s="16">
        <f>IF(C242="","",COUNTIFS(Red_Team!$B$2:$B$301,C242,Red_Team!$I$2:$I$301,"Aberta"))</f>
        <v/>
      </c>
      <c r="N242" s="15" t="n"/>
      <c r="O242" s="16">
        <f>IF(A242="","",IF(M242&gt;0,"NÃO – objeções abertas",IF(AND(D242="Autenticidade confirmada (origem institucional)",Q242&lt;&gt;"A"),"NÃO – exige item classe A",IF(AND(Q242="C",D242&lt;&gt;"Alegação da defesa (classe C)"),"NÃO – item classe C",IF(AND(D242="Alegação da defesa (classe C)",Q242&lt;&gt;"C"),"NÃO – item não é classe C",IF(D242="Indícios técnicos de alteração",IF(L242="Sim","Sim","NÃO – exige unanimidade"),IF(K242&gt;=2,"Sim","NÃO – sem maioria")))))))</f>
        <v/>
      </c>
      <c r="P242" s="16">
        <f>IF(C242="","",IF(COUNTIF(C243:C$302,C242)=0,C242,""))</f>
        <v/>
      </c>
      <c r="Q242" s="16">
        <f>IF(C242="","",IFERROR(LEFT(INDEX(Custodia!$U$2:$U$301,MATCH(C242,Custodia!$A$2:$A$301,0)),1),"?"))</f>
        <v/>
      </c>
    </row>
    <row r="243">
      <c r="A243" s="15" t="n"/>
      <c r="B243" s="18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6">
        <f>IF(A243="","",COUNTIF(F243,"A favor")+COUNTIF(H243,"A favor")+COUNTIF(J243,"A favor"))</f>
        <v/>
      </c>
      <c r="L243" s="16">
        <f>IF(A243="","",IF(K243=3,"Sim","Não"))</f>
        <v/>
      </c>
      <c r="M243" s="16">
        <f>IF(C243="","",COUNTIFS(Red_Team!$B$2:$B$301,C243,Red_Team!$I$2:$I$301,"Aberta"))</f>
        <v/>
      </c>
      <c r="N243" s="15" t="n"/>
      <c r="O243" s="16">
        <f>IF(A243="","",IF(M243&gt;0,"NÃO – objeções abertas",IF(AND(D243="Autenticidade confirmada (origem institucional)",Q243&lt;&gt;"A"),"NÃO – exige item classe A",IF(AND(Q243="C",D243&lt;&gt;"Alegação da defesa (classe C)"),"NÃO – item classe C",IF(AND(D243="Alegação da defesa (classe C)",Q243&lt;&gt;"C"),"NÃO – item não é classe C",IF(D243="Indícios técnicos de alteração",IF(L243="Sim","Sim","NÃO – exige unanimidade"),IF(K243&gt;=2,"Sim","NÃO – sem maioria")))))))</f>
        <v/>
      </c>
      <c r="P243" s="16">
        <f>IF(C243="","",IF(COUNTIF(C244:C$302,C243)=0,C243,""))</f>
        <v/>
      </c>
      <c r="Q243" s="16">
        <f>IF(C243="","",IFERROR(LEFT(INDEX(Custodia!$U$2:$U$301,MATCH(C243,Custodia!$A$2:$A$301,0)),1),"?"))</f>
        <v/>
      </c>
    </row>
    <row r="244">
      <c r="A244" s="15" t="n"/>
      <c r="B244" s="18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6">
        <f>IF(A244="","",COUNTIF(F244,"A favor")+COUNTIF(H244,"A favor")+COUNTIF(J244,"A favor"))</f>
        <v/>
      </c>
      <c r="L244" s="16">
        <f>IF(A244="","",IF(K244=3,"Sim","Não"))</f>
        <v/>
      </c>
      <c r="M244" s="16">
        <f>IF(C244="","",COUNTIFS(Red_Team!$B$2:$B$301,C244,Red_Team!$I$2:$I$301,"Aberta"))</f>
        <v/>
      </c>
      <c r="N244" s="15" t="n"/>
      <c r="O244" s="16">
        <f>IF(A244="","",IF(M244&gt;0,"NÃO – objeções abertas",IF(AND(D244="Autenticidade confirmada (origem institucional)",Q244&lt;&gt;"A"),"NÃO – exige item classe A",IF(AND(Q244="C",D244&lt;&gt;"Alegação da defesa (classe C)"),"NÃO – item classe C",IF(AND(D244="Alegação da defesa (classe C)",Q244&lt;&gt;"C"),"NÃO – item não é classe C",IF(D244="Indícios técnicos de alteração",IF(L244="Sim","Sim","NÃO – exige unanimidade"),IF(K244&gt;=2,"Sim","NÃO – sem maioria")))))))</f>
        <v/>
      </c>
      <c r="P244" s="16">
        <f>IF(C244="","",IF(COUNTIF(C245:C$302,C244)=0,C244,""))</f>
        <v/>
      </c>
      <c r="Q244" s="16">
        <f>IF(C244="","",IFERROR(LEFT(INDEX(Custodia!$U$2:$U$301,MATCH(C244,Custodia!$A$2:$A$301,0)),1),"?"))</f>
        <v/>
      </c>
    </row>
    <row r="245">
      <c r="A245" s="15" t="n"/>
      <c r="B245" s="18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6">
        <f>IF(A245="","",COUNTIF(F245,"A favor")+COUNTIF(H245,"A favor")+COUNTIF(J245,"A favor"))</f>
        <v/>
      </c>
      <c r="L245" s="16">
        <f>IF(A245="","",IF(K245=3,"Sim","Não"))</f>
        <v/>
      </c>
      <c r="M245" s="16">
        <f>IF(C245="","",COUNTIFS(Red_Team!$B$2:$B$301,C245,Red_Team!$I$2:$I$301,"Aberta"))</f>
        <v/>
      </c>
      <c r="N245" s="15" t="n"/>
      <c r="O245" s="16">
        <f>IF(A245="","",IF(M245&gt;0,"NÃO – objeções abertas",IF(AND(D245="Autenticidade confirmada (origem institucional)",Q245&lt;&gt;"A"),"NÃO – exige item classe A",IF(AND(Q245="C",D245&lt;&gt;"Alegação da defesa (classe C)"),"NÃO – item classe C",IF(AND(D245="Alegação da defesa (classe C)",Q245&lt;&gt;"C"),"NÃO – item não é classe C",IF(D245="Indícios técnicos de alteração",IF(L245="Sim","Sim","NÃO – exige unanimidade"),IF(K245&gt;=2,"Sim","NÃO – sem maioria")))))))</f>
        <v/>
      </c>
      <c r="P245" s="16">
        <f>IF(C245="","",IF(COUNTIF(C246:C$302,C245)=0,C245,""))</f>
        <v/>
      </c>
      <c r="Q245" s="16">
        <f>IF(C245="","",IFERROR(LEFT(INDEX(Custodia!$U$2:$U$301,MATCH(C245,Custodia!$A$2:$A$301,0)),1),"?"))</f>
        <v/>
      </c>
    </row>
    <row r="246">
      <c r="A246" s="15" t="n"/>
      <c r="B246" s="18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6">
        <f>IF(A246="","",COUNTIF(F246,"A favor")+COUNTIF(H246,"A favor")+COUNTIF(J246,"A favor"))</f>
        <v/>
      </c>
      <c r="L246" s="16">
        <f>IF(A246="","",IF(K246=3,"Sim","Não"))</f>
        <v/>
      </c>
      <c r="M246" s="16">
        <f>IF(C246="","",COUNTIFS(Red_Team!$B$2:$B$301,C246,Red_Team!$I$2:$I$301,"Aberta"))</f>
        <v/>
      </c>
      <c r="N246" s="15" t="n"/>
      <c r="O246" s="16">
        <f>IF(A246="","",IF(M246&gt;0,"NÃO – objeções abertas",IF(AND(D246="Autenticidade confirmada (origem institucional)",Q246&lt;&gt;"A"),"NÃO – exige item classe A",IF(AND(Q246="C",D246&lt;&gt;"Alegação da defesa (classe C)"),"NÃO – item classe C",IF(AND(D246="Alegação da defesa (classe C)",Q246&lt;&gt;"C"),"NÃO – item não é classe C",IF(D246="Indícios técnicos de alteração",IF(L246="Sim","Sim","NÃO – exige unanimidade"),IF(K246&gt;=2,"Sim","NÃO – sem maioria")))))))</f>
        <v/>
      </c>
      <c r="P246" s="16">
        <f>IF(C246="","",IF(COUNTIF(C247:C$302,C246)=0,C246,""))</f>
        <v/>
      </c>
      <c r="Q246" s="16">
        <f>IF(C246="","",IFERROR(LEFT(INDEX(Custodia!$U$2:$U$301,MATCH(C246,Custodia!$A$2:$A$301,0)),1),"?"))</f>
        <v/>
      </c>
    </row>
    <row r="247">
      <c r="A247" s="15" t="n"/>
      <c r="B247" s="18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6">
        <f>IF(A247="","",COUNTIF(F247,"A favor")+COUNTIF(H247,"A favor")+COUNTIF(J247,"A favor"))</f>
        <v/>
      </c>
      <c r="L247" s="16">
        <f>IF(A247="","",IF(K247=3,"Sim","Não"))</f>
        <v/>
      </c>
      <c r="M247" s="16">
        <f>IF(C247="","",COUNTIFS(Red_Team!$B$2:$B$301,C247,Red_Team!$I$2:$I$301,"Aberta"))</f>
        <v/>
      </c>
      <c r="N247" s="15" t="n"/>
      <c r="O247" s="16">
        <f>IF(A247="","",IF(M247&gt;0,"NÃO – objeções abertas",IF(AND(D247="Autenticidade confirmada (origem institucional)",Q247&lt;&gt;"A"),"NÃO – exige item classe A",IF(AND(Q247="C",D247&lt;&gt;"Alegação da defesa (classe C)"),"NÃO – item classe C",IF(AND(D247="Alegação da defesa (classe C)",Q247&lt;&gt;"C"),"NÃO – item não é classe C",IF(D247="Indícios técnicos de alteração",IF(L247="Sim","Sim","NÃO – exige unanimidade"),IF(K247&gt;=2,"Sim","NÃO – sem maioria")))))))</f>
        <v/>
      </c>
      <c r="P247" s="16">
        <f>IF(C247="","",IF(COUNTIF(C248:C$302,C247)=0,C247,""))</f>
        <v/>
      </c>
      <c r="Q247" s="16">
        <f>IF(C247="","",IFERROR(LEFT(INDEX(Custodia!$U$2:$U$301,MATCH(C247,Custodia!$A$2:$A$301,0)),1),"?"))</f>
        <v/>
      </c>
    </row>
    <row r="248">
      <c r="A248" s="15" t="n"/>
      <c r="B248" s="18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6">
        <f>IF(A248="","",COUNTIF(F248,"A favor")+COUNTIF(H248,"A favor")+COUNTIF(J248,"A favor"))</f>
        <v/>
      </c>
      <c r="L248" s="16">
        <f>IF(A248="","",IF(K248=3,"Sim","Não"))</f>
        <v/>
      </c>
      <c r="M248" s="16">
        <f>IF(C248="","",COUNTIFS(Red_Team!$B$2:$B$301,C248,Red_Team!$I$2:$I$301,"Aberta"))</f>
        <v/>
      </c>
      <c r="N248" s="15" t="n"/>
      <c r="O248" s="16">
        <f>IF(A248="","",IF(M248&gt;0,"NÃO – objeções abertas",IF(AND(D248="Autenticidade confirmada (origem institucional)",Q248&lt;&gt;"A"),"NÃO – exige item classe A",IF(AND(Q248="C",D248&lt;&gt;"Alegação da defesa (classe C)"),"NÃO – item classe C",IF(AND(D248="Alegação da defesa (classe C)",Q248&lt;&gt;"C"),"NÃO – item não é classe C",IF(D248="Indícios técnicos de alteração",IF(L248="Sim","Sim","NÃO – exige unanimidade"),IF(K248&gt;=2,"Sim","NÃO – sem maioria")))))))</f>
        <v/>
      </c>
      <c r="P248" s="16">
        <f>IF(C248="","",IF(COUNTIF(C249:C$302,C248)=0,C248,""))</f>
        <v/>
      </c>
      <c r="Q248" s="16">
        <f>IF(C248="","",IFERROR(LEFT(INDEX(Custodia!$U$2:$U$301,MATCH(C248,Custodia!$A$2:$A$301,0)),1),"?"))</f>
        <v/>
      </c>
    </row>
    <row r="249">
      <c r="A249" s="15" t="n"/>
      <c r="B249" s="18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6">
        <f>IF(A249="","",COUNTIF(F249,"A favor")+COUNTIF(H249,"A favor")+COUNTIF(J249,"A favor"))</f>
        <v/>
      </c>
      <c r="L249" s="16">
        <f>IF(A249="","",IF(K249=3,"Sim","Não"))</f>
        <v/>
      </c>
      <c r="M249" s="16">
        <f>IF(C249="","",COUNTIFS(Red_Team!$B$2:$B$301,C249,Red_Team!$I$2:$I$301,"Aberta"))</f>
        <v/>
      </c>
      <c r="N249" s="15" t="n"/>
      <c r="O249" s="16">
        <f>IF(A249="","",IF(M249&gt;0,"NÃO – objeções abertas",IF(AND(D249="Autenticidade confirmada (origem institucional)",Q249&lt;&gt;"A"),"NÃO – exige item classe A",IF(AND(Q249="C",D249&lt;&gt;"Alegação da defesa (classe C)"),"NÃO – item classe C",IF(AND(D249="Alegação da defesa (classe C)",Q249&lt;&gt;"C"),"NÃO – item não é classe C",IF(D249="Indícios técnicos de alteração",IF(L249="Sim","Sim","NÃO – exige unanimidade"),IF(K249&gt;=2,"Sim","NÃO – sem maioria")))))))</f>
        <v/>
      </c>
      <c r="P249" s="16">
        <f>IF(C249="","",IF(COUNTIF(C250:C$302,C249)=0,C249,""))</f>
        <v/>
      </c>
      <c r="Q249" s="16">
        <f>IF(C249="","",IFERROR(LEFT(INDEX(Custodia!$U$2:$U$301,MATCH(C249,Custodia!$A$2:$A$301,0)),1),"?"))</f>
        <v/>
      </c>
    </row>
    <row r="250">
      <c r="A250" s="15" t="n"/>
      <c r="B250" s="18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6">
        <f>IF(A250="","",COUNTIF(F250,"A favor")+COUNTIF(H250,"A favor")+COUNTIF(J250,"A favor"))</f>
        <v/>
      </c>
      <c r="L250" s="16">
        <f>IF(A250="","",IF(K250=3,"Sim","Não"))</f>
        <v/>
      </c>
      <c r="M250" s="16">
        <f>IF(C250="","",COUNTIFS(Red_Team!$B$2:$B$301,C250,Red_Team!$I$2:$I$301,"Aberta"))</f>
        <v/>
      </c>
      <c r="N250" s="15" t="n"/>
      <c r="O250" s="16">
        <f>IF(A250="","",IF(M250&gt;0,"NÃO – objeções abertas",IF(AND(D250="Autenticidade confirmada (origem institucional)",Q250&lt;&gt;"A"),"NÃO – exige item classe A",IF(AND(Q250="C",D250&lt;&gt;"Alegação da defesa (classe C)"),"NÃO – item classe C",IF(AND(D250="Alegação da defesa (classe C)",Q250&lt;&gt;"C"),"NÃO – item não é classe C",IF(D250="Indícios técnicos de alteração",IF(L250="Sim","Sim","NÃO – exige unanimidade"),IF(K250&gt;=2,"Sim","NÃO – sem maioria")))))))</f>
        <v/>
      </c>
      <c r="P250" s="16">
        <f>IF(C250="","",IF(COUNTIF(C251:C$302,C250)=0,C250,""))</f>
        <v/>
      </c>
      <c r="Q250" s="16">
        <f>IF(C250="","",IFERROR(LEFT(INDEX(Custodia!$U$2:$U$301,MATCH(C250,Custodia!$A$2:$A$301,0)),1),"?"))</f>
        <v/>
      </c>
    </row>
    <row r="251">
      <c r="A251" s="15" t="n"/>
      <c r="B251" s="18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6">
        <f>IF(A251="","",COUNTIF(F251,"A favor")+COUNTIF(H251,"A favor")+COUNTIF(J251,"A favor"))</f>
        <v/>
      </c>
      <c r="L251" s="16">
        <f>IF(A251="","",IF(K251=3,"Sim","Não"))</f>
        <v/>
      </c>
      <c r="M251" s="16">
        <f>IF(C251="","",COUNTIFS(Red_Team!$B$2:$B$301,C251,Red_Team!$I$2:$I$301,"Aberta"))</f>
        <v/>
      </c>
      <c r="N251" s="15" t="n"/>
      <c r="O251" s="16">
        <f>IF(A251="","",IF(M251&gt;0,"NÃO – objeções abertas",IF(AND(D251="Autenticidade confirmada (origem institucional)",Q251&lt;&gt;"A"),"NÃO – exige item classe A",IF(AND(Q251="C",D251&lt;&gt;"Alegação da defesa (classe C)"),"NÃO – item classe C",IF(AND(D251="Alegação da defesa (classe C)",Q251&lt;&gt;"C"),"NÃO – item não é classe C",IF(D251="Indícios técnicos de alteração",IF(L251="Sim","Sim","NÃO – exige unanimidade"),IF(K251&gt;=2,"Sim","NÃO – sem maioria")))))))</f>
        <v/>
      </c>
      <c r="P251" s="16">
        <f>IF(C251="","",IF(COUNTIF(C252:C$302,C251)=0,C251,""))</f>
        <v/>
      </c>
      <c r="Q251" s="16">
        <f>IF(C251="","",IFERROR(LEFT(INDEX(Custodia!$U$2:$U$301,MATCH(C251,Custodia!$A$2:$A$301,0)),1),"?"))</f>
        <v/>
      </c>
    </row>
    <row r="252">
      <c r="A252" s="15" t="n"/>
      <c r="B252" s="18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6">
        <f>IF(A252="","",COUNTIF(F252,"A favor")+COUNTIF(H252,"A favor")+COUNTIF(J252,"A favor"))</f>
        <v/>
      </c>
      <c r="L252" s="16">
        <f>IF(A252="","",IF(K252=3,"Sim","Não"))</f>
        <v/>
      </c>
      <c r="M252" s="16">
        <f>IF(C252="","",COUNTIFS(Red_Team!$B$2:$B$301,C252,Red_Team!$I$2:$I$301,"Aberta"))</f>
        <v/>
      </c>
      <c r="N252" s="15" t="n"/>
      <c r="O252" s="16">
        <f>IF(A252="","",IF(M252&gt;0,"NÃO – objeções abertas",IF(AND(D252="Autenticidade confirmada (origem institucional)",Q252&lt;&gt;"A"),"NÃO – exige item classe A",IF(AND(Q252="C",D252&lt;&gt;"Alegação da defesa (classe C)"),"NÃO – item classe C",IF(AND(D252="Alegação da defesa (classe C)",Q252&lt;&gt;"C"),"NÃO – item não é classe C",IF(D252="Indícios técnicos de alteração",IF(L252="Sim","Sim","NÃO – exige unanimidade"),IF(K252&gt;=2,"Sim","NÃO – sem maioria")))))))</f>
        <v/>
      </c>
      <c r="P252" s="16">
        <f>IF(C252="","",IF(COUNTIF(C253:C$302,C252)=0,C252,""))</f>
        <v/>
      </c>
      <c r="Q252" s="16">
        <f>IF(C252="","",IFERROR(LEFT(INDEX(Custodia!$U$2:$U$301,MATCH(C252,Custodia!$A$2:$A$301,0)),1),"?"))</f>
        <v/>
      </c>
    </row>
    <row r="253">
      <c r="A253" s="15" t="n"/>
      <c r="B253" s="18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6">
        <f>IF(A253="","",COUNTIF(F253,"A favor")+COUNTIF(H253,"A favor")+COUNTIF(J253,"A favor"))</f>
        <v/>
      </c>
      <c r="L253" s="16">
        <f>IF(A253="","",IF(K253=3,"Sim","Não"))</f>
        <v/>
      </c>
      <c r="M253" s="16">
        <f>IF(C253="","",COUNTIFS(Red_Team!$B$2:$B$301,C253,Red_Team!$I$2:$I$301,"Aberta"))</f>
        <v/>
      </c>
      <c r="N253" s="15" t="n"/>
      <c r="O253" s="16">
        <f>IF(A253="","",IF(M253&gt;0,"NÃO – objeções abertas",IF(AND(D253="Autenticidade confirmada (origem institucional)",Q253&lt;&gt;"A"),"NÃO – exige item classe A",IF(AND(Q253="C",D253&lt;&gt;"Alegação da defesa (classe C)"),"NÃO – item classe C",IF(AND(D253="Alegação da defesa (classe C)",Q253&lt;&gt;"C"),"NÃO – item não é classe C",IF(D253="Indícios técnicos de alteração",IF(L253="Sim","Sim","NÃO – exige unanimidade"),IF(K253&gt;=2,"Sim","NÃO – sem maioria")))))))</f>
        <v/>
      </c>
      <c r="P253" s="16">
        <f>IF(C253="","",IF(COUNTIF(C254:C$302,C253)=0,C253,""))</f>
        <v/>
      </c>
      <c r="Q253" s="16">
        <f>IF(C253="","",IFERROR(LEFT(INDEX(Custodia!$U$2:$U$301,MATCH(C253,Custodia!$A$2:$A$301,0)),1),"?"))</f>
        <v/>
      </c>
    </row>
    <row r="254">
      <c r="A254" s="15" t="n"/>
      <c r="B254" s="18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6">
        <f>IF(A254="","",COUNTIF(F254,"A favor")+COUNTIF(H254,"A favor")+COUNTIF(J254,"A favor"))</f>
        <v/>
      </c>
      <c r="L254" s="16">
        <f>IF(A254="","",IF(K254=3,"Sim","Não"))</f>
        <v/>
      </c>
      <c r="M254" s="16">
        <f>IF(C254="","",COUNTIFS(Red_Team!$B$2:$B$301,C254,Red_Team!$I$2:$I$301,"Aberta"))</f>
        <v/>
      </c>
      <c r="N254" s="15" t="n"/>
      <c r="O254" s="16">
        <f>IF(A254="","",IF(M254&gt;0,"NÃO – objeções abertas",IF(AND(D254="Autenticidade confirmada (origem institucional)",Q254&lt;&gt;"A"),"NÃO – exige item classe A",IF(AND(Q254="C",D254&lt;&gt;"Alegação da defesa (classe C)"),"NÃO – item classe C",IF(AND(D254="Alegação da defesa (classe C)",Q254&lt;&gt;"C"),"NÃO – item não é classe C",IF(D254="Indícios técnicos de alteração",IF(L254="Sim","Sim","NÃO – exige unanimidade"),IF(K254&gt;=2,"Sim","NÃO – sem maioria")))))))</f>
        <v/>
      </c>
      <c r="P254" s="16">
        <f>IF(C254="","",IF(COUNTIF(C255:C$302,C254)=0,C254,""))</f>
        <v/>
      </c>
      <c r="Q254" s="16">
        <f>IF(C254="","",IFERROR(LEFT(INDEX(Custodia!$U$2:$U$301,MATCH(C254,Custodia!$A$2:$A$301,0)),1),"?"))</f>
        <v/>
      </c>
    </row>
    <row r="255">
      <c r="A255" s="15" t="n"/>
      <c r="B255" s="18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6">
        <f>IF(A255="","",COUNTIF(F255,"A favor")+COUNTIF(H255,"A favor")+COUNTIF(J255,"A favor"))</f>
        <v/>
      </c>
      <c r="L255" s="16">
        <f>IF(A255="","",IF(K255=3,"Sim","Não"))</f>
        <v/>
      </c>
      <c r="M255" s="16">
        <f>IF(C255="","",COUNTIFS(Red_Team!$B$2:$B$301,C255,Red_Team!$I$2:$I$301,"Aberta"))</f>
        <v/>
      </c>
      <c r="N255" s="15" t="n"/>
      <c r="O255" s="16">
        <f>IF(A255="","",IF(M255&gt;0,"NÃO – objeções abertas",IF(AND(D255="Autenticidade confirmada (origem institucional)",Q255&lt;&gt;"A"),"NÃO – exige item classe A",IF(AND(Q255="C",D255&lt;&gt;"Alegação da defesa (classe C)"),"NÃO – item classe C",IF(AND(D255="Alegação da defesa (classe C)",Q255&lt;&gt;"C"),"NÃO – item não é classe C",IF(D255="Indícios técnicos de alteração",IF(L255="Sim","Sim","NÃO – exige unanimidade"),IF(K255&gt;=2,"Sim","NÃO – sem maioria")))))))</f>
        <v/>
      </c>
      <c r="P255" s="16">
        <f>IF(C255="","",IF(COUNTIF(C256:C$302,C255)=0,C255,""))</f>
        <v/>
      </c>
      <c r="Q255" s="16">
        <f>IF(C255="","",IFERROR(LEFT(INDEX(Custodia!$U$2:$U$301,MATCH(C255,Custodia!$A$2:$A$301,0)),1),"?"))</f>
        <v/>
      </c>
    </row>
    <row r="256">
      <c r="A256" s="15" t="n"/>
      <c r="B256" s="18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6">
        <f>IF(A256="","",COUNTIF(F256,"A favor")+COUNTIF(H256,"A favor")+COUNTIF(J256,"A favor"))</f>
        <v/>
      </c>
      <c r="L256" s="16">
        <f>IF(A256="","",IF(K256=3,"Sim","Não"))</f>
        <v/>
      </c>
      <c r="M256" s="16">
        <f>IF(C256="","",COUNTIFS(Red_Team!$B$2:$B$301,C256,Red_Team!$I$2:$I$301,"Aberta"))</f>
        <v/>
      </c>
      <c r="N256" s="15" t="n"/>
      <c r="O256" s="16">
        <f>IF(A256="","",IF(M256&gt;0,"NÃO – objeções abertas",IF(AND(D256="Autenticidade confirmada (origem institucional)",Q256&lt;&gt;"A"),"NÃO – exige item classe A",IF(AND(Q256="C",D256&lt;&gt;"Alegação da defesa (classe C)"),"NÃO – item classe C",IF(AND(D256="Alegação da defesa (classe C)",Q256&lt;&gt;"C"),"NÃO – item não é classe C",IF(D256="Indícios técnicos de alteração",IF(L256="Sim","Sim","NÃO – exige unanimidade"),IF(K256&gt;=2,"Sim","NÃO – sem maioria")))))))</f>
        <v/>
      </c>
      <c r="P256" s="16">
        <f>IF(C256="","",IF(COUNTIF(C257:C$302,C256)=0,C256,""))</f>
        <v/>
      </c>
      <c r="Q256" s="16">
        <f>IF(C256="","",IFERROR(LEFT(INDEX(Custodia!$U$2:$U$301,MATCH(C256,Custodia!$A$2:$A$301,0)),1),"?"))</f>
        <v/>
      </c>
    </row>
    <row r="257">
      <c r="A257" s="15" t="n"/>
      <c r="B257" s="18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6">
        <f>IF(A257="","",COUNTIF(F257,"A favor")+COUNTIF(H257,"A favor")+COUNTIF(J257,"A favor"))</f>
        <v/>
      </c>
      <c r="L257" s="16">
        <f>IF(A257="","",IF(K257=3,"Sim","Não"))</f>
        <v/>
      </c>
      <c r="M257" s="16">
        <f>IF(C257="","",COUNTIFS(Red_Team!$B$2:$B$301,C257,Red_Team!$I$2:$I$301,"Aberta"))</f>
        <v/>
      </c>
      <c r="N257" s="15" t="n"/>
      <c r="O257" s="16">
        <f>IF(A257="","",IF(M257&gt;0,"NÃO – objeções abertas",IF(AND(D257="Autenticidade confirmada (origem institucional)",Q257&lt;&gt;"A"),"NÃO – exige item classe A",IF(AND(Q257="C",D257&lt;&gt;"Alegação da defesa (classe C)"),"NÃO – item classe C",IF(AND(D257="Alegação da defesa (classe C)",Q257&lt;&gt;"C"),"NÃO – item não é classe C",IF(D257="Indícios técnicos de alteração",IF(L257="Sim","Sim","NÃO – exige unanimidade"),IF(K257&gt;=2,"Sim","NÃO – sem maioria")))))))</f>
        <v/>
      </c>
      <c r="P257" s="16">
        <f>IF(C257="","",IF(COUNTIF(C258:C$302,C257)=0,C257,""))</f>
        <v/>
      </c>
      <c r="Q257" s="16">
        <f>IF(C257="","",IFERROR(LEFT(INDEX(Custodia!$U$2:$U$301,MATCH(C257,Custodia!$A$2:$A$301,0)),1),"?"))</f>
        <v/>
      </c>
    </row>
    <row r="258">
      <c r="A258" s="15" t="n"/>
      <c r="B258" s="18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6">
        <f>IF(A258="","",COUNTIF(F258,"A favor")+COUNTIF(H258,"A favor")+COUNTIF(J258,"A favor"))</f>
        <v/>
      </c>
      <c r="L258" s="16">
        <f>IF(A258="","",IF(K258=3,"Sim","Não"))</f>
        <v/>
      </c>
      <c r="M258" s="16">
        <f>IF(C258="","",COUNTIFS(Red_Team!$B$2:$B$301,C258,Red_Team!$I$2:$I$301,"Aberta"))</f>
        <v/>
      </c>
      <c r="N258" s="15" t="n"/>
      <c r="O258" s="16">
        <f>IF(A258="","",IF(M258&gt;0,"NÃO – objeções abertas",IF(AND(D258="Autenticidade confirmada (origem institucional)",Q258&lt;&gt;"A"),"NÃO – exige item classe A",IF(AND(Q258="C",D258&lt;&gt;"Alegação da defesa (classe C)"),"NÃO – item classe C",IF(AND(D258="Alegação da defesa (classe C)",Q258&lt;&gt;"C"),"NÃO – item não é classe C",IF(D258="Indícios técnicos de alteração",IF(L258="Sim","Sim","NÃO – exige unanimidade"),IF(K258&gt;=2,"Sim","NÃO – sem maioria")))))))</f>
        <v/>
      </c>
      <c r="P258" s="16">
        <f>IF(C258="","",IF(COUNTIF(C259:C$302,C258)=0,C258,""))</f>
        <v/>
      </c>
      <c r="Q258" s="16">
        <f>IF(C258="","",IFERROR(LEFT(INDEX(Custodia!$U$2:$U$301,MATCH(C258,Custodia!$A$2:$A$301,0)),1),"?"))</f>
        <v/>
      </c>
    </row>
    <row r="259">
      <c r="A259" s="15" t="n"/>
      <c r="B259" s="18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6">
        <f>IF(A259="","",COUNTIF(F259,"A favor")+COUNTIF(H259,"A favor")+COUNTIF(J259,"A favor"))</f>
        <v/>
      </c>
      <c r="L259" s="16">
        <f>IF(A259="","",IF(K259=3,"Sim","Não"))</f>
        <v/>
      </c>
      <c r="M259" s="16">
        <f>IF(C259="","",COUNTIFS(Red_Team!$B$2:$B$301,C259,Red_Team!$I$2:$I$301,"Aberta"))</f>
        <v/>
      </c>
      <c r="N259" s="15" t="n"/>
      <c r="O259" s="16">
        <f>IF(A259="","",IF(M259&gt;0,"NÃO – objeções abertas",IF(AND(D259="Autenticidade confirmada (origem institucional)",Q259&lt;&gt;"A"),"NÃO – exige item classe A",IF(AND(Q259="C",D259&lt;&gt;"Alegação da defesa (classe C)"),"NÃO – item classe C",IF(AND(D259="Alegação da defesa (classe C)",Q259&lt;&gt;"C"),"NÃO – item não é classe C",IF(D259="Indícios técnicos de alteração",IF(L259="Sim","Sim","NÃO – exige unanimidade"),IF(K259&gt;=2,"Sim","NÃO – sem maioria")))))))</f>
        <v/>
      </c>
      <c r="P259" s="16">
        <f>IF(C259="","",IF(COUNTIF(C260:C$302,C259)=0,C259,""))</f>
        <v/>
      </c>
      <c r="Q259" s="16">
        <f>IF(C259="","",IFERROR(LEFT(INDEX(Custodia!$U$2:$U$301,MATCH(C259,Custodia!$A$2:$A$301,0)),1),"?"))</f>
        <v/>
      </c>
    </row>
    <row r="260">
      <c r="A260" s="15" t="n"/>
      <c r="B260" s="18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6">
        <f>IF(A260="","",COUNTIF(F260,"A favor")+COUNTIF(H260,"A favor")+COUNTIF(J260,"A favor"))</f>
        <v/>
      </c>
      <c r="L260" s="16">
        <f>IF(A260="","",IF(K260=3,"Sim","Não"))</f>
        <v/>
      </c>
      <c r="M260" s="16">
        <f>IF(C260="","",COUNTIFS(Red_Team!$B$2:$B$301,C260,Red_Team!$I$2:$I$301,"Aberta"))</f>
        <v/>
      </c>
      <c r="N260" s="15" t="n"/>
      <c r="O260" s="16">
        <f>IF(A260="","",IF(M260&gt;0,"NÃO – objeções abertas",IF(AND(D260="Autenticidade confirmada (origem institucional)",Q260&lt;&gt;"A"),"NÃO – exige item classe A",IF(AND(Q260="C",D260&lt;&gt;"Alegação da defesa (classe C)"),"NÃO – item classe C",IF(AND(D260="Alegação da defesa (classe C)",Q260&lt;&gt;"C"),"NÃO – item não é classe C",IF(D260="Indícios técnicos de alteração",IF(L260="Sim","Sim","NÃO – exige unanimidade"),IF(K260&gt;=2,"Sim","NÃO – sem maioria")))))))</f>
        <v/>
      </c>
      <c r="P260" s="16">
        <f>IF(C260="","",IF(COUNTIF(C261:C$302,C260)=0,C260,""))</f>
        <v/>
      </c>
      <c r="Q260" s="16">
        <f>IF(C260="","",IFERROR(LEFT(INDEX(Custodia!$U$2:$U$301,MATCH(C260,Custodia!$A$2:$A$301,0)),1),"?"))</f>
        <v/>
      </c>
    </row>
    <row r="261">
      <c r="A261" s="15" t="n"/>
      <c r="B261" s="18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6">
        <f>IF(A261="","",COUNTIF(F261,"A favor")+COUNTIF(H261,"A favor")+COUNTIF(J261,"A favor"))</f>
        <v/>
      </c>
      <c r="L261" s="16">
        <f>IF(A261="","",IF(K261=3,"Sim","Não"))</f>
        <v/>
      </c>
      <c r="M261" s="16">
        <f>IF(C261="","",COUNTIFS(Red_Team!$B$2:$B$301,C261,Red_Team!$I$2:$I$301,"Aberta"))</f>
        <v/>
      </c>
      <c r="N261" s="15" t="n"/>
      <c r="O261" s="16">
        <f>IF(A261="","",IF(M261&gt;0,"NÃO – objeções abertas",IF(AND(D261="Autenticidade confirmada (origem institucional)",Q261&lt;&gt;"A"),"NÃO – exige item classe A",IF(AND(Q261="C",D261&lt;&gt;"Alegação da defesa (classe C)"),"NÃO – item classe C",IF(AND(D261="Alegação da defesa (classe C)",Q261&lt;&gt;"C"),"NÃO – item não é classe C",IF(D261="Indícios técnicos de alteração",IF(L261="Sim","Sim","NÃO – exige unanimidade"),IF(K261&gt;=2,"Sim","NÃO – sem maioria")))))))</f>
        <v/>
      </c>
      <c r="P261" s="16">
        <f>IF(C261="","",IF(COUNTIF(C262:C$302,C261)=0,C261,""))</f>
        <v/>
      </c>
      <c r="Q261" s="16">
        <f>IF(C261="","",IFERROR(LEFT(INDEX(Custodia!$U$2:$U$301,MATCH(C261,Custodia!$A$2:$A$301,0)),1),"?"))</f>
        <v/>
      </c>
    </row>
    <row r="262">
      <c r="A262" s="15" t="n"/>
      <c r="B262" s="18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6">
        <f>IF(A262="","",COUNTIF(F262,"A favor")+COUNTIF(H262,"A favor")+COUNTIF(J262,"A favor"))</f>
        <v/>
      </c>
      <c r="L262" s="16">
        <f>IF(A262="","",IF(K262=3,"Sim","Não"))</f>
        <v/>
      </c>
      <c r="M262" s="16">
        <f>IF(C262="","",COUNTIFS(Red_Team!$B$2:$B$301,C262,Red_Team!$I$2:$I$301,"Aberta"))</f>
        <v/>
      </c>
      <c r="N262" s="15" t="n"/>
      <c r="O262" s="16">
        <f>IF(A262="","",IF(M262&gt;0,"NÃO – objeções abertas",IF(AND(D262="Autenticidade confirmada (origem institucional)",Q262&lt;&gt;"A"),"NÃO – exige item classe A",IF(AND(Q262="C",D262&lt;&gt;"Alegação da defesa (classe C)"),"NÃO – item classe C",IF(AND(D262="Alegação da defesa (classe C)",Q262&lt;&gt;"C"),"NÃO – item não é classe C",IF(D262="Indícios técnicos de alteração",IF(L262="Sim","Sim","NÃO – exige unanimidade"),IF(K262&gt;=2,"Sim","NÃO – sem maioria")))))))</f>
        <v/>
      </c>
      <c r="P262" s="16">
        <f>IF(C262="","",IF(COUNTIF(C263:C$302,C262)=0,C262,""))</f>
        <v/>
      </c>
      <c r="Q262" s="16">
        <f>IF(C262="","",IFERROR(LEFT(INDEX(Custodia!$U$2:$U$301,MATCH(C262,Custodia!$A$2:$A$301,0)),1),"?"))</f>
        <v/>
      </c>
    </row>
    <row r="263">
      <c r="A263" s="15" t="n"/>
      <c r="B263" s="18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6">
        <f>IF(A263="","",COUNTIF(F263,"A favor")+COUNTIF(H263,"A favor")+COUNTIF(J263,"A favor"))</f>
        <v/>
      </c>
      <c r="L263" s="16">
        <f>IF(A263="","",IF(K263=3,"Sim","Não"))</f>
        <v/>
      </c>
      <c r="M263" s="16">
        <f>IF(C263="","",COUNTIFS(Red_Team!$B$2:$B$301,C263,Red_Team!$I$2:$I$301,"Aberta"))</f>
        <v/>
      </c>
      <c r="N263" s="15" t="n"/>
      <c r="O263" s="16">
        <f>IF(A263="","",IF(M263&gt;0,"NÃO – objeções abertas",IF(AND(D263="Autenticidade confirmada (origem institucional)",Q263&lt;&gt;"A"),"NÃO – exige item classe A",IF(AND(Q263="C",D263&lt;&gt;"Alegação da defesa (classe C)"),"NÃO – item classe C",IF(AND(D263="Alegação da defesa (classe C)",Q263&lt;&gt;"C"),"NÃO – item não é classe C",IF(D263="Indícios técnicos de alteração",IF(L263="Sim","Sim","NÃO – exige unanimidade"),IF(K263&gt;=2,"Sim","NÃO – sem maioria")))))))</f>
        <v/>
      </c>
      <c r="P263" s="16">
        <f>IF(C263="","",IF(COUNTIF(C264:C$302,C263)=0,C263,""))</f>
        <v/>
      </c>
      <c r="Q263" s="16">
        <f>IF(C263="","",IFERROR(LEFT(INDEX(Custodia!$U$2:$U$301,MATCH(C263,Custodia!$A$2:$A$301,0)),1),"?"))</f>
        <v/>
      </c>
    </row>
    <row r="264">
      <c r="A264" s="15" t="n"/>
      <c r="B264" s="18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6">
        <f>IF(A264="","",COUNTIF(F264,"A favor")+COUNTIF(H264,"A favor")+COUNTIF(J264,"A favor"))</f>
        <v/>
      </c>
      <c r="L264" s="16">
        <f>IF(A264="","",IF(K264=3,"Sim","Não"))</f>
        <v/>
      </c>
      <c r="M264" s="16">
        <f>IF(C264="","",COUNTIFS(Red_Team!$B$2:$B$301,C264,Red_Team!$I$2:$I$301,"Aberta"))</f>
        <v/>
      </c>
      <c r="N264" s="15" t="n"/>
      <c r="O264" s="16">
        <f>IF(A264="","",IF(M264&gt;0,"NÃO – objeções abertas",IF(AND(D264="Autenticidade confirmada (origem institucional)",Q264&lt;&gt;"A"),"NÃO – exige item classe A",IF(AND(Q264="C",D264&lt;&gt;"Alegação da defesa (classe C)"),"NÃO – item classe C",IF(AND(D264="Alegação da defesa (classe C)",Q264&lt;&gt;"C"),"NÃO – item não é classe C",IF(D264="Indícios técnicos de alteração",IF(L264="Sim","Sim","NÃO – exige unanimidade"),IF(K264&gt;=2,"Sim","NÃO – sem maioria")))))))</f>
        <v/>
      </c>
      <c r="P264" s="16">
        <f>IF(C264="","",IF(COUNTIF(C265:C$302,C264)=0,C264,""))</f>
        <v/>
      </c>
      <c r="Q264" s="16">
        <f>IF(C264="","",IFERROR(LEFT(INDEX(Custodia!$U$2:$U$301,MATCH(C264,Custodia!$A$2:$A$301,0)),1),"?"))</f>
        <v/>
      </c>
    </row>
    <row r="265">
      <c r="A265" s="15" t="n"/>
      <c r="B265" s="18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6">
        <f>IF(A265="","",COUNTIF(F265,"A favor")+COUNTIF(H265,"A favor")+COUNTIF(J265,"A favor"))</f>
        <v/>
      </c>
      <c r="L265" s="16">
        <f>IF(A265="","",IF(K265=3,"Sim","Não"))</f>
        <v/>
      </c>
      <c r="M265" s="16">
        <f>IF(C265="","",COUNTIFS(Red_Team!$B$2:$B$301,C265,Red_Team!$I$2:$I$301,"Aberta"))</f>
        <v/>
      </c>
      <c r="N265" s="15" t="n"/>
      <c r="O265" s="16">
        <f>IF(A265="","",IF(M265&gt;0,"NÃO – objeções abertas",IF(AND(D265="Autenticidade confirmada (origem institucional)",Q265&lt;&gt;"A"),"NÃO – exige item classe A",IF(AND(Q265="C",D265&lt;&gt;"Alegação da defesa (classe C)"),"NÃO – item classe C",IF(AND(D265="Alegação da defesa (classe C)",Q265&lt;&gt;"C"),"NÃO – item não é classe C",IF(D265="Indícios técnicos de alteração",IF(L265="Sim","Sim","NÃO – exige unanimidade"),IF(K265&gt;=2,"Sim","NÃO – sem maioria")))))))</f>
        <v/>
      </c>
      <c r="P265" s="16">
        <f>IF(C265="","",IF(COUNTIF(C266:C$302,C265)=0,C265,""))</f>
        <v/>
      </c>
      <c r="Q265" s="16">
        <f>IF(C265="","",IFERROR(LEFT(INDEX(Custodia!$U$2:$U$301,MATCH(C265,Custodia!$A$2:$A$301,0)),1),"?"))</f>
        <v/>
      </c>
    </row>
    <row r="266">
      <c r="A266" s="15" t="n"/>
      <c r="B266" s="18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6">
        <f>IF(A266="","",COUNTIF(F266,"A favor")+COUNTIF(H266,"A favor")+COUNTIF(J266,"A favor"))</f>
        <v/>
      </c>
      <c r="L266" s="16">
        <f>IF(A266="","",IF(K266=3,"Sim","Não"))</f>
        <v/>
      </c>
      <c r="M266" s="16">
        <f>IF(C266="","",COUNTIFS(Red_Team!$B$2:$B$301,C266,Red_Team!$I$2:$I$301,"Aberta"))</f>
        <v/>
      </c>
      <c r="N266" s="15" t="n"/>
      <c r="O266" s="16">
        <f>IF(A266="","",IF(M266&gt;0,"NÃO – objeções abertas",IF(AND(D266="Autenticidade confirmada (origem institucional)",Q266&lt;&gt;"A"),"NÃO – exige item classe A",IF(AND(Q266="C",D266&lt;&gt;"Alegação da defesa (classe C)"),"NÃO – item classe C",IF(AND(D266="Alegação da defesa (classe C)",Q266&lt;&gt;"C"),"NÃO – item não é classe C",IF(D266="Indícios técnicos de alteração",IF(L266="Sim","Sim","NÃO – exige unanimidade"),IF(K266&gt;=2,"Sim","NÃO – sem maioria")))))))</f>
        <v/>
      </c>
      <c r="P266" s="16">
        <f>IF(C266="","",IF(COUNTIF(C267:C$302,C266)=0,C266,""))</f>
        <v/>
      </c>
      <c r="Q266" s="16">
        <f>IF(C266="","",IFERROR(LEFT(INDEX(Custodia!$U$2:$U$301,MATCH(C266,Custodia!$A$2:$A$301,0)),1),"?"))</f>
        <v/>
      </c>
    </row>
    <row r="267">
      <c r="A267" s="15" t="n"/>
      <c r="B267" s="18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6">
        <f>IF(A267="","",COUNTIF(F267,"A favor")+COUNTIF(H267,"A favor")+COUNTIF(J267,"A favor"))</f>
        <v/>
      </c>
      <c r="L267" s="16">
        <f>IF(A267="","",IF(K267=3,"Sim","Não"))</f>
        <v/>
      </c>
      <c r="M267" s="16">
        <f>IF(C267="","",COUNTIFS(Red_Team!$B$2:$B$301,C267,Red_Team!$I$2:$I$301,"Aberta"))</f>
        <v/>
      </c>
      <c r="N267" s="15" t="n"/>
      <c r="O267" s="16">
        <f>IF(A267="","",IF(M267&gt;0,"NÃO – objeções abertas",IF(AND(D267="Autenticidade confirmada (origem institucional)",Q267&lt;&gt;"A"),"NÃO – exige item classe A",IF(AND(Q267="C",D267&lt;&gt;"Alegação da defesa (classe C)"),"NÃO – item classe C",IF(AND(D267="Alegação da defesa (classe C)",Q267&lt;&gt;"C"),"NÃO – item não é classe C",IF(D267="Indícios técnicos de alteração",IF(L267="Sim","Sim","NÃO – exige unanimidade"),IF(K267&gt;=2,"Sim","NÃO – sem maioria")))))))</f>
        <v/>
      </c>
      <c r="P267" s="16">
        <f>IF(C267="","",IF(COUNTIF(C268:C$302,C267)=0,C267,""))</f>
        <v/>
      </c>
      <c r="Q267" s="16">
        <f>IF(C267="","",IFERROR(LEFT(INDEX(Custodia!$U$2:$U$301,MATCH(C267,Custodia!$A$2:$A$301,0)),1),"?"))</f>
        <v/>
      </c>
    </row>
    <row r="268">
      <c r="A268" s="15" t="n"/>
      <c r="B268" s="18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6">
        <f>IF(A268="","",COUNTIF(F268,"A favor")+COUNTIF(H268,"A favor")+COUNTIF(J268,"A favor"))</f>
        <v/>
      </c>
      <c r="L268" s="16">
        <f>IF(A268="","",IF(K268=3,"Sim","Não"))</f>
        <v/>
      </c>
      <c r="M268" s="16">
        <f>IF(C268="","",COUNTIFS(Red_Team!$B$2:$B$301,C268,Red_Team!$I$2:$I$301,"Aberta"))</f>
        <v/>
      </c>
      <c r="N268" s="15" t="n"/>
      <c r="O268" s="16">
        <f>IF(A268="","",IF(M268&gt;0,"NÃO – objeções abertas",IF(AND(D268="Autenticidade confirmada (origem institucional)",Q268&lt;&gt;"A"),"NÃO – exige item classe A",IF(AND(Q268="C",D268&lt;&gt;"Alegação da defesa (classe C)"),"NÃO – item classe C",IF(AND(D268="Alegação da defesa (classe C)",Q268&lt;&gt;"C"),"NÃO – item não é classe C",IF(D268="Indícios técnicos de alteração",IF(L268="Sim","Sim","NÃO – exige unanimidade"),IF(K268&gt;=2,"Sim","NÃO – sem maioria")))))))</f>
        <v/>
      </c>
      <c r="P268" s="16">
        <f>IF(C268="","",IF(COUNTIF(C269:C$302,C268)=0,C268,""))</f>
        <v/>
      </c>
      <c r="Q268" s="16">
        <f>IF(C268="","",IFERROR(LEFT(INDEX(Custodia!$U$2:$U$301,MATCH(C268,Custodia!$A$2:$A$301,0)),1),"?"))</f>
        <v/>
      </c>
    </row>
    <row r="269">
      <c r="A269" s="15" t="n"/>
      <c r="B269" s="18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6">
        <f>IF(A269="","",COUNTIF(F269,"A favor")+COUNTIF(H269,"A favor")+COUNTIF(J269,"A favor"))</f>
        <v/>
      </c>
      <c r="L269" s="16">
        <f>IF(A269="","",IF(K269=3,"Sim","Não"))</f>
        <v/>
      </c>
      <c r="M269" s="16">
        <f>IF(C269="","",COUNTIFS(Red_Team!$B$2:$B$301,C269,Red_Team!$I$2:$I$301,"Aberta"))</f>
        <v/>
      </c>
      <c r="N269" s="15" t="n"/>
      <c r="O269" s="16">
        <f>IF(A269="","",IF(M269&gt;0,"NÃO – objeções abertas",IF(AND(D269="Autenticidade confirmada (origem institucional)",Q269&lt;&gt;"A"),"NÃO – exige item classe A",IF(AND(Q269="C",D269&lt;&gt;"Alegação da defesa (classe C)"),"NÃO – item classe C",IF(AND(D269="Alegação da defesa (classe C)",Q269&lt;&gt;"C"),"NÃO – item não é classe C",IF(D269="Indícios técnicos de alteração",IF(L269="Sim","Sim","NÃO – exige unanimidade"),IF(K269&gt;=2,"Sim","NÃO – sem maioria")))))))</f>
        <v/>
      </c>
      <c r="P269" s="16">
        <f>IF(C269="","",IF(COUNTIF(C270:C$302,C269)=0,C269,""))</f>
        <v/>
      </c>
      <c r="Q269" s="16">
        <f>IF(C269="","",IFERROR(LEFT(INDEX(Custodia!$U$2:$U$301,MATCH(C269,Custodia!$A$2:$A$301,0)),1),"?"))</f>
        <v/>
      </c>
    </row>
    <row r="270">
      <c r="A270" s="15" t="n"/>
      <c r="B270" s="18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6">
        <f>IF(A270="","",COUNTIF(F270,"A favor")+COUNTIF(H270,"A favor")+COUNTIF(J270,"A favor"))</f>
        <v/>
      </c>
      <c r="L270" s="16">
        <f>IF(A270="","",IF(K270=3,"Sim","Não"))</f>
        <v/>
      </c>
      <c r="M270" s="16">
        <f>IF(C270="","",COUNTIFS(Red_Team!$B$2:$B$301,C270,Red_Team!$I$2:$I$301,"Aberta"))</f>
        <v/>
      </c>
      <c r="N270" s="15" t="n"/>
      <c r="O270" s="16">
        <f>IF(A270="","",IF(M270&gt;0,"NÃO – objeções abertas",IF(AND(D270="Autenticidade confirmada (origem institucional)",Q270&lt;&gt;"A"),"NÃO – exige item classe A",IF(AND(Q270="C",D270&lt;&gt;"Alegação da defesa (classe C)"),"NÃO – item classe C",IF(AND(D270="Alegação da defesa (classe C)",Q270&lt;&gt;"C"),"NÃO – item não é classe C",IF(D270="Indícios técnicos de alteração",IF(L270="Sim","Sim","NÃO – exige unanimidade"),IF(K270&gt;=2,"Sim","NÃO – sem maioria")))))))</f>
        <v/>
      </c>
      <c r="P270" s="16">
        <f>IF(C270="","",IF(COUNTIF(C271:C$302,C270)=0,C270,""))</f>
        <v/>
      </c>
      <c r="Q270" s="16">
        <f>IF(C270="","",IFERROR(LEFT(INDEX(Custodia!$U$2:$U$301,MATCH(C270,Custodia!$A$2:$A$301,0)),1),"?"))</f>
        <v/>
      </c>
    </row>
    <row r="271">
      <c r="A271" s="15" t="n"/>
      <c r="B271" s="18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6">
        <f>IF(A271="","",COUNTIF(F271,"A favor")+COUNTIF(H271,"A favor")+COUNTIF(J271,"A favor"))</f>
        <v/>
      </c>
      <c r="L271" s="16">
        <f>IF(A271="","",IF(K271=3,"Sim","Não"))</f>
        <v/>
      </c>
      <c r="M271" s="16">
        <f>IF(C271="","",COUNTIFS(Red_Team!$B$2:$B$301,C271,Red_Team!$I$2:$I$301,"Aberta"))</f>
        <v/>
      </c>
      <c r="N271" s="15" t="n"/>
      <c r="O271" s="16">
        <f>IF(A271="","",IF(M271&gt;0,"NÃO – objeções abertas",IF(AND(D271="Autenticidade confirmada (origem institucional)",Q271&lt;&gt;"A"),"NÃO – exige item classe A",IF(AND(Q271="C",D271&lt;&gt;"Alegação da defesa (classe C)"),"NÃO – item classe C",IF(AND(D271="Alegação da defesa (classe C)",Q271&lt;&gt;"C"),"NÃO – item não é classe C",IF(D271="Indícios técnicos de alteração",IF(L271="Sim","Sim","NÃO – exige unanimidade"),IF(K271&gt;=2,"Sim","NÃO – sem maioria")))))))</f>
        <v/>
      </c>
      <c r="P271" s="16">
        <f>IF(C271="","",IF(COUNTIF(C272:C$302,C271)=0,C271,""))</f>
        <v/>
      </c>
      <c r="Q271" s="16">
        <f>IF(C271="","",IFERROR(LEFT(INDEX(Custodia!$U$2:$U$301,MATCH(C271,Custodia!$A$2:$A$301,0)),1),"?"))</f>
        <v/>
      </c>
    </row>
    <row r="272">
      <c r="A272" s="15" t="n"/>
      <c r="B272" s="18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6">
        <f>IF(A272="","",COUNTIF(F272,"A favor")+COUNTIF(H272,"A favor")+COUNTIF(J272,"A favor"))</f>
        <v/>
      </c>
      <c r="L272" s="16">
        <f>IF(A272="","",IF(K272=3,"Sim","Não"))</f>
        <v/>
      </c>
      <c r="M272" s="16">
        <f>IF(C272="","",COUNTIFS(Red_Team!$B$2:$B$301,C272,Red_Team!$I$2:$I$301,"Aberta"))</f>
        <v/>
      </c>
      <c r="N272" s="15" t="n"/>
      <c r="O272" s="16">
        <f>IF(A272="","",IF(M272&gt;0,"NÃO – objeções abertas",IF(AND(D272="Autenticidade confirmada (origem institucional)",Q272&lt;&gt;"A"),"NÃO – exige item classe A",IF(AND(Q272="C",D272&lt;&gt;"Alegação da defesa (classe C)"),"NÃO – item classe C",IF(AND(D272="Alegação da defesa (classe C)",Q272&lt;&gt;"C"),"NÃO – item não é classe C",IF(D272="Indícios técnicos de alteração",IF(L272="Sim","Sim","NÃO – exige unanimidade"),IF(K272&gt;=2,"Sim","NÃO – sem maioria")))))))</f>
        <v/>
      </c>
      <c r="P272" s="16">
        <f>IF(C272="","",IF(COUNTIF(C273:C$302,C272)=0,C272,""))</f>
        <v/>
      </c>
      <c r="Q272" s="16">
        <f>IF(C272="","",IFERROR(LEFT(INDEX(Custodia!$U$2:$U$301,MATCH(C272,Custodia!$A$2:$A$301,0)),1),"?"))</f>
        <v/>
      </c>
    </row>
    <row r="273">
      <c r="A273" s="15" t="n"/>
      <c r="B273" s="18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6">
        <f>IF(A273="","",COUNTIF(F273,"A favor")+COUNTIF(H273,"A favor")+COUNTIF(J273,"A favor"))</f>
        <v/>
      </c>
      <c r="L273" s="16">
        <f>IF(A273="","",IF(K273=3,"Sim","Não"))</f>
        <v/>
      </c>
      <c r="M273" s="16">
        <f>IF(C273="","",COUNTIFS(Red_Team!$B$2:$B$301,C273,Red_Team!$I$2:$I$301,"Aberta"))</f>
        <v/>
      </c>
      <c r="N273" s="15" t="n"/>
      <c r="O273" s="16">
        <f>IF(A273="","",IF(M273&gt;0,"NÃO – objeções abertas",IF(AND(D273="Autenticidade confirmada (origem institucional)",Q273&lt;&gt;"A"),"NÃO – exige item classe A",IF(AND(Q273="C",D273&lt;&gt;"Alegação da defesa (classe C)"),"NÃO – item classe C",IF(AND(D273="Alegação da defesa (classe C)",Q273&lt;&gt;"C"),"NÃO – item não é classe C",IF(D273="Indícios técnicos de alteração",IF(L273="Sim","Sim","NÃO – exige unanimidade"),IF(K273&gt;=2,"Sim","NÃO – sem maioria")))))))</f>
        <v/>
      </c>
      <c r="P273" s="16">
        <f>IF(C273="","",IF(COUNTIF(C274:C$302,C273)=0,C273,""))</f>
        <v/>
      </c>
      <c r="Q273" s="16">
        <f>IF(C273="","",IFERROR(LEFT(INDEX(Custodia!$U$2:$U$301,MATCH(C273,Custodia!$A$2:$A$301,0)),1),"?"))</f>
        <v/>
      </c>
    </row>
    <row r="274">
      <c r="A274" s="15" t="n"/>
      <c r="B274" s="18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6">
        <f>IF(A274="","",COUNTIF(F274,"A favor")+COUNTIF(H274,"A favor")+COUNTIF(J274,"A favor"))</f>
        <v/>
      </c>
      <c r="L274" s="16">
        <f>IF(A274="","",IF(K274=3,"Sim","Não"))</f>
        <v/>
      </c>
      <c r="M274" s="16">
        <f>IF(C274="","",COUNTIFS(Red_Team!$B$2:$B$301,C274,Red_Team!$I$2:$I$301,"Aberta"))</f>
        <v/>
      </c>
      <c r="N274" s="15" t="n"/>
      <c r="O274" s="16">
        <f>IF(A274="","",IF(M274&gt;0,"NÃO – objeções abertas",IF(AND(D274="Autenticidade confirmada (origem institucional)",Q274&lt;&gt;"A"),"NÃO – exige item classe A",IF(AND(Q274="C",D274&lt;&gt;"Alegação da defesa (classe C)"),"NÃO – item classe C",IF(AND(D274="Alegação da defesa (classe C)",Q274&lt;&gt;"C"),"NÃO – item não é classe C",IF(D274="Indícios técnicos de alteração",IF(L274="Sim","Sim","NÃO – exige unanimidade"),IF(K274&gt;=2,"Sim","NÃO – sem maioria")))))))</f>
        <v/>
      </c>
      <c r="P274" s="16">
        <f>IF(C274="","",IF(COUNTIF(C275:C$302,C274)=0,C274,""))</f>
        <v/>
      </c>
      <c r="Q274" s="16">
        <f>IF(C274="","",IFERROR(LEFT(INDEX(Custodia!$U$2:$U$301,MATCH(C274,Custodia!$A$2:$A$301,0)),1),"?"))</f>
        <v/>
      </c>
    </row>
    <row r="275">
      <c r="A275" s="15" t="n"/>
      <c r="B275" s="18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6">
        <f>IF(A275="","",COUNTIF(F275,"A favor")+COUNTIF(H275,"A favor")+COUNTIF(J275,"A favor"))</f>
        <v/>
      </c>
      <c r="L275" s="16">
        <f>IF(A275="","",IF(K275=3,"Sim","Não"))</f>
        <v/>
      </c>
      <c r="M275" s="16">
        <f>IF(C275="","",COUNTIFS(Red_Team!$B$2:$B$301,C275,Red_Team!$I$2:$I$301,"Aberta"))</f>
        <v/>
      </c>
      <c r="N275" s="15" t="n"/>
      <c r="O275" s="16">
        <f>IF(A275="","",IF(M275&gt;0,"NÃO – objeções abertas",IF(AND(D275="Autenticidade confirmada (origem institucional)",Q275&lt;&gt;"A"),"NÃO – exige item classe A",IF(AND(Q275="C",D275&lt;&gt;"Alegação da defesa (classe C)"),"NÃO – item classe C",IF(AND(D275="Alegação da defesa (classe C)",Q275&lt;&gt;"C"),"NÃO – item não é classe C",IF(D275="Indícios técnicos de alteração",IF(L275="Sim","Sim","NÃO – exige unanimidade"),IF(K275&gt;=2,"Sim","NÃO – sem maioria")))))))</f>
        <v/>
      </c>
      <c r="P275" s="16">
        <f>IF(C275="","",IF(COUNTIF(C276:C$302,C275)=0,C275,""))</f>
        <v/>
      </c>
      <c r="Q275" s="16">
        <f>IF(C275="","",IFERROR(LEFT(INDEX(Custodia!$U$2:$U$301,MATCH(C275,Custodia!$A$2:$A$301,0)),1),"?"))</f>
        <v/>
      </c>
    </row>
    <row r="276">
      <c r="A276" s="15" t="n"/>
      <c r="B276" s="18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6">
        <f>IF(A276="","",COUNTIF(F276,"A favor")+COUNTIF(H276,"A favor")+COUNTIF(J276,"A favor"))</f>
        <v/>
      </c>
      <c r="L276" s="16">
        <f>IF(A276="","",IF(K276=3,"Sim","Não"))</f>
        <v/>
      </c>
      <c r="M276" s="16">
        <f>IF(C276="","",COUNTIFS(Red_Team!$B$2:$B$301,C276,Red_Team!$I$2:$I$301,"Aberta"))</f>
        <v/>
      </c>
      <c r="N276" s="15" t="n"/>
      <c r="O276" s="16">
        <f>IF(A276="","",IF(M276&gt;0,"NÃO – objeções abertas",IF(AND(D276="Autenticidade confirmada (origem institucional)",Q276&lt;&gt;"A"),"NÃO – exige item classe A",IF(AND(Q276="C",D276&lt;&gt;"Alegação da defesa (classe C)"),"NÃO – item classe C",IF(AND(D276="Alegação da defesa (classe C)",Q276&lt;&gt;"C"),"NÃO – item não é classe C",IF(D276="Indícios técnicos de alteração",IF(L276="Sim","Sim","NÃO – exige unanimidade"),IF(K276&gt;=2,"Sim","NÃO – sem maioria")))))))</f>
        <v/>
      </c>
      <c r="P276" s="16">
        <f>IF(C276="","",IF(COUNTIF(C277:C$302,C276)=0,C276,""))</f>
        <v/>
      </c>
      <c r="Q276" s="16">
        <f>IF(C276="","",IFERROR(LEFT(INDEX(Custodia!$U$2:$U$301,MATCH(C276,Custodia!$A$2:$A$301,0)),1),"?"))</f>
        <v/>
      </c>
    </row>
    <row r="277">
      <c r="A277" s="15" t="n"/>
      <c r="B277" s="18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6">
        <f>IF(A277="","",COUNTIF(F277,"A favor")+COUNTIF(H277,"A favor")+COUNTIF(J277,"A favor"))</f>
        <v/>
      </c>
      <c r="L277" s="16">
        <f>IF(A277="","",IF(K277=3,"Sim","Não"))</f>
        <v/>
      </c>
      <c r="M277" s="16">
        <f>IF(C277="","",COUNTIFS(Red_Team!$B$2:$B$301,C277,Red_Team!$I$2:$I$301,"Aberta"))</f>
        <v/>
      </c>
      <c r="N277" s="15" t="n"/>
      <c r="O277" s="16">
        <f>IF(A277="","",IF(M277&gt;0,"NÃO – objeções abertas",IF(AND(D277="Autenticidade confirmada (origem institucional)",Q277&lt;&gt;"A"),"NÃO – exige item classe A",IF(AND(Q277="C",D277&lt;&gt;"Alegação da defesa (classe C)"),"NÃO – item classe C",IF(AND(D277="Alegação da defesa (classe C)",Q277&lt;&gt;"C"),"NÃO – item não é classe C",IF(D277="Indícios técnicos de alteração",IF(L277="Sim","Sim","NÃO – exige unanimidade"),IF(K277&gt;=2,"Sim","NÃO – sem maioria")))))))</f>
        <v/>
      </c>
      <c r="P277" s="16">
        <f>IF(C277="","",IF(COUNTIF(C278:C$302,C277)=0,C277,""))</f>
        <v/>
      </c>
      <c r="Q277" s="16">
        <f>IF(C277="","",IFERROR(LEFT(INDEX(Custodia!$U$2:$U$301,MATCH(C277,Custodia!$A$2:$A$301,0)),1),"?"))</f>
        <v/>
      </c>
    </row>
    <row r="278">
      <c r="A278" s="15" t="n"/>
      <c r="B278" s="18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6">
        <f>IF(A278="","",COUNTIF(F278,"A favor")+COUNTIF(H278,"A favor")+COUNTIF(J278,"A favor"))</f>
        <v/>
      </c>
      <c r="L278" s="16">
        <f>IF(A278="","",IF(K278=3,"Sim","Não"))</f>
        <v/>
      </c>
      <c r="M278" s="16">
        <f>IF(C278="","",COUNTIFS(Red_Team!$B$2:$B$301,C278,Red_Team!$I$2:$I$301,"Aberta"))</f>
        <v/>
      </c>
      <c r="N278" s="15" t="n"/>
      <c r="O278" s="16">
        <f>IF(A278="","",IF(M278&gt;0,"NÃO – objeções abertas",IF(AND(D278="Autenticidade confirmada (origem institucional)",Q278&lt;&gt;"A"),"NÃO – exige item classe A",IF(AND(Q278="C",D278&lt;&gt;"Alegação da defesa (classe C)"),"NÃO – item classe C",IF(AND(D278="Alegação da defesa (classe C)",Q278&lt;&gt;"C"),"NÃO – item não é classe C",IF(D278="Indícios técnicos de alteração",IF(L278="Sim","Sim","NÃO – exige unanimidade"),IF(K278&gt;=2,"Sim","NÃO – sem maioria")))))))</f>
        <v/>
      </c>
      <c r="P278" s="16">
        <f>IF(C278="","",IF(COUNTIF(C279:C$302,C278)=0,C278,""))</f>
        <v/>
      </c>
      <c r="Q278" s="16">
        <f>IF(C278="","",IFERROR(LEFT(INDEX(Custodia!$U$2:$U$301,MATCH(C278,Custodia!$A$2:$A$301,0)),1),"?"))</f>
        <v/>
      </c>
    </row>
    <row r="279">
      <c r="A279" s="15" t="n"/>
      <c r="B279" s="18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6">
        <f>IF(A279="","",COUNTIF(F279,"A favor")+COUNTIF(H279,"A favor")+COUNTIF(J279,"A favor"))</f>
        <v/>
      </c>
      <c r="L279" s="16">
        <f>IF(A279="","",IF(K279=3,"Sim","Não"))</f>
        <v/>
      </c>
      <c r="M279" s="16">
        <f>IF(C279="","",COUNTIFS(Red_Team!$B$2:$B$301,C279,Red_Team!$I$2:$I$301,"Aberta"))</f>
        <v/>
      </c>
      <c r="N279" s="15" t="n"/>
      <c r="O279" s="16">
        <f>IF(A279="","",IF(M279&gt;0,"NÃO – objeções abertas",IF(AND(D279="Autenticidade confirmada (origem institucional)",Q279&lt;&gt;"A"),"NÃO – exige item classe A",IF(AND(Q279="C",D279&lt;&gt;"Alegação da defesa (classe C)"),"NÃO – item classe C",IF(AND(D279="Alegação da defesa (classe C)",Q279&lt;&gt;"C"),"NÃO – item não é classe C",IF(D279="Indícios técnicos de alteração",IF(L279="Sim","Sim","NÃO – exige unanimidade"),IF(K279&gt;=2,"Sim","NÃO – sem maioria")))))))</f>
        <v/>
      </c>
      <c r="P279" s="16">
        <f>IF(C279="","",IF(COUNTIF(C280:C$302,C279)=0,C279,""))</f>
        <v/>
      </c>
      <c r="Q279" s="16">
        <f>IF(C279="","",IFERROR(LEFT(INDEX(Custodia!$U$2:$U$301,MATCH(C279,Custodia!$A$2:$A$301,0)),1),"?"))</f>
        <v/>
      </c>
    </row>
    <row r="280">
      <c r="A280" s="15" t="n"/>
      <c r="B280" s="18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6">
        <f>IF(A280="","",COUNTIF(F280,"A favor")+COUNTIF(H280,"A favor")+COUNTIF(J280,"A favor"))</f>
        <v/>
      </c>
      <c r="L280" s="16">
        <f>IF(A280="","",IF(K280=3,"Sim","Não"))</f>
        <v/>
      </c>
      <c r="M280" s="16">
        <f>IF(C280="","",COUNTIFS(Red_Team!$B$2:$B$301,C280,Red_Team!$I$2:$I$301,"Aberta"))</f>
        <v/>
      </c>
      <c r="N280" s="15" t="n"/>
      <c r="O280" s="16">
        <f>IF(A280="","",IF(M280&gt;0,"NÃO – objeções abertas",IF(AND(D280="Autenticidade confirmada (origem institucional)",Q280&lt;&gt;"A"),"NÃO – exige item classe A",IF(AND(Q280="C",D280&lt;&gt;"Alegação da defesa (classe C)"),"NÃO – item classe C",IF(AND(D280="Alegação da defesa (classe C)",Q280&lt;&gt;"C"),"NÃO – item não é classe C",IF(D280="Indícios técnicos de alteração",IF(L280="Sim","Sim","NÃO – exige unanimidade"),IF(K280&gt;=2,"Sim","NÃO – sem maioria")))))))</f>
        <v/>
      </c>
      <c r="P280" s="16">
        <f>IF(C280="","",IF(COUNTIF(C281:C$302,C280)=0,C280,""))</f>
        <v/>
      </c>
      <c r="Q280" s="16">
        <f>IF(C280="","",IFERROR(LEFT(INDEX(Custodia!$U$2:$U$301,MATCH(C280,Custodia!$A$2:$A$301,0)),1),"?"))</f>
        <v/>
      </c>
    </row>
    <row r="281">
      <c r="A281" s="15" t="n"/>
      <c r="B281" s="18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6">
        <f>IF(A281="","",COUNTIF(F281,"A favor")+COUNTIF(H281,"A favor")+COUNTIF(J281,"A favor"))</f>
        <v/>
      </c>
      <c r="L281" s="16">
        <f>IF(A281="","",IF(K281=3,"Sim","Não"))</f>
        <v/>
      </c>
      <c r="M281" s="16">
        <f>IF(C281="","",COUNTIFS(Red_Team!$B$2:$B$301,C281,Red_Team!$I$2:$I$301,"Aberta"))</f>
        <v/>
      </c>
      <c r="N281" s="15" t="n"/>
      <c r="O281" s="16">
        <f>IF(A281="","",IF(M281&gt;0,"NÃO – objeções abertas",IF(AND(D281="Autenticidade confirmada (origem institucional)",Q281&lt;&gt;"A"),"NÃO – exige item classe A",IF(AND(Q281="C",D281&lt;&gt;"Alegação da defesa (classe C)"),"NÃO – item classe C",IF(AND(D281="Alegação da defesa (classe C)",Q281&lt;&gt;"C"),"NÃO – item não é classe C",IF(D281="Indícios técnicos de alteração",IF(L281="Sim","Sim","NÃO – exige unanimidade"),IF(K281&gt;=2,"Sim","NÃO – sem maioria")))))))</f>
        <v/>
      </c>
      <c r="P281" s="16">
        <f>IF(C281="","",IF(COUNTIF(C282:C$302,C281)=0,C281,""))</f>
        <v/>
      </c>
      <c r="Q281" s="16">
        <f>IF(C281="","",IFERROR(LEFT(INDEX(Custodia!$U$2:$U$301,MATCH(C281,Custodia!$A$2:$A$301,0)),1),"?"))</f>
        <v/>
      </c>
    </row>
    <row r="282">
      <c r="A282" s="15" t="n"/>
      <c r="B282" s="18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6">
        <f>IF(A282="","",COUNTIF(F282,"A favor")+COUNTIF(H282,"A favor")+COUNTIF(J282,"A favor"))</f>
        <v/>
      </c>
      <c r="L282" s="16">
        <f>IF(A282="","",IF(K282=3,"Sim","Não"))</f>
        <v/>
      </c>
      <c r="M282" s="16">
        <f>IF(C282="","",COUNTIFS(Red_Team!$B$2:$B$301,C282,Red_Team!$I$2:$I$301,"Aberta"))</f>
        <v/>
      </c>
      <c r="N282" s="15" t="n"/>
      <c r="O282" s="16">
        <f>IF(A282="","",IF(M282&gt;0,"NÃO – objeções abertas",IF(AND(D282="Autenticidade confirmada (origem institucional)",Q282&lt;&gt;"A"),"NÃO – exige item classe A",IF(AND(Q282="C",D282&lt;&gt;"Alegação da defesa (classe C)"),"NÃO – item classe C",IF(AND(D282="Alegação da defesa (classe C)",Q282&lt;&gt;"C"),"NÃO – item não é classe C",IF(D282="Indícios técnicos de alteração",IF(L282="Sim","Sim","NÃO – exige unanimidade"),IF(K282&gt;=2,"Sim","NÃO – sem maioria")))))))</f>
        <v/>
      </c>
      <c r="P282" s="16">
        <f>IF(C282="","",IF(COUNTIF(C283:C$302,C282)=0,C282,""))</f>
        <v/>
      </c>
      <c r="Q282" s="16">
        <f>IF(C282="","",IFERROR(LEFT(INDEX(Custodia!$U$2:$U$301,MATCH(C282,Custodia!$A$2:$A$301,0)),1),"?"))</f>
        <v/>
      </c>
    </row>
    <row r="283">
      <c r="A283" s="15" t="n"/>
      <c r="B283" s="18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6">
        <f>IF(A283="","",COUNTIF(F283,"A favor")+COUNTIF(H283,"A favor")+COUNTIF(J283,"A favor"))</f>
        <v/>
      </c>
      <c r="L283" s="16">
        <f>IF(A283="","",IF(K283=3,"Sim","Não"))</f>
        <v/>
      </c>
      <c r="M283" s="16">
        <f>IF(C283="","",COUNTIFS(Red_Team!$B$2:$B$301,C283,Red_Team!$I$2:$I$301,"Aberta"))</f>
        <v/>
      </c>
      <c r="N283" s="15" t="n"/>
      <c r="O283" s="16">
        <f>IF(A283="","",IF(M283&gt;0,"NÃO – objeções abertas",IF(AND(D283="Autenticidade confirmada (origem institucional)",Q283&lt;&gt;"A"),"NÃO – exige item classe A",IF(AND(Q283="C",D283&lt;&gt;"Alegação da defesa (classe C)"),"NÃO – item classe C",IF(AND(D283="Alegação da defesa (classe C)",Q283&lt;&gt;"C"),"NÃO – item não é classe C",IF(D283="Indícios técnicos de alteração",IF(L283="Sim","Sim","NÃO – exige unanimidade"),IF(K283&gt;=2,"Sim","NÃO – sem maioria")))))))</f>
        <v/>
      </c>
      <c r="P283" s="16">
        <f>IF(C283="","",IF(COUNTIF(C284:C$302,C283)=0,C283,""))</f>
        <v/>
      </c>
      <c r="Q283" s="16">
        <f>IF(C283="","",IFERROR(LEFT(INDEX(Custodia!$U$2:$U$301,MATCH(C283,Custodia!$A$2:$A$301,0)),1),"?"))</f>
        <v/>
      </c>
    </row>
    <row r="284">
      <c r="A284" s="15" t="n"/>
      <c r="B284" s="18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6">
        <f>IF(A284="","",COUNTIF(F284,"A favor")+COUNTIF(H284,"A favor")+COUNTIF(J284,"A favor"))</f>
        <v/>
      </c>
      <c r="L284" s="16">
        <f>IF(A284="","",IF(K284=3,"Sim","Não"))</f>
        <v/>
      </c>
      <c r="M284" s="16">
        <f>IF(C284="","",COUNTIFS(Red_Team!$B$2:$B$301,C284,Red_Team!$I$2:$I$301,"Aberta"))</f>
        <v/>
      </c>
      <c r="N284" s="15" t="n"/>
      <c r="O284" s="16">
        <f>IF(A284="","",IF(M284&gt;0,"NÃO – objeções abertas",IF(AND(D284="Autenticidade confirmada (origem institucional)",Q284&lt;&gt;"A"),"NÃO – exige item classe A",IF(AND(Q284="C",D284&lt;&gt;"Alegação da defesa (classe C)"),"NÃO – item classe C",IF(AND(D284="Alegação da defesa (classe C)",Q284&lt;&gt;"C"),"NÃO – item não é classe C",IF(D284="Indícios técnicos de alteração",IF(L284="Sim","Sim","NÃO – exige unanimidade"),IF(K284&gt;=2,"Sim","NÃO – sem maioria")))))))</f>
        <v/>
      </c>
      <c r="P284" s="16">
        <f>IF(C284="","",IF(COUNTIF(C285:C$302,C284)=0,C284,""))</f>
        <v/>
      </c>
      <c r="Q284" s="16">
        <f>IF(C284="","",IFERROR(LEFT(INDEX(Custodia!$U$2:$U$301,MATCH(C284,Custodia!$A$2:$A$301,0)),1),"?"))</f>
        <v/>
      </c>
    </row>
    <row r="285">
      <c r="A285" s="15" t="n"/>
      <c r="B285" s="18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6">
        <f>IF(A285="","",COUNTIF(F285,"A favor")+COUNTIF(H285,"A favor")+COUNTIF(J285,"A favor"))</f>
        <v/>
      </c>
      <c r="L285" s="16">
        <f>IF(A285="","",IF(K285=3,"Sim","Não"))</f>
        <v/>
      </c>
      <c r="M285" s="16">
        <f>IF(C285="","",COUNTIFS(Red_Team!$B$2:$B$301,C285,Red_Team!$I$2:$I$301,"Aberta"))</f>
        <v/>
      </c>
      <c r="N285" s="15" t="n"/>
      <c r="O285" s="16">
        <f>IF(A285="","",IF(M285&gt;0,"NÃO – objeções abertas",IF(AND(D285="Autenticidade confirmada (origem institucional)",Q285&lt;&gt;"A"),"NÃO – exige item classe A",IF(AND(Q285="C",D285&lt;&gt;"Alegação da defesa (classe C)"),"NÃO – item classe C",IF(AND(D285="Alegação da defesa (classe C)",Q285&lt;&gt;"C"),"NÃO – item não é classe C",IF(D285="Indícios técnicos de alteração",IF(L285="Sim","Sim","NÃO – exige unanimidade"),IF(K285&gt;=2,"Sim","NÃO – sem maioria")))))))</f>
        <v/>
      </c>
      <c r="P285" s="16">
        <f>IF(C285="","",IF(COUNTIF(C286:C$302,C285)=0,C285,""))</f>
        <v/>
      </c>
      <c r="Q285" s="16">
        <f>IF(C285="","",IFERROR(LEFT(INDEX(Custodia!$U$2:$U$301,MATCH(C285,Custodia!$A$2:$A$301,0)),1),"?"))</f>
        <v/>
      </c>
    </row>
    <row r="286">
      <c r="A286" s="15" t="n"/>
      <c r="B286" s="18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6">
        <f>IF(A286="","",COUNTIF(F286,"A favor")+COUNTIF(H286,"A favor")+COUNTIF(J286,"A favor"))</f>
        <v/>
      </c>
      <c r="L286" s="16">
        <f>IF(A286="","",IF(K286=3,"Sim","Não"))</f>
        <v/>
      </c>
      <c r="M286" s="16">
        <f>IF(C286="","",COUNTIFS(Red_Team!$B$2:$B$301,C286,Red_Team!$I$2:$I$301,"Aberta"))</f>
        <v/>
      </c>
      <c r="N286" s="15" t="n"/>
      <c r="O286" s="16">
        <f>IF(A286="","",IF(M286&gt;0,"NÃO – objeções abertas",IF(AND(D286="Autenticidade confirmada (origem institucional)",Q286&lt;&gt;"A"),"NÃO – exige item classe A",IF(AND(Q286="C",D286&lt;&gt;"Alegação da defesa (classe C)"),"NÃO – item classe C",IF(AND(D286="Alegação da defesa (classe C)",Q286&lt;&gt;"C"),"NÃO – item não é classe C",IF(D286="Indícios técnicos de alteração",IF(L286="Sim","Sim","NÃO – exige unanimidade"),IF(K286&gt;=2,"Sim","NÃO – sem maioria")))))))</f>
        <v/>
      </c>
      <c r="P286" s="16">
        <f>IF(C286="","",IF(COUNTIF(C287:C$302,C286)=0,C286,""))</f>
        <v/>
      </c>
      <c r="Q286" s="16">
        <f>IF(C286="","",IFERROR(LEFT(INDEX(Custodia!$U$2:$U$301,MATCH(C286,Custodia!$A$2:$A$301,0)),1),"?"))</f>
        <v/>
      </c>
    </row>
    <row r="287">
      <c r="A287" s="15" t="n"/>
      <c r="B287" s="18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6">
        <f>IF(A287="","",COUNTIF(F287,"A favor")+COUNTIF(H287,"A favor")+COUNTIF(J287,"A favor"))</f>
        <v/>
      </c>
      <c r="L287" s="16">
        <f>IF(A287="","",IF(K287=3,"Sim","Não"))</f>
        <v/>
      </c>
      <c r="M287" s="16">
        <f>IF(C287="","",COUNTIFS(Red_Team!$B$2:$B$301,C287,Red_Team!$I$2:$I$301,"Aberta"))</f>
        <v/>
      </c>
      <c r="N287" s="15" t="n"/>
      <c r="O287" s="16">
        <f>IF(A287="","",IF(M287&gt;0,"NÃO – objeções abertas",IF(AND(D287="Autenticidade confirmada (origem institucional)",Q287&lt;&gt;"A"),"NÃO – exige item classe A",IF(AND(Q287="C",D287&lt;&gt;"Alegação da defesa (classe C)"),"NÃO – item classe C",IF(AND(D287="Alegação da defesa (classe C)",Q287&lt;&gt;"C"),"NÃO – item não é classe C",IF(D287="Indícios técnicos de alteração",IF(L287="Sim","Sim","NÃO – exige unanimidade"),IF(K287&gt;=2,"Sim","NÃO – sem maioria")))))))</f>
        <v/>
      </c>
      <c r="P287" s="16">
        <f>IF(C287="","",IF(COUNTIF(C288:C$302,C287)=0,C287,""))</f>
        <v/>
      </c>
      <c r="Q287" s="16">
        <f>IF(C287="","",IFERROR(LEFT(INDEX(Custodia!$U$2:$U$301,MATCH(C287,Custodia!$A$2:$A$301,0)),1),"?"))</f>
        <v/>
      </c>
    </row>
    <row r="288">
      <c r="A288" s="15" t="n"/>
      <c r="B288" s="18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6">
        <f>IF(A288="","",COUNTIF(F288,"A favor")+COUNTIF(H288,"A favor")+COUNTIF(J288,"A favor"))</f>
        <v/>
      </c>
      <c r="L288" s="16">
        <f>IF(A288="","",IF(K288=3,"Sim","Não"))</f>
        <v/>
      </c>
      <c r="M288" s="16">
        <f>IF(C288="","",COUNTIFS(Red_Team!$B$2:$B$301,C288,Red_Team!$I$2:$I$301,"Aberta"))</f>
        <v/>
      </c>
      <c r="N288" s="15" t="n"/>
      <c r="O288" s="16">
        <f>IF(A288="","",IF(M288&gt;0,"NÃO – objeções abertas",IF(AND(D288="Autenticidade confirmada (origem institucional)",Q288&lt;&gt;"A"),"NÃO – exige item classe A",IF(AND(Q288="C",D288&lt;&gt;"Alegação da defesa (classe C)"),"NÃO – item classe C",IF(AND(D288="Alegação da defesa (classe C)",Q288&lt;&gt;"C"),"NÃO – item não é classe C",IF(D288="Indícios técnicos de alteração",IF(L288="Sim","Sim","NÃO – exige unanimidade"),IF(K288&gt;=2,"Sim","NÃO – sem maioria")))))))</f>
        <v/>
      </c>
      <c r="P288" s="16">
        <f>IF(C288="","",IF(COUNTIF(C289:C$302,C288)=0,C288,""))</f>
        <v/>
      </c>
      <c r="Q288" s="16">
        <f>IF(C288="","",IFERROR(LEFT(INDEX(Custodia!$U$2:$U$301,MATCH(C288,Custodia!$A$2:$A$301,0)),1),"?"))</f>
        <v/>
      </c>
    </row>
    <row r="289">
      <c r="A289" s="15" t="n"/>
      <c r="B289" s="18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6">
        <f>IF(A289="","",COUNTIF(F289,"A favor")+COUNTIF(H289,"A favor")+COUNTIF(J289,"A favor"))</f>
        <v/>
      </c>
      <c r="L289" s="16">
        <f>IF(A289="","",IF(K289=3,"Sim","Não"))</f>
        <v/>
      </c>
      <c r="M289" s="16">
        <f>IF(C289="","",COUNTIFS(Red_Team!$B$2:$B$301,C289,Red_Team!$I$2:$I$301,"Aberta"))</f>
        <v/>
      </c>
      <c r="N289" s="15" t="n"/>
      <c r="O289" s="16">
        <f>IF(A289="","",IF(M289&gt;0,"NÃO – objeções abertas",IF(AND(D289="Autenticidade confirmada (origem institucional)",Q289&lt;&gt;"A"),"NÃO – exige item classe A",IF(AND(Q289="C",D289&lt;&gt;"Alegação da defesa (classe C)"),"NÃO – item classe C",IF(AND(D289="Alegação da defesa (classe C)",Q289&lt;&gt;"C"),"NÃO – item não é classe C",IF(D289="Indícios técnicos de alteração",IF(L289="Sim","Sim","NÃO – exige unanimidade"),IF(K289&gt;=2,"Sim","NÃO – sem maioria")))))))</f>
        <v/>
      </c>
      <c r="P289" s="16">
        <f>IF(C289="","",IF(COUNTIF(C290:C$302,C289)=0,C289,""))</f>
        <v/>
      </c>
      <c r="Q289" s="16">
        <f>IF(C289="","",IFERROR(LEFT(INDEX(Custodia!$U$2:$U$301,MATCH(C289,Custodia!$A$2:$A$301,0)),1),"?"))</f>
        <v/>
      </c>
    </row>
    <row r="290">
      <c r="A290" s="15" t="n"/>
      <c r="B290" s="18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6">
        <f>IF(A290="","",COUNTIF(F290,"A favor")+COUNTIF(H290,"A favor")+COUNTIF(J290,"A favor"))</f>
        <v/>
      </c>
      <c r="L290" s="16">
        <f>IF(A290="","",IF(K290=3,"Sim","Não"))</f>
        <v/>
      </c>
      <c r="M290" s="16">
        <f>IF(C290="","",COUNTIFS(Red_Team!$B$2:$B$301,C290,Red_Team!$I$2:$I$301,"Aberta"))</f>
        <v/>
      </c>
      <c r="N290" s="15" t="n"/>
      <c r="O290" s="16">
        <f>IF(A290="","",IF(M290&gt;0,"NÃO – objeções abertas",IF(AND(D290="Autenticidade confirmada (origem institucional)",Q290&lt;&gt;"A"),"NÃO – exige item classe A",IF(AND(Q290="C",D290&lt;&gt;"Alegação da defesa (classe C)"),"NÃO – item classe C",IF(AND(D290="Alegação da defesa (classe C)",Q290&lt;&gt;"C"),"NÃO – item não é classe C",IF(D290="Indícios técnicos de alteração",IF(L290="Sim","Sim","NÃO – exige unanimidade"),IF(K290&gt;=2,"Sim","NÃO – sem maioria")))))))</f>
        <v/>
      </c>
      <c r="P290" s="16">
        <f>IF(C290="","",IF(COUNTIF(C291:C$302,C290)=0,C290,""))</f>
        <v/>
      </c>
      <c r="Q290" s="16">
        <f>IF(C290="","",IFERROR(LEFT(INDEX(Custodia!$U$2:$U$301,MATCH(C290,Custodia!$A$2:$A$301,0)),1),"?"))</f>
        <v/>
      </c>
    </row>
    <row r="291">
      <c r="A291" s="15" t="n"/>
      <c r="B291" s="18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6">
        <f>IF(A291="","",COUNTIF(F291,"A favor")+COUNTIF(H291,"A favor")+COUNTIF(J291,"A favor"))</f>
        <v/>
      </c>
      <c r="L291" s="16">
        <f>IF(A291="","",IF(K291=3,"Sim","Não"))</f>
        <v/>
      </c>
      <c r="M291" s="16">
        <f>IF(C291="","",COUNTIFS(Red_Team!$B$2:$B$301,C291,Red_Team!$I$2:$I$301,"Aberta"))</f>
        <v/>
      </c>
      <c r="N291" s="15" t="n"/>
      <c r="O291" s="16">
        <f>IF(A291="","",IF(M291&gt;0,"NÃO – objeções abertas",IF(AND(D291="Autenticidade confirmada (origem institucional)",Q291&lt;&gt;"A"),"NÃO – exige item classe A",IF(AND(Q291="C",D291&lt;&gt;"Alegação da defesa (classe C)"),"NÃO – item classe C",IF(AND(D291="Alegação da defesa (classe C)",Q291&lt;&gt;"C"),"NÃO – item não é classe C",IF(D291="Indícios técnicos de alteração",IF(L291="Sim","Sim","NÃO – exige unanimidade"),IF(K291&gt;=2,"Sim","NÃO – sem maioria")))))))</f>
        <v/>
      </c>
      <c r="P291" s="16">
        <f>IF(C291="","",IF(COUNTIF(C292:C$302,C291)=0,C291,""))</f>
        <v/>
      </c>
      <c r="Q291" s="16">
        <f>IF(C291="","",IFERROR(LEFT(INDEX(Custodia!$U$2:$U$301,MATCH(C291,Custodia!$A$2:$A$301,0)),1),"?"))</f>
        <v/>
      </c>
    </row>
    <row r="292">
      <c r="A292" s="15" t="n"/>
      <c r="B292" s="18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6">
        <f>IF(A292="","",COUNTIF(F292,"A favor")+COUNTIF(H292,"A favor")+COUNTIF(J292,"A favor"))</f>
        <v/>
      </c>
      <c r="L292" s="16">
        <f>IF(A292="","",IF(K292=3,"Sim","Não"))</f>
        <v/>
      </c>
      <c r="M292" s="16">
        <f>IF(C292="","",COUNTIFS(Red_Team!$B$2:$B$301,C292,Red_Team!$I$2:$I$301,"Aberta"))</f>
        <v/>
      </c>
      <c r="N292" s="15" t="n"/>
      <c r="O292" s="16">
        <f>IF(A292="","",IF(M292&gt;0,"NÃO – objeções abertas",IF(AND(D292="Autenticidade confirmada (origem institucional)",Q292&lt;&gt;"A"),"NÃO – exige item classe A",IF(AND(Q292="C",D292&lt;&gt;"Alegação da defesa (classe C)"),"NÃO – item classe C",IF(AND(D292="Alegação da defesa (classe C)",Q292&lt;&gt;"C"),"NÃO – item não é classe C",IF(D292="Indícios técnicos de alteração",IF(L292="Sim","Sim","NÃO – exige unanimidade"),IF(K292&gt;=2,"Sim","NÃO – sem maioria")))))))</f>
        <v/>
      </c>
      <c r="P292" s="16">
        <f>IF(C292="","",IF(COUNTIF(C293:C$302,C292)=0,C292,""))</f>
        <v/>
      </c>
      <c r="Q292" s="16">
        <f>IF(C292="","",IFERROR(LEFT(INDEX(Custodia!$U$2:$U$301,MATCH(C292,Custodia!$A$2:$A$301,0)),1),"?"))</f>
        <v/>
      </c>
    </row>
    <row r="293">
      <c r="A293" s="15" t="n"/>
      <c r="B293" s="18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6">
        <f>IF(A293="","",COUNTIF(F293,"A favor")+COUNTIF(H293,"A favor")+COUNTIF(J293,"A favor"))</f>
        <v/>
      </c>
      <c r="L293" s="16">
        <f>IF(A293="","",IF(K293=3,"Sim","Não"))</f>
        <v/>
      </c>
      <c r="M293" s="16">
        <f>IF(C293="","",COUNTIFS(Red_Team!$B$2:$B$301,C293,Red_Team!$I$2:$I$301,"Aberta"))</f>
        <v/>
      </c>
      <c r="N293" s="15" t="n"/>
      <c r="O293" s="16">
        <f>IF(A293="","",IF(M293&gt;0,"NÃO – objeções abertas",IF(AND(D293="Autenticidade confirmada (origem institucional)",Q293&lt;&gt;"A"),"NÃO – exige item classe A",IF(AND(Q293="C",D293&lt;&gt;"Alegação da defesa (classe C)"),"NÃO – item classe C",IF(AND(D293="Alegação da defesa (classe C)",Q293&lt;&gt;"C"),"NÃO – item não é classe C",IF(D293="Indícios técnicos de alteração",IF(L293="Sim","Sim","NÃO – exige unanimidade"),IF(K293&gt;=2,"Sim","NÃO – sem maioria")))))))</f>
        <v/>
      </c>
      <c r="P293" s="16">
        <f>IF(C293="","",IF(COUNTIF(C294:C$302,C293)=0,C293,""))</f>
        <v/>
      </c>
      <c r="Q293" s="16">
        <f>IF(C293="","",IFERROR(LEFT(INDEX(Custodia!$U$2:$U$301,MATCH(C293,Custodia!$A$2:$A$301,0)),1),"?"))</f>
        <v/>
      </c>
    </row>
    <row r="294">
      <c r="A294" s="15" t="n"/>
      <c r="B294" s="18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6">
        <f>IF(A294="","",COUNTIF(F294,"A favor")+COUNTIF(H294,"A favor")+COUNTIF(J294,"A favor"))</f>
        <v/>
      </c>
      <c r="L294" s="16">
        <f>IF(A294="","",IF(K294=3,"Sim","Não"))</f>
        <v/>
      </c>
      <c r="M294" s="16">
        <f>IF(C294="","",COUNTIFS(Red_Team!$B$2:$B$301,C294,Red_Team!$I$2:$I$301,"Aberta"))</f>
        <v/>
      </c>
      <c r="N294" s="15" t="n"/>
      <c r="O294" s="16">
        <f>IF(A294="","",IF(M294&gt;0,"NÃO – objeções abertas",IF(AND(D294="Autenticidade confirmada (origem institucional)",Q294&lt;&gt;"A"),"NÃO – exige item classe A",IF(AND(Q294="C",D294&lt;&gt;"Alegação da defesa (classe C)"),"NÃO – item classe C",IF(AND(D294="Alegação da defesa (classe C)",Q294&lt;&gt;"C"),"NÃO – item não é classe C",IF(D294="Indícios técnicos de alteração",IF(L294="Sim","Sim","NÃO – exige unanimidade"),IF(K294&gt;=2,"Sim","NÃO – sem maioria")))))))</f>
        <v/>
      </c>
      <c r="P294" s="16">
        <f>IF(C294="","",IF(COUNTIF(C295:C$302,C294)=0,C294,""))</f>
        <v/>
      </c>
      <c r="Q294" s="16">
        <f>IF(C294="","",IFERROR(LEFT(INDEX(Custodia!$U$2:$U$301,MATCH(C294,Custodia!$A$2:$A$301,0)),1),"?"))</f>
        <v/>
      </c>
    </row>
    <row r="295">
      <c r="A295" s="15" t="n"/>
      <c r="B295" s="18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6">
        <f>IF(A295="","",COUNTIF(F295,"A favor")+COUNTIF(H295,"A favor")+COUNTIF(J295,"A favor"))</f>
        <v/>
      </c>
      <c r="L295" s="16">
        <f>IF(A295="","",IF(K295=3,"Sim","Não"))</f>
        <v/>
      </c>
      <c r="M295" s="16">
        <f>IF(C295="","",COUNTIFS(Red_Team!$B$2:$B$301,C295,Red_Team!$I$2:$I$301,"Aberta"))</f>
        <v/>
      </c>
      <c r="N295" s="15" t="n"/>
      <c r="O295" s="16">
        <f>IF(A295="","",IF(M295&gt;0,"NÃO – objeções abertas",IF(AND(D295="Autenticidade confirmada (origem institucional)",Q295&lt;&gt;"A"),"NÃO – exige item classe A",IF(AND(Q295="C",D295&lt;&gt;"Alegação da defesa (classe C)"),"NÃO – item classe C",IF(AND(D295="Alegação da defesa (classe C)",Q295&lt;&gt;"C"),"NÃO – item não é classe C",IF(D295="Indícios técnicos de alteração",IF(L295="Sim","Sim","NÃO – exige unanimidade"),IF(K295&gt;=2,"Sim","NÃO – sem maioria")))))))</f>
        <v/>
      </c>
      <c r="P295" s="16">
        <f>IF(C295="","",IF(COUNTIF(C296:C$302,C295)=0,C295,""))</f>
        <v/>
      </c>
      <c r="Q295" s="16">
        <f>IF(C295="","",IFERROR(LEFT(INDEX(Custodia!$U$2:$U$301,MATCH(C295,Custodia!$A$2:$A$301,0)),1),"?"))</f>
        <v/>
      </c>
    </row>
    <row r="296">
      <c r="A296" s="15" t="n"/>
      <c r="B296" s="18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6">
        <f>IF(A296="","",COUNTIF(F296,"A favor")+COUNTIF(H296,"A favor")+COUNTIF(J296,"A favor"))</f>
        <v/>
      </c>
      <c r="L296" s="16">
        <f>IF(A296="","",IF(K296=3,"Sim","Não"))</f>
        <v/>
      </c>
      <c r="M296" s="16">
        <f>IF(C296="","",COUNTIFS(Red_Team!$B$2:$B$301,C296,Red_Team!$I$2:$I$301,"Aberta"))</f>
        <v/>
      </c>
      <c r="N296" s="15" t="n"/>
      <c r="O296" s="16">
        <f>IF(A296="","",IF(M296&gt;0,"NÃO – objeções abertas",IF(AND(D296="Autenticidade confirmada (origem institucional)",Q296&lt;&gt;"A"),"NÃO – exige item classe A",IF(AND(Q296="C",D296&lt;&gt;"Alegação da defesa (classe C)"),"NÃO – item classe C",IF(AND(D296="Alegação da defesa (classe C)",Q296&lt;&gt;"C"),"NÃO – item não é classe C",IF(D296="Indícios técnicos de alteração",IF(L296="Sim","Sim","NÃO – exige unanimidade"),IF(K296&gt;=2,"Sim","NÃO – sem maioria")))))))</f>
        <v/>
      </c>
      <c r="P296" s="16">
        <f>IF(C296="","",IF(COUNTIF(C297:C$302,C296)=0,C296,""))</f>
        <v/>
      </c>
      <c r="Q296" s="16">
        <f>IF(C296="","",IFERROR(LEFT(INDEX(Custodia!$U$2:$U$301,MATCH(C296,Custodia!$A$2:$A$301,0)),1),"?"))</f>
        <v/>
      </c>
    </row>
    <row r="297">
      <c r="A297" s="15" t="n"/>
      <c r="B297" s="18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6">
        <f>IF(A297="","",COUNTIF(F297,"A favor")+COUNTIF(H297,"A favor")+COUNTIF(J297,"A favor"))</f>
        <v/>
      </c>
      <c r="L297" s="16">
        <f>IF(A297="","",IF(K297=3,"Sim","Não"))</f>
        <v/>
      </c>
      <c r="M297" s="16">
        <f>IF(C297="","",COUNTIFS(Red_Team!$B$2:$B$301,C297,Red_Team!$I$2:$I$301,"Aberta"))</f>
        <v/>
      </c>
      <c r="N297" s="15" t="n"/>
      <c r="O297" s="16">
        <f>IF(A297="","",IF(M297&gt;0,"NÃO – objeções abertas",IF(AND(D297="Autenticidade confirmada (origem institucional)",Q297&lt;&gt;"A"),"NÃO – exige item classe A",IF(AND(Q297="C",D297&lt;&gt;"Alegação da defesa (classe C)"),"NÃO – item classe C",IF(AND(D297="Alegação da defesa (classe C)",Q297&lt;&gt;"C"),"NÃO – item não é classe C",IF(D297="Indícios técnicos de alteração",IF(L297="Sim","Sim","NÃO – exige unanimidade"),IF(K297&gt;=2,"Sim","NÃO – sem maioria")))))))</f>
        <v/>
      </c>
      <c r="P297" s="16">
        <f>IF(C297="","",IF(COUNTIF(C298:C$302,C297)=0,C297,""))</f>
        <v/>
      </c>
      <c r="Q297" s="16">
        <f>IF(C297="","",IFERROR(LEFT(INDEX(Custodia!$U$2:$U$301,MATCH(C297,Custodia!$A$2:$A$301,0)),1),"?"))</f>
        <v/>
      </c>
    </row>
    <row r="298">
      <c r="A298" s="15" t="n"/>
      <c r="B298" s="18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6">
        <f>IF(A298="","",COUNTIF(F298,"A favor")+COUNTIF(H298,"A favor")+COUNTIF(J298,"A favor"))</f>
        <v/>
      </c>
      <c r="L298" s="16">
        <f>IF(A298="","",IF(K298=3,"Sim","Não"))</f>
        <v/>
      </c>
      <c r="M298" s="16">
        <f>IF(C298="","",COUNTIFS(Red_Team!$B$2:$B$301,C298,Red_Team!$I$2:$I$301,"Aberta"))</f>
        <v/>
      </c>
      <c r="N298" s="15" t="n"/>
      <c r="O298" s="16">
        <f>IF(A298="","",IF(M298&gt;0,"NÃO – objeções abertas",IF(AND(D298="Autenticidade confirmada (origem institucional)",Q298&lt;&gt;"A"),"NÃO – exige item classe A",IF(AND(Q298="C",D298&lt;&gt;"Alegação da defesa (classe C)"),"NÃO – item classe C",IF(AND(D298="Alegação da defesa (classe C)",Q298&lt;&gt;"C"),"NÃO – item não é classe C",IF(D298="Indícios técnicos de alteração",IF(L298="Sim","Sim","NÃO – exige unanimidade"),IF(K298&gt;=2,"Sim","NÃO – sem maioria")))))))</f>
        <v/>
      </c>
      <c r="P298" s="16">
        <f>IF(C298="","",IF(COUNTIF(C299:C$302,C298)=0,C298,""))</f>
        <v/>
      </c>
      <c r="Q298" s="16">
        <f>IF(C298="","",IFERROR(LEFT(INDEX(Custodia!$U$2:$U$301,MATCH(C298,Custodia!$A$2:$A$301,0)),1),"?"))</f>
        <v/>
      </c>
    </row>
    <row r="299">
      <c r="A299" s="15" t="n"/>
      <c r="B299" s="18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6">
        <f>IF(A299="","",COUNTIF(F299,"A favor")+COUNTIF(H299,"A favor")+COUNTIF(J299,"A favor"))</f>
        <v/>
      </c>
      <c r="L299" s="16">
        <f>IF(A299="","",IF(K299=3,"Sim","Não"))</f>
        <v/>
      </c>
      <c r="M299" s="16">
        <f>IF(C299="","",COUNTIFS(Red_Team!$B$2:$B$301,C299,Red_Team!$I$2:$I$301,"Aberta"))</f>
        <v/>
      </c>
      <c r="N299" s="15" t="n"/>
      <c r="O299" s="16">
        <f>IF(A299="","",IF(M299&gt;0,"NÃO – objeções abertas",IF(AND(D299="Autenticidade confirmada (origem institucional)",Q299&lt;&gt;"A"),"NÃO – exige item classe A",IF(AND(Q299="C",D299&lt;&gt;"Alegação da defesa (classe C)"),"NÃO – item classe C",IF(AND(D299="Alegação da defesa (classe C)",Q299&lt;&gt;"C"),"NÃO – item não é classe C",IF(D299="Indícios técnicos de alteração",IF(L299="Sim","Sim","NÃO – exige unanimidade"),IF(K299&gt;=2,"Sim","NÃO – sem maioria")))))))</f>
        <v/>
      </c>
      <c r="P299" s="16">
        <f>IF(C299="","",IF(COUNTIF(C300:C$302,C299)=0,C299,""))</f>
        <v/>
      </c>
      <c r="Q299" s="16">
        <f>IF(C299="","",IFERROR(LEFT(INDEX(Custodia!$U$2:$U$301,MATCH(C299,Custodia!$A$2:$A$301,0)),1),"?"))</f>
        <v/>
      </c>
    </row>
    <row r="300">
      <c r="A300" s="15" t="n"/>
      <c r="B300" s="18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6">
        <f>IF(A300="","",COUNTIF(F300,"A favor")+COUNTIF(H300,"A favor")+COUNTIF(J300,"A favor"))</f>
        <v/>
      </c>
      <c r="L300" s="16">
        <f>IF(A300="","",IF(K300=3,"Sim","Não"))</f>
        <v/>
      </c>
      <c r="M300" s="16">
        <f>IF(C300="","",COUNTIFS(Red_Team!$B$2:$B$301,C300,Red_Team!$I$2:$I$301,"Aberta"))</f>
        <v/>
      </c>
      <c r="N300" s="15" t="n"/>
      <c r="O300" s="16">
        <f>IF(A300="","",IF(M300&gt;0,"NÃO – objeções abertas",IF(AND(D300="Autenticidade confirmada (origem institucional)",Q300&lt;&gt;"A"),"NÃO – exige item classe A",IF(AND(Q300="C",D300&lt;&gt;"Alegação da defesa (classe C)"),"NÃO – item classe C",IF(AND(D300="Alegação da defesa (classe C)",Q300&lt;&gt;"C"),"NÃO – item não é classe C",IF(D300="Indícios técnicos de alteração",IF(L300="Sim","Sim","NÃO – exige unanimidade"),IF(K300&gt;=2,"Sim","NÃO – sem maioria")))))))</f>
        <v/>
      </c>
      <c r="P300" s="16">
        <f>IF(C300="","",IF(COUNTIF(C301:C$302,C300)=0,C300,""))</f>
        <v/>
      </c>
      <c r="Q300" s="16">
        <f>IF(C300="","",IFERROR(LEFT(INDEX(Custodia!$U$2:$U$301,MATCH(C300,Custodia!$A$2:$A$301,0)),1),"?"))</f>
        <v/>
      </c>
    </row>
    <row r="301">
      <c r="A301" s="15" t="n"/>
      <c r="B301" s="18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6">
        <f>IF(A301="","",COUNTIF(F301,"A favor")+COUNTIF(H301,"A favor")+COUNTIF(J301,"A favor"))</f>
        <v/>
      </c>
      <c r="L301" s="16">
        <f>IF(A301="","",IF(K301=3,"Sim","Não"))</f>
        <v/>
      </c>
      <c r="M301" s="16">
        <f>IF(C301="","",COUNTIFS(Red_Team!$B$2:$B$301,C301,Red_Team!$I$2:$I$301,"Aberta"))</f>
        <v/>
      </c>
      <c r="N301" s="15" t="n"/>
      <c r="O301" s="16">
        <f>IF(A301="","",IF(M301&gt;0,"NÃO – objeções abertas",IF(AND(D301="Autenticidade confirmada (origem institucional)",Q301&lt;&gt;"A"),"NÃO – exige item classe A",IF(AND(Q301="C",D301&lt;&gt;"Alegação da defesa (classe C)"),"NÃO – item classe C",IF(AND(D301="Alegação da defesa (classe C)",Q301&lt;&gt;"C"),"NÃO – item não é classe C",IF(D301="Indícios técnicos de alteração",IF(L301="Sim","Sim","NÃO – exige unanimidade"),IF(K301&gt;=2,"Sim","NÃO – sem maioria")))))))</f>
        <v/>
      </c>
      <c r="P301" s="16">
        <f>IF(C301="","",IF(COUNTIF(C302:C$302,C301)=0,C301,""))</f>
        <v/>
      </c>
      <c r="Q301" s="16">
        <f>IF(C301="","",IFERROR(LEFT(INDEX(Custodia!$U$2:$U$301,MATCH(C301,Custodia!$A$2:$A$301,0)),1),"?"))</f>
        <v/>
      </c>
    </row>
  </sheetData>
  <autoFilter ref="A1:Q301"/>
  <conditionalFormatting sqref="O2:O301">
    <cfRule type="expression" priority="1" dxfId="1">
      <formula>LEFT(O2,3)="NÃO"</formula>
    </cfRule>
    <cfRule type="expression" priority="2" dxfId="0">
      <formula>O2="Sim"</formula>
    </cfRule>
  </conditionalFormatting>
  <dataValidations count="4">
    <dataValidation sqref="D2:D301" showDropDown="0" showInputMessage="0" showErrorMessage="0" allowBlank="1" errorTitle="Valor inválido" error="Escolha um valor da lista." type="list">
      <formula1>Listas!$H$2:$H$9</formula1>
    </dataValidation>
    <dataValidation sqref="F2:F301" showDropDown="0" showInputMessage="0" showErrorMessage="0" allowBlank="1" errorTitle="Valor inválido" error="Escolha um valor da lista." type="list">
      <formula1>Listas!$O$2:$O$4</formula1>
    </dataValidation>
    <dataValidation sqref="H2:H301" showDropDown="0" showInputMessage="0" showErrorMessage="0" allowBlank="1" errorTitle="Valor inválido" error="Escolha um valor da lista." type="list">
      <formula1>Listas!$O$2:$O$4</formula1>
    </dataValidation>
    <dataValidation sqref="J2:J301" showDropDown="0" showInputMessage="0" showErrorMessage="0" allowBlank="1" errorTitle="Valor inválido" error="Escolha um valor da lista." type="list">
      <formula1>Listas!$O$2:$O$4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18" customWidth="1" min="4" max="4"/>
    <col width="16" customWidth="1" min="5" max="5"/>
    <col width="10" customWidth="1" min="6" max="6"/>
    <col width="16" customWidth="1" min="7" max="7"/>
    <col width="26" customWidth="1" min="8" max="8"/>
    <col width="16" customWidth="1" min="9" max="9"/>
    <col width="36" customWidth="1" min="10" max="10"/>
    <col width="12" customWidth="1" min="11" max="11"/>
    <col width="12" customWidth="1" min="12" max="12"/>
    <col width="22" customWidth="1" min="13" max="13"/>
    <col width="14" customWidth="1" min="14" max="14"/>
  </cols>
  <sheetData>
    <row r="1" ht="36" customHeight="1">
      <c r="A1" s="10" t="inlineStr">
        <is>
          <t>ID</t>
        </is>
      </c>
      <c r="B1" s="10" t="inlineStr">
        <is>
          <t>ID item</t>
        </is>
      </c>
      <c r="C1" s="10" t="inlineStr">
        <is>
          <t>Destinatário</t>
        </is>
      </c>
      <c r="D1" s="10" t="inlineStr">
        <is>
          <t>Canal (e-mail/ofício)</t>
        </is>
      </c>
      <c r="E1" s="10" t="inlineStr">
        <is>
          <t>Data/hora do envio</t>
        </is>
      </c>
      <c r="F1" s="10" t="inlineStr">
        <is>
          <t>Prazo (horas)</t>
        </is>
      </c>
      <c r="G1" s="10" t="inlineStr">
        <is>
          <t>Prazo final</t>
        </is>
      </c>
      <c r="H1" s="10" t="inlineStr">
        <is>
          <t>Comprovante de envio</t>
        </is>
      </c>
      <c r="I1" s="10" t="inlineStr">
        <is>
          <t>Data/hora da resposta</t>
        </is>
      </c>
      <c r="J1" s="10" t="inlineStr">
        <is>
          <t>Resumo da resposta</t>
        </is>
      </c>
      <c r="K1" s="10" t="inlineStr">
        <is>
          <t>Originais solicitados?</t>
        </is>
      </c>
      <c r="L1" s="10" t="inlineStr">
        <is>
          <t>Originais recebidos?</t>
        </is>
      </c>
      <c r="M1" s="10" t="inlineStr">
        <is>
          <t>Status</t>
        </is>
      </c>
      <c r="N1" s="10" t="inlineStr">
        <is>
          <t>Chave último envio (auxiliar)</t>
        </is>
      </c>
    </row>
    <row r="2">
      <c r="A2" s="14" t="inlineStr">
        <is>
          <t>C-001</t>
        </is>
      </c>
      <c r="B2" s="14" t="inlineStr">
        <is>
          <t>DOC-001</t>
        </is>
      </c>
      <c r="C2" s="14" t="inlineStr">
        <is>
          <t>Assessoria do senador (EXEMPLO – substituir)</t>
        </is>
      </c>
      <c r="D2" s="14" t="inlineStr">
        <is>
          <t>E-mail oficial</t>
        </is>
      </c>
      <c r="E2" s="19" t="n">
        <v>46322.41666666666</v>
      </c>
      <c r="F2" s="14" t="n">
        <v>72</v>
      </c>
      <c r="G2" s="25">
        <f>IF(OR(E2="",F2=""),"",E2+F2/24)</f>
        <v/>
      </c>
      <c r="H2" s="14" t="inlineStr">
        <is>
          <t>contraditorio/C-001_envio.eml</t>
        </is>
      </c>
      <c r="I2" s="20" t="n"/>
      <c r="J2" s="15" t="n"/>
      <c r="K2" s="14" t="inlineStr">
        <is>
          <t>Sim</t>
        </is>
      </c>
      <c r="L2" s="14" t="inlineStr">
        <is>
          <t>Não</t>
        </is>
      </c>
      <c r="M2" s="16">
        <f>IF(A2="","",IF(I2&lt;&gt;"","Respondido",IF(G2="","Sem prazo definido",IF(NOW()&gt;G2,"Prazo encerrado – sem resposta","Aguardando"))))</f>
        <v/>
      </c>
      <c r="N2" s="16">
        <f>IF(B2="","",IF(COUNTIF(B3:B$302,B2)=0,B2,""))</f>
        <v/>
      </c>
    </row>
    <row r="3">
      <c r="A3" s="15" t="n"/>
      <c r="B3" s="15" t="n"/>
      <c r="C3" s="15" t="n"/>
      <c r="D3" s="15" t="n"/>
      <c r="E3" s="20" t="n"/>
      <c r="F3" s="15" t="n"/>
      <c r="G3" s="25">
        <f>IF(OR(E3="",F3=""),"",E3+F3/24)</f>
        <v/>
      </c>
      <c r="H3" s="15" t="n"/>
      <c r="I3" s="20" t="n"/>
      <c r="J3" s="15" t="n"/>
      <c r="K3" s="15" t="n"/>
      <c r="L3" s="15" t="n"/>
      <c r="M3" s="16">
        <f>IF(A3="","",IF(I3&lt;&gt;"","Respondido",IF(G3="","Sem prazo definido",IF(NOW()&gt;G3,"Prazo encerrado – sem resposta","Aguardando"))))</f>
        <v/>
      </c>
      <c r="N3" s="16">
        <f>IF(B3="","",IF(COUNTIF(B4:B$302,B3)=0,B3,""))</f>
        <v/>
      </c>
    </row>
    <row r="4">
      <c r="A4" s="15" t="n"/>
      <c r="B4" s="15" t="n"/>
      <c r="C4" s="15" t="n"/>
      <c r="D4" s="15" t="n"/>
      <c r="E4" s="20" t="n"/>
      <c r="F4" s="15" t="n"/>
      <c r="G4" s="25">
        <f>IF(OR(E4="",F4=""),"",E4+F4/24)</f>
        <v/>
      </c>
      <c r="H4" s="15" t="n"/>
      <c r="I4" s="20" t="n"/>
      <c r="J4" s="15" t="n"/>
      <c r="K4" s="15" t="n"/>
      <c r="L4" s="15" t="n"/>
      <c r="M4" s="16">
        <f>IF(A4="","",IF(I4&lt;&gt;"","Respondido",IF(G4="","Sem prazo definido",IF(NOW()&gt;G4,"Prazo encerrado – sem resposta","Aguardando"))))</f>
        <v/>
      </c>
      <c r="N4" s="16">
        <f>IF(B4="","",IF(COUNTIF(B5:B$302,B4)=0,B4,""))</f>
        <v/>
      </c>
    </row>
    <row r="5">
      <c r="A5" s="15" t="n"/>
      <c r="B5" s="15" t="n"/>
      <c r="C5" s="15" t="n"/>
      <c r="D5" s="15" t="n"/>
      <c r="E5" s="20" t="n"/>
      <c r="F5" s="15" t="n"/>
      <c r="G5" s="25">
        <f>IF(OR(E5="",F5=""),"",E5+F5/24)</f>
        <v/>
      </c>
      <c r="H5" s="15" t="n"/>
      <c r="I5" s="20" t="n"/>
      <c r="J5" s="15" t="n"/>
      <c r="K5" s="15" t="n"/>
      <c r="L5" s="15" t="n"/>
      <c r="M5" s="16">
        <f>IF(A5="","",IF(I5&lt;&gt;"","Respondido",IF(G5="","Sem prazo definido",IF(NOW()&gt;G5,"Prazo encerrado – sem resposta","Aguardando"))))</f>
        <v/>
      </c>
      <c r="N5" s="16">
        <f>IF(B5="","",IF(COUNTIF(B6:B$302,B5)=0,B5,""))</f>
        <v/>
      </c>
    </row>
    <row r="6">
      <c r="A6" s="15" t="n"/>
      <c r="B6" s="15" t="n"/>
      <c r="C6" s="15" t="n"/>
      <c r="D6" s="15" t="n"/>
      <c r="E6" s="20" t="n"/>
      <c r="F6" s="15" t="n"/>
      <c r="G6" s="25">
        <f>IF(OR(E6="",F6=""),"",E6+F6/24)</f>
        <v/>
      </c>
      <c r="H6" s="15" t="n"/>
      <c r="I6" s="20" t="n"/>
      <c r="J6" s="15" t="n"/>
      <c r="K6" s="15" t="n"/>
      <c r="L6" s="15" t="n"/>
      <c r="M6" s="16">
        <f>IF(A6="","",IF(I6&lt;&gt;"","Respondido",IF(G6="","Sem prazo definido",IF(NOW()&gt;G6,"Prazo encerrado – sem resposta","Aguardando"))))</f>
        <v/>
      </c>
      <c r="N6" s="16">
        <f>IF(B6="","",IF(COUNTIF(B7:B$302,B6)=0,B6,""))</f>
        <v/>
      </c>
    </row>
    <row r="7">
      <c r="A7" s="15" t="n"/>
      <c r="B7" s="15" t="n"/>
      <c r="C7" s="15" t="n"/>
      <c r="D7" s="15" t="n"/>
      <c r="E7" s="20" t="n"/>
      <c r="F7" s="15" t="n"/>
      <c r="G7" s="25">
        <f>IF(OR(E7="",F7=""),"",E7+F7/24)</f>
        <v/>
      </c>
      <c r="H7" s="15" t="n"/>
      <c r="I7" s="20" t="n"/>
      <c r="J7" s="15" t="n"/>
      <c r="K7" s="15" t="n"/>
      <c r="L7" s="15" t="n"/>
      <c r="M7" s="16">
        <f>IF(A7="","",IF(I7&lt;&gt;"","Respondido",IF(G7="","Sem prazo definido",IF(NOW()&gt;G7,"Prazo encerrado – sem resposta","Aguardando"))))</f>
        <v/>
      </c>
      <c r="N7" s="16">
        <f>IF(B7="","",IF(COUNTIF(B8:B$302,B7)=0,B7,""))</f>
        <v/>
      </c>
    </row>
    <row r="8">
      <c r="A8" s="15" t="n"/>
      <c r="B8" s="15" t="n"/>
      <c r="C8" s="15" t="n"/>
      <c r="D8" s="15" t="n"/>
      <c r="E8" s="20" t="n"/>
      <c r="F8" s="15" t="n"/>
      <c r="G8" s="25">
        <f>IF(OR(E8="",F8=""),"",E8+F8/24)</f>
        <v/>
      </c>
      <c r="H8" s="15" t="n"/>
      <c r="I8" s="20" t="n"/>
      <c r="J8" s="15" t="n"/>
      <c r="K8" s="15" t="n"/>
      <c r="L8" s="15" t="n"/>
      <c r="M8" s="16">
        <f>IF(A8="","",IF(I8&lt;&gt;"","Respondido",IF(G8="","Sem prazo definido",IF(NOW()&gt;G8,"Prazo encerrado – sem resposta","Aguardando"))))</f>
        <v/>
      </c>
      <c r="N8" s="16">
        <f>IF(B8="","",IF(COUNTIF(B9:B$302,B8)=0,B8,""))</f>
        <v/>
      </c>
    </row>
    <row r="9">
      <c r="A9" s="15" t="n"/>
      <c r="B9" s="15" t="n"/>
      <c r="C9" s="15" t="n"/>
      <c r="D9" s="15" t="n"/>
      <c r="E9" s="20" t="n"/>
      <c r="F9" s="15" t="n"/>
      <c r="G9" s="25">
        <f>IF(OR(E9="",F9=""),"",E9+F9/24)</f>
        <v/>
      </c>
      <c r="H9" s="15" t="n"/>
      <c r="I9" s="20" t="n"/>
      <c r="J9" s="15" t="n"/>
      <c r="K9" s="15" t="n"/>
      <c r="L9" s="15" t="n"/>
      <c r="M9" s="16">
        <f>IF(A9="","",IF(I9&lt;&gt;"","Respondido",IF(G9="","Sem prazo definido",IF(NOW()&gt;G9,"Prazo encerrado – sem resposta","Aguardando"))))</f>
        <v/>
      </c>
      <c r="N9" s="16">
        <f>IF(B9="","",IF(COUNTIF(B10:B$302,B9)=0,B9,""))</f>
        <v/>
      </c>
    </row>
    <row r="10">
      <c r="A10" s="15" t="n"/>
      <c r="B10" s="15" t="n"/>
      <c r="C10" s="15" t="n"/>
      <c r="D10" s="15" t="n"/>
      <c r="E10" s="20" t="n"/>
      <c r="F10" s="15" t="n"/>
      <c r="G10" s="25">
        <f>IF(OR(E10="",F10=""),"",E10+F10/24)</f>
        <v/>
      </c>
      <c r="H10" s="15" t="n"/>
      <c r="I10" s="20" t="n"/>
      <c r="J10" s="15" t="n"/>
      <c r="K10" s="15" t="n"/>
      <c r="L10" s="15" t="n"/>
      <c r="M10" s="16">
        <f>IF(A10="","",IF(I10&lt;&gt;"","Respondido",IF(G10="","Sem prazo definido",IF(NOW()&gt;G10,"Prazo encerrado – sem resposta","Aguardando"))))</f>
        <v/>
      </c>
      <c r="N10" s="16">
        <f>IF(B10="","",IF(COUNTIF(B11:B$302,B10)=0,B10,""))</f>
        <v/>
      </c>
    </row>
    <row r="11">
      <c r="A11" s="15" t="n"/>
      <c r="B11" s="15" t="n"/>
      <c r="C11" s="15" t="n"/>
      <c r="D11" s="15" t="n"/>
      <c r="E11" s="20" t="n"/>
      <c r="F11" s="15" t="n"/>
      <c r="G11" s="25">
        <f>IF(OR(E11="",F11=""),"",E11+F11/24)</f>
        <v/>
      </c>
      <c r="H11" s="15" t="n"/>
      <c r="I11" s="20" t="n"/>
      <c r="J11" s="15" t="n"/>
      <c r="K11" s="15" t="n"/>
      <c r="L11" s="15" t="n"/>
      <c r="M11" s="16">
        <f>IF(A11="","",IF(I11&lt;&gt;"","Respondido",IF(G11="","Sem prazo definido",IF(NOW()&gt;G11,"Prazo encerrado – sem resposta","Aguardando"))))</f>
        <v/>
      </c>
      <c r="N11" s="16">
        <f>IF(B11="","",IF(COUNTIF(B12:B$302,B11)=0,B11,""))</f>
        <v/>
      </c>
    </row>
    <row r="12">
      <c r="A12" s="15" t="n"/>
      <c r="B12" s="15" t="n"/>
      <c r="C12" s="15" t="n"/>
      <c r="D12" s="15" t="n"/>
      <c r="E12" s="20" t="n"/>
      <c r="F12" s="15" t="n"/>
      <c r="G12" s="25">
        <f>IF(OR(E12="",F12=""),"",E12+F12/24)</f>
        <v/>
      </c>
      <c r="H12" s="15" t="n"/>
      <c r="I12" s="20" t="n"/>
      <c r="J12" s="15" t="n"/>
      <c r="K12" s="15" t="n"/>
      <c r="L12" s="15" t="n"/>
      <c r="M12" s="16">
        <f>IF(A12="","",IF(I12&lt;&gt;"","Respondido",IF(G12="","Sem prazo definido",IF(NOW()&gt;G12,"Prazo encerrado – sem resposta","Aguardando"))))</f>
        <v/>
      </c>
      <c r="N12" s="16">
        <f>IF(B12="","",IF(COUNTIF(B13:B$302,B12)=0,B12,""))</f>
        <v/>
      </c>
    </row>
    <row r="13">
      <c r="A13" s="15" t="n"/>
      <c r="B13" s="15" t="n"/>
      <c r="C13" s="15" t="n"/>
      <c r="D13" s="15" t="n"/>
      <c r="E13" s="20" t="n"/>
      <c r="F13" s="15" t="n"/>
      <c r="G13" s="25">
        <f>IF(OR(E13="",F13=""),"",E13+F13/24)</f>
        <v/>
      </c>
      <c r="H13" s="15" t="n"/>
      <c r="I13" s="20" t="n"/>
      <c r="J13" s="15" t="n"/>
      <c r="K13" s="15" t="n"/>
      <c r="L13" s="15" t="n"/>
      <c r="M13" s="16">
        <f>IF(A13="","",IF(I13&lt;&gt;"","Respondido",IF(G13="","Sem prazo definido",IF(NOW()&gt;G13,"Prazo encerrado – sem resposta","Aguardando"))))</f>
        <v/>
      </c>
      <c r="N13" s="16">
        <f>IF(B13="","",IF(COUNTIF(B14:B$302,B13)=0,B13,""))</f>
        <v/>
      </c>
    </row>
    <row r="14">
      <c r="A14" s="15" t="n"/>
      <c r="B14" s="15" t="n"/>
      <c r="C14" s="15" t="n"/>
      <c r="D14" s="15" t="n"/>
      <c r="E14" s="20" t="n"/>
      <c r="F14" s="15" t="n"/>
      <c r="G14" s="25">
        <f>IF(OR(E14="",F14=""),"",E14+F14/24)</f>
        <v/>
      </c>
      <c r="H14" s="15" t="n"/>
      <c r="I14" s="20" t="n"/>
      <c r="J14" s="15" t="n"/>
      <c r="K14" s="15" t="n"/>
      <c r="L14" s="15" t="n"/>
      <c r="M14" s="16">
        <f>IF(A14="","",IF(I14&lt;&gt;"","Respondido",IF(G14="","Sem prazo definido",IF(NOW()&gt;G14,"Prazo encerrado – sem resposta","Aguardando"))))</f>
        <v/>
      </c>
      <c r="N14" s="16">
        <f>IF(B14="","",IF(COUNTIF(B15:B$302,B14)=0,B14,""))</f>
        <v/>
      </c>
    </row>
    <row r="15">
      <c r="A15" s="15" t="n"/>
      <c r="B15" s="15" t="n"/>
      <c r="C15" s="15" t="n"/>
      <c r="D15" s="15" t="n"/>
      <c r="E15" s="20" t="n"/>
      <c r="F15" s="15" t="n"/>
      <c r="G15" s="25">
        <f>IF(OR(E15="",F15=""),"",E15+F15/24)</f>
        <v/>
      </c>
      <c r="H15" s="15" t="n"/>
      <c r="I15" s="20" t="n"/>
      <c r="J15" s="15" t="n"/>
      <c r="K15" s="15" t="n"/>
      <c r="L15" s="15" t="n"/>
      <c r="M15" s="16">
        <f>IF(A15="","",IF(I15&lt;&gt;"","Respondido",IF(G15="","Sem prazo definido",IF(NOW()&gt;G15,"Prazo encerrado – sem resposta","Aguardando"))))</f>
        <v/>
      </c>
      <c r="N15" s="16">
        <f>IF(B15="","",IF(COUNTIF(B16:B$302,B15)=0,B15,""))</f>
        <v/>
      </c>
    </row>
    <row r="16">
      <c r="A16" s="15" t="n"/>
      <c r="B16" s="15" t="n"/>
      <c r="C16" s="15" t="n"/>
      <c r="D16" s="15" t="n"/>
      <c r="E16" s="20" t="n"/>
      <c r="F16" s="15" t="n"/>
      <c r="G16" s="25">
        <f>IF(OR(E16="",F16=""),"",E16+F16/24)</f>
        <v/>
      </c>
      <c r="H16" s="15" t="n"/>
      <c r="I16" s="20" t="n"/>
      <c r="J16" s="15" t="n"/>
      <c r="K16" s="15" t="n"/>
      <c r="L16" s="15" t="n"/>
      <c r="M16" s="16">
        <f>IF(A16="","",IF(I16&lt;&gt;"","Respondido",IF(G16="","Sem prazo definido",IF(NOW()&gt;G16,"Prazo encerrado – sem resposta","Aguardando"))))</f>
        <v/>
      </c>
      <c r="N16" s="16">
        <f>IF(B16="","",IF(COUNTIF(B17:B$302,B16)=0,B16,""))</f>
        <v/>
      </c>
    </row>
    <row r="17">
      <c r="A17" s="15" t="n"/>
      <c r="B17" s="15" t="n"/>
      <c r="C17" s="15" t="n"/>
      <c r="D17" s="15" t="n"/>
      <c r="E17" s="20" t="n"/>
      <c r="F17" s="15" t="n"/>
      <c r="G17" s="25">
        <f>IF(OR(E17="",F17=""),"",E17+F17/24)</f>
        <v/>
      </c>
      <c r="H17" s="15" t="n"/>
      <c r="I17" s="20" t="n"/>
      <c r="J17" s="15" t="n"/>
      <c r="K17" s="15" t="n"/>
      <c r="L17" s="15" t="n"/>
      <c r="M17" s="16">
        <f>IF(A17="","",IF(I17&lt;&gt;"","Respondido",IF(G17="","Sem prazo definido",IF(NOW()&gt;G17,"Prazo encerrado – sem resposta","Aguardando"))))</f>
        <v/>
      </c>
      <c r="N17" s="16">
        <f>IF(B17="","",IF(COUNTIF(B18:B$302,B17)=0,B17,""))</f>
        <v/>
      </c>
    </row>
    <row r="18">
      <c r="A18" s="15" t="n"/>
      <c r="B18" s="15" t="n"/>
      <c r="C18" s="15" t="n"/>
      <c r="D18" s="15" t="n"/>
      <c r="E18" s="20" t="n"/>
      <c r="F18" s="15" t="n"/>
      <c r="G18" s="25">
        <f>IF(OR(E18="",F18=""),"",E18+F18/24)</f>
        <v/>
      </c>
      <c r="H18" s="15" t="n"/>
      <c r="I18" s="20" t="n"/>
      <c r="J18" s="15" t="n"/>
      <c r="K18" s="15" t="n"/>
      <c r="L18" s="15" t="n"/>
      <c r="M18" s="16">
        <f>IF(A18="","",IF(I18&lt;&gt;"","Respondido",IF(G18="","Sem prazo definido",IF(NOW()&gt;G18,"Prazo encerrado – sem resposta","Aguardando"))))</f>
        <v/>
      </c>
      <c r="N18" s="16">
        <f>IF(B18="","",IF(COUNTIF(B19:B$302,B18)=0,B18,""))</f>
        <v/>
      </c>
    </row>
    <row r="19">
      <c r="A19" s="15" t="n"/>
      <c r="B19" s="15" t="n"/>
      <c r="C19" s="15" t="n"/>
      <c r="D19" s="15" t="n"/>
      <c r="E19" s="20" t="n"/>
      <c r="F19" s="15" t="n"/>
      <c r="G19" s="25">
        <f>IF(OR(E19="",F19=""),"",E19+F19/24)</f>
        <v/>
      </c>
      <c r="H19" s="15" t="n"/>
      <c r="I19" s="20" t="n"/>
      <c r="J19" s="15" t="n"/>
      <c r="K19" s="15" t="n"/>
      <c r="L19" s="15" t="n"/>
      <c r="M19" s="16">
        <f>IF(A19="","",IF(I19&lt;&gt;"","Respondido",IF(G19="","Sem prazo definido",IF(NOW()&gt;G19,"Prazo encerrado – sem resposta","Aguardando"))))</f>
        <v/>
      </c>
      <c r="N19" s="16">
        <f>IF(B19="","",IF(COUNTIF(B20:B$302,B19)=0,B19,""))</f>
        <v/>
      </c>
    </row>
    <row r="20">
      <c r="A20" s="15" t="n"/>
      <c r="B20" s="15" t="n"/>
      <c r="C20" s="15" t="n"/>
      <c r="D20" s="15" t="n"/>
      <c r="E20" s="20" t="n"/>
      <c r="F20" s="15" t="n"/>
      <c r="G20" s="25">
        <f>IF(OR(E20="",F20=""),"",E20+F20/24)</f>
        <v/>
      </c>
      <c r="H20" s="15" t="n"/>
      <c r="I20" s="20" t="n"/>
      <c r="J20" s="15" t="n"/>
      <c r="K20" s="15" t="n"/>
      <c r="L20" s="15" t="n"/>
      <c r="M20" s="16">
        <f>IF(A20="","",IF(I20&lt;&gt;"","Respondido",IF(G20="","Sem prazo definido",IF(NOW()&gt;G20,"Prazo encerrado – sem resposta","Aguardando"))))</f>
        <v/>
      </c>
      <c r="N20" s="16">
        <f>IF(B20="","",IF(COUNTIF(B21:B$302,B20)=0,B20,""))</f>
        <v/>
      </c>
    </row>
    <row r="21">
      <c r="A21" s="15" t="n"/>
      <c r="B21" s="15" t="n"/>
      <c r="C21" s="15" t="n"/>
      <c r="D21" s="15" t="n"/>
      <c r="E21" s="20" t="n"/>
      <c r="F21" s="15" t="n"/>
      <c r="G21" s="25">
        <f>IF(OR(E21="",F21=""),"",E21+F21/24)</f>
        <v/>
      </c>
      <c r="H21" s="15" t="n"/>
      <c r="I21" s="20" t="n"/>
      <c r="J21" s="15" t="n"/>
      <c r="K21" s="15" t="n"/>
      <c r="L21" s="15" t="n"/>
      <c r="M21" s="16">
        <f>IF(A21="","",IF(I21&lt;&gt;"","Respondido",IF(G21="","Sem prazo definido",IF(NOW()&gt;G21,"Prazo encerrado – sem resposta","Aguardando"))))</f>
        <v/>
      </c>
      <c r="N21" s="16">
        <f>IF(B21="","",IF(COUNTIF(B22:B$302,B21)=0,B21,""))</f>
        <v/>
      </c>
    </row>
    <row r="22">
      <c r="A22" s="15" t="n"/>
      <c r="B22" s="15" t="n"/>
      <c r="C22" s="15" t="n"/>
      <c r="D22" s="15" t="n"/>
      <c r="E22" s="20" t="n"/>
      <c r="F22" s="15" t="n"/>
      <c r="G22" s="25">
        <f>IF(OR(E22="",F22=""),"",E22+F22/24)</f>
        <v/>
      </c>
      <c r="H22" s="15" t="n"/>
      <c r="I22" s="20" t="n"/>
      <c r="J22" s="15" t="n"/>
      <c r="K22" s="15" t="n"/>
      <c r="L22" s="15" t="n"/>
      <c r="M22" s="16">
        <f>IF(A22="","",IF(I22&lt;&gt;"","Respondido",IF(G22="","Sem prazo definido",IF(NOW()&gt;G22,"Prazo encerrado – sem resposta","Aguardando"))))</f>
        <v/>
      </c>
      <c r="N22" s="16">
        <f>IF(B22="","",IF(COUNTIF(B23:B$302,B22)=0,B22,""))</f>
        <v/>
      </c>
    </row>
    <row r="23">
      <c r="A23" s="15" t="n"/>
      <c r="B23" s="15" t="n"/>
      <c r="C23" s="15" t="n"/>
      <c r="D23" s="15" t="n"/>
      <c r="E23" s="20" t="n"/>
      <c r="F23" s="15" t="n"/>
      <c r="G23" s="25">
        <f>IF(OR(E23="",F23=""),"",E23+F23/24)</f>
        <v/>
      </c>
      <c r="H23" s="15" t="n"/>
      <c r="I23" s="20" t="n"/>
      <c r="J23" s="15" t="n"/>
      <c r="K23" s="15" t="n"/>
      <c r="L23" s="15" t="n"/>
      <c r="M23" s="16">
        <f>IF(A23="","",IF(I23&lt;&gt;"","Respondido",IF(G23="","Sem prazo definido",IF(NOW()&gt;G23,"Prazo encerrado – sem resposta","Aguardando"))))</f>
        <v/>
      </c>
      <c r="N23" s="16">
        <f>IF(B23="","",IF(COUNTIF(B24:B$302,B23)=0,B23,""))</f>
        <v/>
      </c>
    </row>
    <row r="24">
      <c r="A24" s="15" t="n"/>
      <c r="B24" s="15" t="n"/>
      <c r="C24" s="15" t="n"/>
      <c r="D24" s="15" t="n"/>
      <c r="E24" s="20" t="n"/>
      <c r="F24" s="15" t="n"/>
      <c r="G24" s="25">
        <f>IF(OR(E24="",F24=""),"",E24+F24/24)</f>
        <v/>
      </c>
      <c r="H24" s="15" t="n"/>
      <c r="I24" s="20" t="n"/>
      <c r="J24" s="15" t="n"/>
      <c r="K24" s="15" t="n"/>
      <c r="L24" s="15" t="n"/>
      <c r="M24" s="16">
        <f>IF(A24="","",IF(I24&lt;&gt;"","Respondido",IF(G24="","Sem prazo definido",IF(NOW()&gt;G24,"Prazo encerrado – sem resposta","Aguardando"))))</f>
        <v/>
      </c>
      <c r="N24" s="16">
        <f>IF(B24="","",IF(COUNTIF(B25:B$302,B24)=0,B24,""))</f>
        <v/>
      </c>
    </row>
    <row r="25">
      <c r="A25" s="15" t="n"/>
      <c r="B25" s="15" t="n"/>
      <c r="C25" s="15" t="n"/>
      <c r="D25" s="15" t="n"/>
      <c r="E25" s="20" t="n"/>
      <c r="F25" s="15" t="n"/>
      <c r="G25" s="25">
        <f>IF(OR(E25="",F25=""),"",E25+F25/24)</f>
        <v/>
      </c>
      <c r="H25" s="15" t="n"/>
      <c r="I25" s="20" t="n"/>
      <c r="J25" s="15" t="n"/>
      <c r="K25" s="15" t="n"/>
      <c r="L25" s="15" t="n"/>
      <c r="M25" s="16">
        <f>IF(A25="","",IF(I25&lt;&gt;"","Respondido",IF(G25="","Sem prazo definido",IF(NOW()&gt;G25,"Prazo encerrado – sem resposta","Aguardando"))))</f>
        <v/>
      </c>
      <c r="N25" s="16">
        <f>IF(B25="","",IF(COUNTIF(B26:B$302,B25)=0,B25,""))</f>
        <v/>
      </c>
    </row>
    <row r="26">
      <c r="A26" s="15" t="n"/>
      <c r="B26" s="15" t="n"/>
      <c r="C26" s="15" t="n"/>
      <c r="D26" s="15" t="n"/>
      <c r="E26" s="20" t="n"/>
      <c r="F26" s="15" t="n"/>
      <c r="G26" s="25">
        <f>IF(OR(E26="",F26=""),"",E26+F26/24)</f>
        <v/>
      </c>
      <c r="H26" s="15" t="n"/>
      <c r="I26" s="20" t="n"/>
      <c r="J26" s="15" t="n"/>
      <c r="K26" s="15" t="n"/>
      <c r="L26" s="15" t="n"/>
      <c r="M26" s="16">
        <f>IF(A26="","",IF(I26&lt;&gt;"","Respondido",IF(G26="","Sem prazo definido",IF(NOW()&gt;G26,"Prazo encerrado – sem resposta","Aguardando"))))</f>
        <v/>
      </c>
      <c r="N26" s="16">
        <f>IF(B26="","",IF(COUNTIF(B27:B$302,B26)=0,B26,""))</f>
        <v/>
      </c>
    </row>
    <row r="27">
      <c r="A27" s="15" t="n"/>
      <c r="B27" s="15" t="n"/>
      <c r="C27" s="15" t="n"/>
      <c r="D27" s="15" t="n"/>
      <c r="E27" s="20" t="n"/>
      <c r="F27" s="15" t="n"/>
      <c r="G27" s="25">
        <f>IF(OR(E27="",F27=""),"",E27+F27/24)</f>
        <v/>
      </c>
      <c r="H27" s="15" t="n"/>
      <c r="I27" s="20" t="n"/>
      <c r="J27" s="15" t="n"/>
      <c r="K27" s="15" t="n"/>
      <c r="L27" s="15" t="n"/>
      <c r="M27" s="16">
        <f>IF(A27="","",IF(I27&lt;&gt;"","Respondido",IF(G27="","Sem prazo definido",IF(NOW()&gt;G27,"Prazo encerrado – sem resposta","Aguardando"))))</f>
        <v/>
      </c>
      <c r="N27" s="16">
        <f>IF(B27="","",IF(COUNTIF(B28:B$302,B27)=0,B27,""))</f>
        <v/>
      </c>
    </row>
    <row r="28">
      <c r="A28" s="15" t="n"/>
      <c r="B28" s="15" t="n"/>
      <c r="C28" s="15" t="n"/>
      <c r="D28" s="15" t="n"/>
      <c r="E28" s="20" t="n"/>
      <c r="F28" s="15" t="n"/>
      <c r="G28" s="25">
        <f>IF(OR(E28="",F28=""),"",E28+F28/24)</f>
        <v/>
      </c>
      <c r="H28" s="15" t="n"/>
      <c r="I28" s="20" t="n"/>
      <c r="J28" s="15" t="n"/>
      <c r="K28" s="15" t="n"/>
      <c r="L28" s="15" t="n"/>
      <c r="M28" s="16">
        <f>IF(A28="","",IF(I28&lt;&gt;"","Respondido",IF(G28="","Sem prazo definido",IF(NOW()&gt;G28,"Prazo encerrado – sem resposta","Aguardando"))))</f>
        <v/>
      </c>
      <c r="N28" s="16">
        <f>IF(B28="","",IF(COUNTIF(B29:B$302,B28)=0,B28,""))</f>
        <v/>
      </c>
    </row>
    <row r="29">
      <c r="A29" s="15" t="n"/>
      <c r="B29" s="15" t="n"/>
      <c r="C29" s="15" t="n"/>
      <c r="D29" s="15" t="n"/>
      <c r="E29" s="20" t="n"/>
      <c r="F29" s="15" t="n"/>
      <c r="G29" s="25">
        <f>IF(OR(E29="",F29=""),"",E29+F29/24)</f>
        <v/>
      </c>
      <c r="H29" s="15" t="n"/>
      <c r="I29" s="20" t="n"/>
      <c r="J29" s="15" t="n"/>
      <c r="K29" s="15" t="n"/>
      <c r="L29" s="15" t="n"/>
      <c r="M29" s="16">
        <f>IF(A29="","",IF(I29&lt;&gt;"","Respondido",IF(G29="","Sem prazo definido",IF(NOW()&gt;G29,"Prazo encerrado – sem resposta","Aguardando"))))</f>
        <v/>
      </c>
      <c r="N29" s="16">
        <f>IF(B29="","",IF(COUNTIF(B30:B$302,B29)=0,B29,""))</f>
        <v/>
      </c>
    </row>
    <row r="30">
      <c r="A30" s="15" t="n"/>
      <c r="B30" s="15" t="n"/>
      <c r="C30" s="15" t="n"/>
      <c r="D30" s="15" t="n"/>
      <c r="E30" s="20" t="n"/>
      <c r="F30" s="15" t="n"/>
      <c r="G30" s="25">
        <f>IF(OR(E30="",F30=""),"",E30+F30/24)</f>
        <v/>
      </c>
      <c r="H30" s="15" t="n"/>
      <c r="I30" s="20" t="n"/>
      <c r="J30" s="15" t="n"/>
      <c r="K30" s="15" t="n"/>
      <c r="L30" s="15" t="n"/>
      <c r="M30" s="16">
        <f>IF(A30="","",IF(I30&lt;&gt;"","Respondido",IF(G30="","Sem prazo definido",IF(NOW()&gt;G30,"Prazo encerrado – sem resposta","Aguardando"))))</f>
        <v/>
      </c>
      <c r="N30" s="16">
        <f>IF(B30="","",IF(COUNTIF(B31:B$302,B30)=0,B30,""))</f>
        <v/>
      </c>
    </row>
    <row r="31">
      <c r="A31" s="15" t="n"/>
      <c r="B31" s="15" t="n"/>
      <c r="C31" s="15" t="n"/>
      <c r="D31" s="15" t="n"/>
      <c r="E31" s="20" t="n"/>
      <c r="F31" s="15" t="n"/>
      <c r="G31" s="25">
        <f>IF(OR(E31="",F31=""),"",E31+F31/24)</f>
        <v/>
      </c>
      <c r="H31" s="15" t="n"/>
      <c r="I31" s="20" t="n"/>
      <c r="J31" s="15" t="n"/>
      <c r="K31" s="15" t="n"/>
      <c r="L31" s="15" t="n"/>
      <c r="M31" s="16">
        <f>IF(A31="","",IF(I31&lt;&gt;"","Respondido",IF(G31="","Sem prazo definido",IF(NOW()&gt;G31,"Prazo encerrado – sem resposta","Aguardando"))))</f>
        <v/>
      </c>
      <c r="N31" s="16">
        <f>IF(B31="","",IF(COUNTIF(B32:B$302,B31)=0,B31,""))</f>
        <v/>
      </c>
    </row>
    <row r="32">
      <c r="A32" s="15" t="n"/>
      <c r="B32" s="15" t="n"/>
      <c r="C32" s="15" t="n"/>
      <c r="D32" s="15" t="n"/>
      <c r="E32" s="20" t="n"/>
      <c r="F32" s="15" t="n"/>
      <c r="G32" s="25">
        <f>IF(OR(E32="",F32=""),"",E32+F32/24)</f>
        <v/>
      </c>
      <c r="H32" s="15" t="n"/>
      <c r="I32" s="20" t="n"/>
      <c r="J32" s="15" t="n"/>
      <c r="K32" s="15" t="n"/>
      <c r="L32" s="15" t="n"/>
      <c r="M32" s="16">
        <f>IF(A32="","",IF(I32&lt;&gt;"","Respondido",IF(G32="","Sem prazo definido",IF(NOW()&gt;G32,"Prazo encerrado – sem resposta","Aguardando"))))</f>
        <v/>
      </c>
      <c r="N32" s="16">
        <f>IF(B32="","",IF(COUNTIF(B33:B$302,B32)=0,B32,""))</f>
        <v/>
      </c>
    </row>
    <row r="33">
      <c r="A33" s="15" t="n"/>
      <c r="B33" s="15" t="n"/>
      <c r="C33" s="15" t="n"/>
      <c r="D33" s="15" t="n"/>
      <c r="E33" s="20" t="n"/>
      <c r="F33" s="15" t="n"/>
      <c r="G33" s="25">
        <f>IF(OR(E33="",F33=""),"",E33+F33/24)</f>
        <v/>
      </c>
      <c r="H33" s="15" t="n"/>
      <c r="I33" s="20" t="n"/>
      <c r="J33" s="15" t="n"/>
      <c r="K33" s="15" t="n"/>
      <c r="L33" s="15" t="n"/>
      <c r="M33" s="16">
        <f>IF(A33="","",IF(I33&lt;&gt;"","Respondido",IF(G33="","Sem prazo definido",IF(NOW()&gt;G33,"Prazo encerrado – sem resposta","Aguardando"))))</f>
        <v/>
      </c>
      <c r="N33" s="16">
        <f>IF(B33="","",IF(COUNTIF(B34:B$302,B33)=0,B33,""))</f>
        <v/>
      </c>
    </row>
    <row r="34">
      <c r="A34" s="15" t="n"/>
      <c r="B34" s="15" t="n"/>
      <c r="C34" s="15" t="n"/>
      <c r="D34" s="15" t="n"/>
      <c r="E34" s="20" t="n"/>
      <c r="F34" s="15" t="n"/>
      <c r="G34" s="25">
        <f>IF(OR(E34="",F34=""),"",E34+F34/24)</f>
        <v/>
      </c>
      <c r="H34" s="15" t="n"/>
      <c r="I34" s="20" t="n"/>
      <c r="J34" s="15" t="n"/>
      <c r="K34" s="15" t="n"/>
      <c r="L34" s="15" t="n"/>
      <c r="M34" s="16">
        <f>IF(A34="","",IF(I34&lt;&gt;"","Respondido",IF(G34="","Sem prazo definido",IF(NOW()&gt;G34,"Prazo encerrado – sem resposta","Aguardando"))))</f>
        <v/>
      </c>
      <c r="N34" s="16">
        <f>IF(B34="","",IF(COUNTIF(B35:B$302,B34)=0,B34,""))</f>
        <v/>
      </c>
    </row>
    <row r="35">
      <c r="A35" s="15" t="n"/>
      <c r="B35" s="15" t="n"/>
      <c r="C35" s="15" t="n"/>
      <c r="D35" s="15" t="n"/>
      <c r="E35" s="20" t="n"/>
      <c r="F35" s="15" t="n"/>
      <c r="G35" s="25">
        <f>IF(OR(E35="",F35=""),"",E35+F35/24)</f>
        <v/>
      </c>
      <c r="H35" s="15" t="n"/>
      <c r="I35" s="20" t="n"/>
      <c r="J35" s="15" t="n"/>
      <c r="K35" s="15" t="n"/>
      <c r="L35" s="15" t="n"/>
      <c r="M35" s="16">
        <f>IF(A35="","",IF(I35&lt;&gt;"","Respondido",IF(G35="","Sem prazo definido",IF(NOW()&gt;G35,"Prazo encerrado – sem resposta","Aguardando"))))</f>
        <v/>
      </c>
      <c r="N35" s="16">
        <f>IF(B35="","",IF(COUNTIF(B36:B$302,B35)=0,B35,""))</f>
        <v/>
      </c>
    </row>
    <row r="36">
      <c r="A36" s="15" t="n"/>
      <c r="B36" s="15" t="n"/>
      <c r="C36" s="15" t="n"/>
      <c r="D36" s="15" t="n"/>
      <c r="E36" s="20" t="n"/>
      <c r="F36" s="15" t="n"/>
      <c r="G36" s="25">
        <f>IF(OR(E36="",F36=""),"",E36+F36/24)</f>
        <v/>
      </c>
      <c r="H36" s="15" t="n"/>
      <c r="I36" s="20" t="n"/>
      <c r="J36" s="15" t="n"/>
      <c r="K36" s="15" t="n"/>
      <c r="L36" s="15" t="n"/>
      <c r="M36" s="16">
        <f>IF(A36="","",IF(I36&lt;&gt;"","Respondido",IF(G36="","Sem prazo definido",IF(NOW()&gt;G36,"Prazo encerrado – sem resposta","Aguardando"))))</f>
        <v/>
      </c>
      <c r="N36" s="16">
        <f>IF(B36="","",IF(COUNTIF(B37:B$302,B36)=0,B36,""))</f>
        <v/>
      </c>
    </row>
    <row r="37">
      <c r="A37" s="15" t="n"/>
      <c r="B37" s="15" t="n"/>
      <c r="C37" s="15" t="n"/>
      <c r="D37" s="15" t="n"/>
      <c r="E37" s="20" t="n"/>
      <c r="F37" s="15" t="n"/>
      <c r="G37" s="25">
        <f>IF(OR(E37="",F37=""),"",E37+F37/24)</f>
        <v/>
      </c>
      <c r="H37" s="15" t="n"/>
      <c r="I37" s="20" t="n"/>
      <c r="J37" s="15" t="n"/>
      <c r="K37" s="15" t="n"/>
      <c r="L37" s="15" t="n"/>
      <c r="M37" s="16">
        <f>IF(A37="","",IF(I37&lt;&gt;"","Respondido",IF(G37="","Sem prazo definido",IF(NOW()&gt;G37,"Prazo encerrado – sem resposta","Aguardando"))))</f>
        <v/>
      </c>
      <c r="N37" s="16">
        <f>IF(B37="","",IF(COUNTIF(B38:B$302,B37)=0,B37,""))</f>
        <v/>
      </c>
    </row>
    <row r="38">
      <c r="A38" s="15" t="n"/>
      <c r="B38" s="15" t="n"/>
      <c r="C38" s="15" t="n"/>
      <c r="D38" s="15" t="n"/>
      <c r="E38" s="20" t="n"/>
      <c r="F38" s="15" t="n"/>
      <c r="G38" s="25">
        <f>IF(OR(E38="",F38=""),"",E38+F38/24)</f>
        <v/>
      </c>
      <c r="H38" s="15" t="n"/>
      <c r="I38" s="20" t="n"/>
      <c r="J38" s="15" t="n"/>
      <c r="K38" s="15" t="n"/>
      <c r="L38" s="15" t="n"/>
      <c r="M38" s="16">
        <f>IF(A38="","",IF(I38&lt;&gt;"","Respondido",IF(G38="","Sem prazo definido",IF(NOW()&gt;G38,"Prazo encerrado – sem resposta","Aguardando"))))</f>
        <v/>
      </c>
      <c r="N38" s="16">
        <f>IF(B38="","",IF(COUNTIF(B39:B$302,B38)=0,B38,""))</f>
        <v/>
      </c>
    </row>
    <row r="39">
      <c r="A39" s="15" t="n"/>
      <c r="B39" s="15" t="n"/>
      <c r="C39" s="15" t="n"/>
      <c r="D39" s="15" t="n"/>
      <c r="E39" s="20" t="n"/>
      <c r="F39" s="15" t="n"/>
      <c r="G39" s="25">
        <f>IF(OR(E39="",F39=""),"",E39+F39/24)</f>
        <v/>
      </c>
      <c r="H39" s="15" t="n"/>
      <c r="I39" s="20" t="n"/>
      <c r="J39" s="15" t="n"/>
      <c r="K39" s="15" t="n"/>
      <c r="L39" s="15" t="n"/>
      <c r="M39" s="16">
        <f>IF(A39="","",IF(I39&lt;&gt;"","Respondido",IF(G39="","Sem prazo definido",IF(NOW()&gt;G39,"Prazo encerrado – sem resposta","Aguardando"))))</f>
        <v/>
      </c>
      <c r="N39" s="16">
        <f>IF(B39="","",IF(COUNTIF(B40:B$302,B39)=0,B39,""))</f>
        <v/>
      </c>
    </row>
    <row r="40">
      <c r="A40" s="15" t="n"/>
      <c r="B40" s="15" t="n"/>
      <c r="C40" s="15" t="n"/>
      <c r="D40" s="15" t="n"/>
      <c r="E40" s="20" t="n"/>
      <c r="F40" s="15" t="n"/>
      <c r="G40" s="25">
        <f>IF(OR(E40="",F40=""),"",E40+F40/24)</f>
        <v/>
      </c>
      <c r="H40" s="15" t="n"/>
      <c r="I40" s="20" t="n"/>
      <c r="J40" s="15" t="n"/>
      <c r="K40" s="15" t="n"/>
      <c r="L40" s="15" t="n"/>
      <c r="M40" s="16">
        <f>IF(A40="","",IF(I40&lt;&gt;"","Respondido",IF(G40="","Sem prazo definido",IF(NOW()&gt;G40,"Prazo encerrado – sem resposta","Aguardando"))))</f>
        <v/>
      </c>
      <c r="N40" s="16">
        <f>IF(B40="","",IF(COUNTIF(B41:B$302,B40)=0,B40,""))</f>
        <v/>
      </c>
    </row>
    <row r="41">
      <c r="A41" s="15" t="n"/>
      <c r="B41" s="15" t="n"/>
      <c r="C41" s="15" t="n"/>
      <c r="D41" s="15" t="n"/>
      <c r="E41" s="20" t="n"/>
      <c r="F41" s="15" t="n"/>
      <c r="G41" s="25">
        <f>IF(OR(E41="",F41=""),"",E41+F41/24)</f>
        <v/>
      </c>
      <c r="H41" s="15" t="n"/>
      <c r="I41" s="20" t="n"/>
      <c r="J41" s="15" t="n"/>
      <c r="K41" s="15" t="n"/>
      <c r="L41" s="15" t="n"/>
      <c r="M41" s="16">
        <f>IF(A41="","",IF(I41&lt;&gt;"","Respondido",IF(G41="","Sem prazo definido",IF(NOW()&gt;G41,"Prazo encerrado – sem resposta","Aguardando"))))</f>
        <v/>
      </c>
      <c r="N41" s="16">
        <f>IF(B41="","",IF(COUNTIF(B42:B$302,B41)=0,B41,""))</f>
        <v/>
      </c>
    </row>
    <row r="42">
      <c r="A42" s="15" t="n"/>
      <c r="B42" s="15" t="n"/>
      <c r="C42" s="15" t="n"/>
      <c r="D42" s="15" t="n"/>
      <c r="E42" s="20" t="n"/>
      <c r="F42" s="15" t="n"/>
      <c r="G42" s="25">
        <f>IF(OR(E42="",F42=""),"",E42+F42/24)</f>
        <v/>
      </c>
      <c r="H42" s="15" t="n"/>
      <c r="I42" s="20" t="n"/>
      <c r="J42" s="15" t="n"/>
      <c r="K42" s="15" t="n"/>
      <c r="L42" s="15" t="n"/>
      <c r="M42" s="16">
        <f>IF(A42="","",IF(I42&lt;&gt;"","Respondido",IF(G42="","Sem prazo definido",IF(NOW()&gt;G42,"Prazo encerrado – sem resposta","Aguardando"))))</f>
        <v/>
      </c>
      <c r="N42" s="16">
        <f>IF(B42="","",IF(COUNTIF(B43:B$302,B42)=0,B42,""))</f>
        <v/>
      </c>
    </row>
    <row r="43">
      <c r="A43" s="15" t="n"/>
      <c r="B43" s="15" t="n"/>
      <c r="C43" s="15" t="n"/>
      <c r="D43" s="15" t="n"/>
      <c r="E43" s="20" t="n"/>
      <c r="F43" s="15" t="n"/>
      <c r="G43" s="25">
        <f>IF(OR(E43="",F43=""),"",E43+F43/24)</f>
        <v/>
      </c>
      <c r="H43" s="15" t="n"/>
      <c r="I43" s="20" t="n"/>
      <c r="J43" s="15" t="n"/>
      <c r="K43" s="15" t="n"/>
      <c r="L43" s="15" t="n"/>
      <c r="M43" s="16">
        <f>IF(A43="","",IF(I43&lt;&gt;"","Respondido",IF(G43="","Sem prazo definido",IF(NOW()&gt;G43,"Prazo encerrado – sem resposta","Aguardando"))))</f>
        <v/>
      </c>
      <c r="N43" s="16">
        <f>IF(B43="","",IF(COUNTIF(B44:B$302,B43)=0,B43,""))</f>
        <v/>
      </c>
    </row>
    <row r="44">
      <c r="A44" s="15" t="n"/>
      <c r="B44" s="15" t="n"/>
      <c r="C44" s="15" t="n"/>
      <c r="D44" s="15" t="n"/>
      <c r="E44" s="20" t="n"/>
      <c r="F44" s="15" t="n"/>
      <c r="G44" s="25">
        <f>IF(OR(E44="",F44=""),"",E44+F44/24)</f>
        <v/>
      </c>
      <c r="H44" s="15" t="n"/>
      <c r="I44" s="20" t="n"/>
      <c r="J44" s="15" t="n"/>
      <c r="K44" s="15" t="n"/>
      <c r="L44" s="15" t="n"/>
      <c r="M44" s="16">
        <f>IF(A44="","",IF(I44&lt;&gt;"","Respondido",IF(G44="","Sem prazo definido",IF(NOW()&gt;G44,"Prazo encerrado – sem resposta","Aguardando"))))</f>
        <v/>
      </c>
      <c r="N44" s="16">
        <f>IF(B44="","",IF(COUNTIF(B45:B$302,B44)=0,B44,""))</f>
        <v/>
      </c>
    </row>
    <row r="45">
      <c r="A45" s="15" t="n"/>
      <c r="B45" s="15" t="n"/>
      <c r="C45" s="15" t="n"/>
      <c r="D45" s="15" t="n"/>
      <c r="E45" s="20" t="n"/>
      <c r="F45" s="15" t="n"/>
      <c r="G45" s="25">
        <f>IF(OR(E45="",F45=""),"",E45+F45/24)</f>
        <v/>
      </c>
      <c r="H45" s="15" t="n"/>
      <c r="I45" s="20" t="n"/>
      <c r="J45" s="15" t="n"/>
      <c r="K45" s="15" t="n"/>
      <c r="L45" s="15" t="n"/>
      <c r="M45" s="16">
        <f>IF(A45="","",IF(I45&lt;&gt;"","Respondido",IF(G45="","Sem prazo definido",IF(NOW()&gt;G45,"Prazo encerrado – sem resposta","Aguardando"))))</f>
        <v/>
      </c>
      <c r="N45" s="16">
        <f>IF(B45="","",IF(COUNTIF(B46:B$302,B45)=0,B45,""))</f>
        <v/>
      </c>
    </row>
    <row r="46">
      <c r="A46" s="15" t="n"/>
      <c r="B46" s="15" t="n"/>
      <c r="C46" s="15" t="n"/>
      <c r="D46" s="15" t="n"/>
      <c r="E46" s="20" t="n"/>
      <c r="F46" s="15" t="n"/>
      <c r="G46" s="25">
        <f>IF(OR(E46="",F46=""),"",E46+F46/24)</f>
        <v/>
      </c>
      <c r="H46" s="15" t="n"/>
      <c r="I46" s="20" t="n"/>
      <c r="J46" s="15" t="n"/>
      <c r="K46" s="15" t="n"/>
      <c r="L46" s="15" t="n"/>
      <c r="M46" s="16">
        <f>IF(A46="","",IF(I46&lt;&gt;"","Respondido",IF(G46="","Sem prazo definido",IF(NOW()&gt;G46,"Prazo encerrado – sem resposta","Aguardando"))))</f>
        <v/>
      </c>
      <c r="N46" s="16">
        <f>IF(B46="","",IF(COUNTIF(B47:B$302,B46)=0,B46,""))</f>
        <v/>
      </c>
    </row>
    <row r="47">
      <c r="A47" s="15" t="n"/>
      <c r="B47" s="15" t="n"/>
      <c r="C47" s="15" t="n"/>
      <c r="D47" s="15" t="n"/>
      <c r="E47" s="20" t="n"/>
      <c r="F47" s="15" t="n"/>
      <c r="G47" s="25">
        <f>IF(OR(E47="",F47=""),"",E47+F47/24)</f>
        <v/>
      </c>
      <c r="H47" s="15" t="n"/>
      <c r="I47" s="20" t="n"/>
      <c r="J47" s="15" t="n"/>
      <c r="K47" s="15" t="n"/>
      <c r="L47" s="15" t="n"/>
      <c r="M47" s="16">
        <f>IF(A47="","",IF(I47&lt;&gt;"","Respondido",IF(G47="","Sem prazo definido",IF(NOW()&gt;G47,"Prazo encerrado – sem resposta","Aguardando"))))</f>
        <v/>
      </c>
      <c r="N47" s="16">
        <f>IF(B47="","",IF(COUNTIF(B48:B$302,B47)=0,B47,""))</f>
        <v/>
      </c>
    </row>
    <row r="48">
      <c r="A48" s="15" t="n"/>
      <c r="B48" s="15" t="n"/>
      <c r="C48" s="15" t="n"/>
      <c r="D48" s="15" t="n"/>
      <c r="E48" s="20" t="n"/>
      <c r="F48" s="15" t="n"/>
      <c r="G48" s="25">
        <f>IF(OR(E48="",F48=""),"",E48+F48/24)</f>
        <v/>
      </c>
      <c r="H48" s="15" t="n"/>
      <c r="I48" s="20" t="n"/>
      <c r="J48" s="15" t="n"/>
      <c r="K48" s="15" t="n"/>
      <c r="L48" s="15" t="n"/>
      <c r="M48" s="16">
        <f>IF(A48="","",IF(I48&lt;&gt;"","Respondido",IF(G48="","Sem prazo definido",IF(NOW()&gt;G48,"Prazo encerrado – sem resposta","Aguardando"))))</f>
        <v/>
      </c>
      <c r="N48" s="16">
        <f>IF(B48="","",IF(COUNTIF(B49:B$302,B48)=0,B48,""))</f>
        <v/>
      </c>
    </row>
    <row r="49">
      <c r="A49" s="15" t="n"/>
      <c r="B49" s="15" t="n"/>
      <c r="C49" s="15" t="n"/>
      <c r="D49" s="15" t="n"/>
      <c r="E49" s="20" t="n"/>
      <c r="F49" s="15" t="n"/>
      <c r="G49" s="25">
        <f>IF(OR(E49="",F49=""),"",E49+F49/24)</f>
        <v/>
      </c>
      <c r="H49" s="15" t="n"/>
      <c r="I49" s="20" t="n"/>
      <c r="J49" s="15" t="n"/>
      <c r="K49" s="15" t="n"/>
      <c r="L49" s="15" t="n"/>
      <c r="M49" s="16">
        <f>IF(A49="","",IF(I49&lt;&gt;"","Respondido",IF(G49="","Sem prazo definido",IF(NOW()&gt;G49,"Prazo encerrado – sem resposta","Aguardando"))))</f>
        <v/>
      </c>
      <c r="N49" s="16">
        <f>IF(B49="","",IF(COUNTIF(B50:B$302,B49)=0,B49,""))</f>
        <v/>
      </c>
    </row>
    <row r="50">
      <c r="A50" s="15" t="n"/>
      <c r="B50" s="15" t="n"/>
      <c r="C50" s="15" t="n"/>
      <c r="D50" s="15" t="n"/>
      <c r="E50" s="20" t="n"/>
      <c r="F50" s="15" t="n"/>
      <c r="G50" s="25">
        <f>IF(OR(E50="",F50=""),"",E50+F50/24)</f>
        <v/>
      </c>
      <c r="H50" s="15" t="n"/>
      <c r="I50" s="20" t="n"/>
      <c r="J50" s="15" t="n"/>
      <c r="K50" s="15" t="n"/>
      <c r="L50" s="15" t="n"/>
      <c r="M50" s="16">
        <f>IF(A50="","",IF(I50&lt;&gt;"","Respondido",IF(G50="","Sem prazo definido",IF(NOW()&gt;G50,"Prazo encerrado – sem resposta","Aguardando"))))</f>
        <v/>
      </c>
      <c r="N50" s="16">
        <f>IF(B50="","",IF(COUNTIF(B51:B$302,B50)=0,B50,""))</f>
        <v/>
      </c>
    </row>
    <row r="51">
      <c r="A51" s="15" t="n"/>
      <c r="B51" s="15" t="n"/>
      <c r="C51" s="15" t="n"/>
      <c r="D51" s="15" t="n"/>
      <c r="E51" s="20" t="n"/>
      <c r="F51" s="15" t="n"/>
      <c r="G51" s="25">
        <f>IF(OR(E51="",F51=""),"",E51+F51/24)</f>
        <v/>
      </c>
      <c r="H51" s="15" t="n"/>
      <c r="I51" s="20" t="n"/>
      <c r="J51" s="15" t="n"/>
      <c r="K51" s="15" t="n"/>
      <c r="L51" s="15" t="n"/>
      <c r="M51" s="16">
        <f>IF(A51="","",IF(I51&lt;&gt;"","Respondido",IF(G51="","Sem prazo definido",IF(NOW()&gt;G51,"Prazo encerrado – sem resposta","Aguardando"))))</f>
        <v/>
      </c>
      <c r="N51" s="16">
        <f>IF(B51="","",IF(COUNTIF(B52:B$302,B51)=0,B51,""))</f>
        <v/>
      </c>
    </row>
    <row r="52">
      <c r="A52" s="15" t="n"/>
      <c r="B52" s="15" t="n"/>
      <c r="C52" s="15" t="n"/>
      <c r="D52" s="15" t="n"/>
      <c r="E52" s="20" t="n"/>
      <c r="F52" s="15" t="n"/>
      <c r="G52" s="25">
        <f>IF(OR(E52="",F52=""),"",E52+F52/24)</f>
        <v/>
      </c>
      <c r="H52" s="15" t="n"/>
      <c r="I52" s="20" t="n"/>
      <c r="J52" s="15" t="n"/>
      <c r="K52" s="15" t="n"/>
      <c r="L52" s="15" t="n"/>
      <c r="M52" s="16">
        <f>IF(A52="","",IF(I52&lt;&gt;"","Respondido",IF(G52="","Sem prazo definido",IF(NOW()&gt;G52,"Prazo encerrado – sem resposta","Aguardando"))))</f>
        <v/>
      </c>
      <c r="N52" s="16">
        <f>IF(B52="","",IF(COUNTIF(B53:B$302,B52)=0,B52,""))</f>
        <v/>
      </c>
    </row>
    <row r="53">
      <c r="A53" s="15" t="n"/>
      <c r="B53" s="15" t="n"/>
      <c r="C53" s="15" t="n"/>
      <c r="D53" s="15" t="n"/>
      <c r="E53" s="20" t="n"/>
      <c r="F53" s="15" t="n"/>
      <c r="G53" s="25">
        <f>IF(OR(E53="",F53=""),"",E53+F53/24)</f>
        <v/>
      </c>
      <c r="H53" s="15" t="n"/>
      <c r="I53" s="20" t="n"/>
      <c r="J53" s="15" t="n"/>
      <c r="K53" s="15" t="n"/>
      <c r="L53" s="15" t="n"/>
      <c r="M53" s="16">
        <f>IF(A53="","",IF(I53&lt;&gt;"","Respondido",IF(G53="","Sem prazo definido",IF(NOW()&gt;G53,"Prazo encerrado – sem resposta","Aguardando"))))</f>
        <v/>
      </c>
      <c r="N53" s="16">
        <f>IF(B53="","",IF(COUNTIF(B54:B$302,B53)=0,B53,""))</f>
        <v/>
      </c>
    </row>
    <row r="54">
      <c r="A54" s="15" t="n"/>
      <c r="B54" s="15" t="n"/>
      <c r="C54" s="15" t="n"/>
      <c r="D54" s="15" t="n"/>
      <c r="E54" s="20" t="n"/>
      <c r="F54" s="15" t="n"/>
      <c r="G54" s="25">
        <f>IF(OR(E54="",F54=""),"",E54+F54/24)</f>
        <v/>
      </c>
      <c r="H54" s="15" t="n"/>
      <c r="I54" s="20" t="n"/>
      <c r="J54" s="15" t="n"/>
      <c r="K54" s="15" t="n"/>
      <c r="L54" s="15" t="n"/>
      <c r="M54" s="16">
        <f>IF(A54="","",IF(I54&lt;&gt;"","Respondido",IF(G54="","Sem prazo definido",IF(NOW()&gt;G54,"Prazo encerrado – sem resposta","Aguardando"))))</f>
        <v/>
      </c>
      <c r="N54" s="16">
        <f>IF(B54="","",IF(COUNTIF(B55:B$302,B54)=0,B54,""))</f>
        <v/>
      </c>
    </row>
    <row r="55">
      <c r="A55" s="15" t="n"/>
      <c r="B55" s="15" t="n"/>
      <c r="C55" s="15" t="n"/>
      <c r="D55" s="15" t="n"/>
      <c r="E55" s="20" t="n"/>
      <c r="F55" s="15" t="n"/>
      <c r="G55" s="25">
        <f>IF(OR(E55="",F55=""),"",E55+F55/24)</f>
        <v/>
      </c>
      <c r="H55" s="15" t="n"/>
      <c r="I55" s="20" t="n"/>
      <c r="J55" s="15" t="n"/>
      <c r="K55" s="15" t="n"/>
      <c r="L55" s="15" t="n"/>
      <c r="M55" s="16">
        <f>IF(A55="","",IF(I55&lt;&gt;"","Respondido",IF(G55="","Sem prazo definido",IF(NOW()&gt;G55,"Prazo encerrado – sem resposta","Aguardando"))))</f>
        <v/>
      </c>
      <c r="N55" s="16">
        <f>IF(B55="","",IF(COUNTIF(B56:B$302,B55)=0,B55,""))</f>
        <v/>
      </c>
    </row>
    <row r="56">
      <c r="A56" s="15" t="n"/>
      <c r="B56" s="15" t="n"/>
      <c r="C56" s="15" t="n"/>
      <c r="D56" s="15" t="n"/>
      <c r="E56" s="20" t="n"/>
      <c r="F56" s="15" t="n"/>
      <c r="G56" s="25">
        <f>IF(OR(E56="",F56=""),"",E56+F56/24)</f>
        <v/>
      </c>
      <c r="H56" s="15" t="n"/>
      <c r="I56" s="20" t="n"/>
      <c r="J56" s="15" t="n"/>
      <c r="K56" s="15" t="n"/>
      <c r="L56" s="15" t="n"/>
      <c r="M56" s="16">
        <f>IF(A56="","",IF(I56&lt;&gt;"","Respondido",IF(G56="","Sem prazo definido",IF(NOW()&gt;G56,"Prazo encerrado – sem resposta","Aguardando"))))</f>
        <v/>
      </c>
      <c r="N56" s="16">
        <f>IF(B56="","",IF(COUNTIF(B57:B$302,B56)=0,B56,""))</f>
        <v/>
      </c>
    </row>
    <row r="57">
      <c r="A57" s="15" t="n"/>
      <c r="B57" s="15" t="n"/>
      <c r="C57" s="15" t="n"/>
      <c r="D57" s="15" t="n"/>
      <c r="E57" s="20" t="n"/>
      <c r="F57" s="15" t="n"/>
      <c r="G57" s="25">
        <f>IF(OR(E57="",F57=""),"",E57+F57/24)</f>
        <v/>
      </c>
      <c r="H57" s="15" t="n"/>
      <c r="I57" s="20" t="n"/>
      <c r="J57" s="15" t="n"/>
      <c r="K57" s="15" t="n"/>
      <c r="L57" s="15" t="n"/>
      <c r="M57" s="16">
        <f>IF(A57="","",IF(I57&lt;&gt;"","Respondido",IF(G57="","Sem prazo definido",IF(NOW()&gt;G57,"Prazo encerrado – sem resposta","Aguardando"))))</f>
        <v/>
      </c>
      <c r="N57" s="16">
        <f>IF(B57="","",IF(COUNTIF(B58:B$302,B57)=0,B57,""))</f>
        <v/>
      </c>
    </row>
    <row r="58">
      <c r="A58" s="15" t="n"/>
      <c r="B58" s="15" t="n"/>
      <c r="C58" s="15" t="n"/>
      <c r="D58" s="15" t="n"/>
      <c r="E58" s="20" t="n"/>
      <c r="F58" s="15" t="n"/>
      <c r="G58" s="25">
        <f>IF(OR(E58="",F58=""),"",E58+F58/24)</f>
        <v/>
      </c>
      <c r="H58" s="15" t="n"/>
      <c r="I58" s="20" t="n"/>
      <c r="J58" s="15" t="n"/>
      <c r="K58" s="15" t="n"/>
      <c r="L58" s="15" t="n"/>
      <c r="M58" s="16">
        <f>IF(A58="","",IF(I58&lt;&gt;"","Respondido",IF(G58="","Sem prazo definido",IF(NOW()&gt;G58,"Prazo encerrado – sem resposta","Aguardando"))))</f>
        <v/>
      </c>
      <c r="N58" s="16">
        <f>IF(B58="","",IF(COUNTIF(B59:B$302,B58)=0,B58,""))</f>
        <v/>
      </c>
    </row>
    <row r="59">
      <c r="A59" s="15" t="n"/>
      <c r="B59" s="15" t="n"/>
      <c r="C59" s="15" t="n"/>
      <c r="D59" s="15" t="n"/>
      <c r="E59" s="20" t="n"/>
      <c r="F59" s="15" t="n"/>
      <c r="G59" s="25">
        <f>IF(OR(E59="",F59=""),"",E59+F59/24)</f>
        <v/>
      </c>
      <c r="H59" s="15" t="n"/>
      <c r="I59" s="20" t="n"/>
      <c r="J59" s="15" t="n"/>
      <c r="K59" s="15" t="n"/>
      <c r="L59" s="15" t="n"/>
      <c r="M59" s="16">
        <f>IF(A59="","",IF(I59&lt;&gt;"","Respondido",IF(G59="","Sem prazo definido",IF(NOW()&gt;G59,"Prazo encerrado – sem resposta","Aguardando"))))</f>
        <v/>
      </c>
      <c r="N59" s="16">
        <f>IF(B59="","",IF(COUNTIF(B60:B$302,B59)=0,B59,""))</f>
        <v/>
      </c>
    </row>
    <row r="60">
      <c r="A60" s="15" t="n"/>
      <c r="B60" s="15" t="n"/>
      <c r="C60" s="15" t="n"/>
      <c r="D60" s="15" t="n"/>
      <c r="E60" s="20" t="n"/>
      <c r="F60" s="15" t="n"/>
      <c r="G60" s="25">
        <f>IF(OR(E60="",F60=""),"",E60+F60/24)</f>
        <v/>
      </c>
      <c r="H60" s="15" t="n"/>
      <c r="I60" s="20" t="n"/>
      <c r="J60" s="15" t="n"/>
      <c r="K60" s="15" t="n"/>
      <c r="L60" s="15" t="n"/>
      <c r="M60" s="16">
        <f>IF(A60="","",IF(I60&lt;&gt;"","Respondido",IF(G60="","Sem prazo definido",IF(NOW()&gt;G60,"Prazo encerrado – sem resposta","Aguardando"))))</f>
        <v/>
      </c>
      <c r="N60" s="16">
        <f>IF(B60="","",IF(COUNTIF(B61:B$302,B60)=0,B60,""))</f>
        <v/>
      </c>
    </row>
    <row r="61">
      <c r="A61" s="15" t="n"/>
      <c r="B61" s="15" t="n"/>
      <c r="C61" s="15" t="n"/>
      <c r="D61" s="15" t="n"/>
      <c r="E61" s="20" t="n"/>
      <c r="F61" s="15" t="n"/>
      <c r="G61" s="25">
        <f>IF(OR(E61="",F61=""),"",E61+F61/24)</f>
        <v/>
      </c>
      <c r="H61" s="15" t="n"/>
      <c r="I61" s="20" t="n"/>
      <c r="J61" s="15" t="n"/>
      <c r="K61" s="15" t="n"/>
      <c r="L61" s="15" t="n"/>
      <c r="M61" s="16">
        <f>IF(A61="","",IF(I61&lt;&gt;"","Respondido",IF(G61="","Sem prazo definido",IF(NOW()&gt;G61,"Prazo encerrado – sem resposta","Aguardando"))))</f>
        <v/>
      </c>
      <c r="N61" s="16">
        <f>IF(B61="","",IF(COUNTIF(B62:B$302,B61)=0,B61,""))</f>
        <v/>
      </c>
    </row>
    <row r="62">
      <c r="A62" s="15" t="n"/>
      <c r="B62" s="15" t="n"/>
      <c r="C62" s="15" t="n"/>
      <c r="D62" s="15" t="n"/>
      <c r="E62" s="20" t="n"/>
      <c r="F62" s="15" t="n"/>
      <c r="G62" s="25">
        <f>IF(OR(E62="",F62=""),"",E62+F62/24)</f>
        <v/>
      </c>
      <c r="H62" s="15" t="n"/>
      <c r="I62" s="20" t="n"/>
      <c r="J62" s="15" t="n"/>
      <c r="K62" s="15" t="n"/>
      <c r="L62" s="15" t="n"/>
      <c r="M62" s="16">
        <f>IF(A62="","",IF(I62&lt;&gt;"","Respondido",IF(G62="","Sem prazo definido",IF(NOW()&gt;G62,"Prazo encerrado – sem resposta","Aguardando"))))</f>
        <v/>
      </c>
      <c r="N62" s="16">
        <f>IF(B62="","",IF(COUNTIF(B63:B$302,B62)=0,B62,""))</f>
        <v/>
      </c>
    </row>
    <row r="63">
      <c r="A63" s="15" t="n"/>
      <c r="B63" s="15" t="n"/>
      <c r="C63" s="15" t="n"/>
      <c r="D63" s="15" t="n"/>
      <c r="E63" s="20" t="n"/>
      <c r="F63" s="15" t="n"/>
      <c r="G63" s="25">
        <f>IF(OR(E63="",F63=""),"",E63+F63/24)</f>
        <v/>
      </c>
      <c r="H63" s="15" t="n"/>
      <c r="I63" s="20" t="n"/>
      <c r="J63" s="15" t="n"/>
      <c r="K63" s="15" t="n"/>
      <c r="L63" s="15" t="n"/>
      <c r="M63" s="16">
        <f>IF(A63="","",IF(I63&lt;&gt;"","Respondido",IF(G63="","Sem prazo definido",IF(NOW()&gt;G63,"Prazo encerrado – sem resposta","Aguardando"))))</f>
        <v/>
      </c>
      <c r="N63" s="16">
        <f>IF(B63="","",IF(COUNTIF(B64:B$302,B63)=0,B63,""))</f>
        <v/>
      </c>
    </row>
    <row r="64">
      <c r="A64" s="15" t="n"/>
      <c r="B64" s="15" t="n"/>
      <c r="C64" s="15" t="n"/>
      <c r="D64" s="15" t="n"/>
      <c r="E64" s="20" t="n"/>
      <c r="F64" s="15" t="n"/>
      <c r="G64" s="25">
        <f>IF(OR(E64="",F64=""),"",E64+F64/24)</f>
        <v/>
      </c>
      <c r="H64" s="15" t="n"/>
      <c r="I64" s="20" t="n"/>
      <c r="J64" s="15" t="n"/>
      <c r="K64" s="15" t="n"/>
      <c r="L64" s="15" t="n"/>
      <c r="M64" s="16">
        <f>IF(A64="","",IF(I64&lt;&gt;"","Respondido",IF(G64="","Sem prazo definido",IF(NOW()&gt;G64,"Prazo encerrado – sem resposta","Aguardando"))))</f>
        <v/>
      </c>
      <c r="N64" s="16">
        <f>IF(B64="","",IF(COUNTIF(B65:B$302,B64)=0,B64,""))</f>
        <v/>
      </c>
    </row>
    <row r="65">
      <c r="A65" s="15" t="n"/>
      <c r="B65" s="15" t="n"/>
      <c r="C65" s="15" t="n"/>
      <c r="D65" s="15" t="n"/>
      <c r="E65" s="20" t="n"/>
      <c r="F65" s="15" t="n"/>
      <c r="G65" s="25">
        <f>IF(OR(E65="",F65=""),"",E65+F65/24)</f>
        <v/>
      </c>
      <c r="H65" s="15" t="n"/>
      <c r="I65" s="20" t="n"/>
      <c r="J65" s="15" t="n"/>
      <c r="K65" s="15" t="n"/>
      <c r="L65" s="15" t="n"/>
      <c r="M65" s="16">
        <f>IF(A65="","",IF(I65&lt;&gt;"","Respondido",IF(G65="","Sem prazo definido",IF(NOW()&gt;G65,"Prazo encerrado – sem resposta","Aguardando"))))</f>
        <v/>
      </c>
      <c r="N65" s="16">
        <f>IF(B65="","",IF(COUNTIF(B66:B$302,B65)=0,B65,""))</f>
        <v/>
      </c>
    </row>
    <row r="66">
      <c r="A66" s="15" t="n"/>
      <c r="B66" s="15" t="n"/>
      <c r="C66" s="15" t="n"/>
      <c r="D66" s="15" t="n"/>
      <c r="E66" s="20" t="n"/>
      <c r="F66" s="15" t="n"/>
      <c r="G66" s="25">
        <f>IF(OR(E66="",F66=""),"",E66+F66/24)</f>
        <v/>
      </c>
      <c r="H66" s="15" t="n"/>
      <c r="I66" s="20" t="n"/>
      <c r="J66" s="15" t="n"/>
      <c r="K66" s="15" t="n"/>
      <c r="L66" s="15" t="n"/>
      <c r="M66" s="16">
        <f>IF(A66="","",IF(I66&lt;&gt;"","Respondido",IF(G66="","Sem prazo definido",IF(NOW()&gt;G66,"Prazo encerrado – sem resposta","Aguardando"))))</f>
        <v/>
      </c>
      <c r="N66" s="16">
        <f>IF(B66="","",IF(COUNTIF(B67:B$302,B66)=0,B66,""))</f>
        <v/>
      </c>
    </row>
    <row r="67">
      <c r="A67" s="15" t="n"/>
      <c r="B67" s="15" t="n"/>
      <c r="C67" s="15" t="n"/>
      <c r="D67" s="15" t="n"/>
      <c r="E67" s="20" t="n"/>
      <c r="F67" s="15" t="n"/>
      <c r="G67" s="25">
        <f>IF(OR(E67="",F67=""),"",E67+F67/24)</f>
        <v/>
      </c>
      <c r="H67" s="15" t="n"/>
      <c r="I67" s="20" t="n"/>
      <c r="J67" s="15" t="n"/>
      <c r="K67" s="15" t="n"/>
      <c r="L67" s="15" t="n"/>
      <c r="M67" s="16">
        <f>IF(A67="","",IF(I67&lt;&gt;"","Respondido",IF(G67="","Sem prazo definido",IF(NOW()&gt;G67,"Prazo encerrado – sem resposta","Aguardando"))))</f>
        <v/>
      </c>
      <c r="N67" s="16">
        <f>IF(B67="","",IF(COUNTIF(B68:B$302,B67)=0,B67,""))</f>
        <v/>
      </c>
    </row>
    <row r="68">
      <c r="A68" s="15" t="n"/>
      <c r="B68" s="15" t="n"/>
      <c r="C68" s="15" t="n"/>
      <c r="D68" s="15" t="n"/>
      <c r="E68" s="20" t="n"/>
      <c r="F68" s="15" t="n"/>
      <c r="G68" s="25">
        <f>IF(OR(E68="",F68=""),"",E68+F68/24)</f>
        <v/>
      </c>
      <c r="H68" s="15" t="n"/>
      <c r="I68" s="20" t="n"/>
      <c r="J68" s="15" t="n"/>
      <c r="K68" s="15" t="n"/>
      <c r="L68" s="15" t="n"/>
      <c r="M68" s="16">
        <f>IF(A68="","",IF(I68&lt;&gt;"","Respondido",IF(G68="","Sem prazo definido",IF(NOW()&gt;G68,"Prazo encerrado – sem resposta","Aguardando"))))</f>
        <v/>
      </c>
      <c r="N68" s="16">
        <f>IF(B68="","",IF(COUNTIF(B69:B$302,B68)=0,B68,""))</f>
        <v/>
      </c>
    </row>
    <row r="69">
      <c r="A69" s="15" t="n"/>
      <c r="B69" s="15" t="n"/>
      <c r="C69" s="15" t="n"/>
      <c r="D69" s="15" t="n"/>
      <c r="E69" s="20" t="n"/>
      <c r="F69" s="15" t="n"/>
      <c r="G69" s="25">
        <f>IF(OR(E69="",F69=""),"",E69+F69/24)</f>
        <v/>
      </c>
      <c r="H69" s="15" t="n"/>
      <c r="I69" s="20" t="n"/>
      <c r="J69" s="15" t="n"/>
      <c r="K69" s="15" t="n"/>
      <c r="L69" s="15" t="n"/>
      <c r="M69" s="16">
        <f>IF(A69="","",IF(I69&lt;&gt;"","Respondido",IF(G69="","Sem prazo definido",IF(NOW()&gt;G69,"Prazo encerrado – sem resposta","Aguardando"))))</f>
        <v/>
      </c>
      <c r="N69" s="16">
        <f>IF(B69="","",IF(COUNTIF(B70:B$302,B69)=0,B69,""))</f>
        <v/>
      </c>
    </row>
    <row r="70">
      <c r="A70" s="15" t="n"/>
      <c r="B70" s="15" t="n"/>
      <c r="C70" s="15" t="n"/>
      <c r="D70" s="15" t="n"/>
      <c r="E70" s="20" t="n"/>
      <c r="F70" s="15" t="n"/>
      <c r="G70" s="25">
        <f>IF(OR(E70="",F70=""),"",E70+F70/24)</f>
        <v/>
      </c>
      <c r="H70" s="15" t="n"/>
      <c r="I70" s="20" t="n"/>
      <c r="J70" s="15" t="n"/>
      <c r="K70" s="15" t="n"/>
      <c r="L70" s="15" t="n"/>
      <c r="M70" s="16">
        <f>IF(A70="","",IF(I70&lt;&gt;"","Respondido",IF(G70="","Sem prazo definido",IF(NOW()&gt;G70,"Prazo encerrado – sem resposta","Aguardando"))))</f>
        <v/>
      </c>
      <c r="N70" s="16">
        <f>IF(B70="","",IF(COUNTIF(B71:B$302,B70)=0,B70,""))</f>
        <v/>
      </c>
    </row>
    <row r="71">
      <c r="A71" s="15" t="n"/>
      <c r="B71" s="15" t="n"/>
      <c r="C71" s="15" t="n"/>
      <c r="D71" s="15" t="n"/>
      <c r="E71" s="20" t="n"/>
      <c r="F71" s="15" t="n"/>
      <c r="G71" s="25">
        <f>IF(OR(E71="",F71=""),"",E71+F71/24)</f>
        <v/>
      </c>
      <c r="H71" s="15" t="n"/>
      <c r="I71" s="20" t="n"/>
      <c r="J71" s="15" t="n"/>
      <c r="K71" s="15" t="n"/>
      <c r="L71" s="15" t="n"/>
      <c r="M71" s="16">
        <f>IF(A71="","",IF(I71&lt;&gt;"","Respondido",IF(G71="","Sem prazo definido",IF(NOW()&gt;G71,"Prazo encerrado – sem resposta","Aguardando"))))</f>
        <v/>
      </c>
      <c r="N71" s="16">
        <f>IF(B71="","",IF(COUNTIF(B72:B$302,B71)=0,B71,""))</f>
        <v/>
      </c>
    </row>
    <row r="72">
      <c r="A72" s="15" t="n"/>
      <c r="B72" s="15" t="n"/>
      <c r="C72" s="15" t="n"/>
      <c r="D72" s="15" t="n"/>
      <c r="E72" s="20" t="n"/>
      <c r="F72" s="15" t="n"/>
      <c r="G72" s="25">
        <f>IF(OR(E72="",F72=""),"",E72+F72/24)</f>
        <v/>
      </c>
      <c r="H72" s="15" t="n"/>
      <c r="I72" s="20" t="n"/>
      <c r="J72" s="15" t="n"/>
      <c r="K72" s="15" t="n"/>
      <c r="L72" s="15" t="n"/>
      <c r="M72" s="16">
        <f>IF(A72="","",IF(I72&lt;&gt;"","Respondido",IF(G72="","Sem prazo definido",IF(NOW()&gt;G72,"Prazo encerrado – sem resposta","Aguardando"))))</f>
        <v/>
      </c>
      <c r="N72" s="16">
        <f>IF(B72="","",IF(COUNTIF(B73:B$302,B72)=0,B72,""))</f>
        <v/>
      </c>
    </row>
    <row r="73">
      <c r="A73" s="15" t="n"/>
      <c r="B73" s="15" t="n"/>
      <c r="C73" s="15" t="n"/>
      <c r="D73" s="15" t="n"/>
      <c r="E73" s="20" t="n"/>
      <c r="F73" s="15" t="n"/>
      <c r="G73" s="25">
        <f>IF(OR(E73="",F73=""),"",E73+F73/24)</f>
        <v/>
      </c>
      <c r="H73" s="15" t="n"/>
      <c r="I73" s="20" t="n"/>
      <c r="J73" s="15" t="n"/>
      <c r="K73" s="15" t="n"/>
      <c r="L73" s="15" t="n"/>
      <c r="M73" s="16">
        <f>IF(A73="","",IF(I73&lt;&gt;"","Respondido",IF(G73="","Sem prazo definido",IF(NOW()&gt;G73,"Prazo encerrado – sem resposta","Aguardando"))))</f>
        <v/>
      </c>
      <c r="N73" s="16">
        <f>IF(B73="","",IF(COUNTIF(B74:B$302,B73)=0,B73,""))</f>
        <v/>
      </c>
    </row>
    <row r="74">
      <c r="A74" s="15" t="n"/>
      <c r="B74" s="15" t="n"/>
      <c r="C74" s="15" t="n"/>
      <c r="D74" s="15" t="n"/>
      <c r="E74" s="20" t="n"/>
      <c r="F74" s="15" t="n"/>
      <c r="G74" s="25">
        <f>IF(OR(E74="",F74=""),"",E74+F74/24)</f>
        <v/>
      </c>
      <c r="H74" s="15" t="n"/>
      <c r="I74" s="20" t="n"/>
      <c r="J74" s="15" t="n"/>
      <c r="K74" s="15" t="n"/>
      <c r="L74" s="15" t="n"/>
      <c r="M74" s="16">
        <f>IF(A74="","",IF(I74&lt;&gt;"","Respondido",IF(G74="","Sem prazo definido",IF(NOW()&gt;G74,"Prazo encerrado – sem resposta","Aguardando"))))</f>
        <v/>
      </c>
      <c r="N74" s="16">
        <f>IF(B74="","",IF(COUNTIF(B75:B$302,B74)=0,B74,""))</f>
        <v/>
      </c>
    </row>
    <row r="75">
      <c r="A75" s="15" t="n"/>
      <c r="B75" s="15" t="n"/>
      <c r="C75" s="15" t="n"/>
      <c r="D75" s="15" t="n"/>
      <c r="E75" s="20" t="n"/>
      <c r="F75" s="15" t="n"/>
      <c r="G75" s="25">
        <f>IF(OR(E75="",F75=""),"",E75+F75/24)</f>
        <v/>
      </c>
      <c r="H75" s="15" t="n"/>
      <c r="I75" s="20" t="n"/>
      <c r="J75" s="15" t="n"/>
      <c r="K75" s="15" t="n"/>
      <c r="L75" s="15" t="n"/>
      <c r="M75" s="16">
        <f>IF(A75="","",IF(I75&lt;&gt;"","Respondido",IF(G75="","Sem prazo definido",IF(NOW()&gt;G75,"Prazo encerrado – sem resposta","Aguardando"))))</f>
        <v/>
      </c>
      <c r="N75" s="16">
        <f>IF(B75="","",IF(COUNTIF(B76:B$302,B75)=0,B75,""))</f>
        <v/>
      </c>
    </row>
    <row r="76">
      <c r="A76" s="15" t="n"/>
      <c r="B76" s="15" t="n"/>
      <c r="C76" s="15" t="n"/>
      <c r="D76" s="15" t="n"/>
      <c r="E76" s="20" t="n"/>
      <c r="F76" s="15" t="n"/>
      <c r="G76" s="25">
        <f>IF(OR(E76="",F76=""),"",E76+F76/24)</f>
        <v/>
      </c>
      <c r="H76" s="15" t="n"/>
      <c r="I76" s="20" t="n"/>
      <c r="J76" s="15" t="n"/>
      <c r="K76" s="15" t="n"/>
      <c r="L76" s="15" t="n"/>
      <c r="M76" s="16">
        <f>IF(A76="","",IF(I76&lt;&gt;"","Respondido",IF(G76="","Sem prazo definido",IF(NOW()&gt;G76,"Prazo encerrado – sem resposta","Aguardando"))))</f>
        <v/>
      </c>
      <c r="N76" s="16">
        <f>IF(B76="","",IF(COUNTIF(B77:B$302,B76)=0,B76,""))</f>
        <v/>
      </c>
    </row>
    <row r="77">
      <c r="A77" s="15" t="n"/>
      <c r="B77" s="15" t="n"/>
      <c r="C77" s="15" t="n"/>
      <c r="D77" s="15" t="n"/>
      <c r="E77" s="20" t="n"/>
      <c r="F77" s="15" t="n"/>
      <c r="G77" s="25">
        <f>IF(OR(E77="",F77=""),"",E77+F77/24)</f>
        <v/>
      </c>
      <c r="H77" s="15" t="n"/>
      <c r="I77" s="20" t="n"/>
      <c r="J77" s="15" t="n"/>
      <c r="K77" s="15" t="n"/>
      <c r="L77" s="15" t="n"/>
      <c r="M77" s="16">
        <f>IF(A77="","",IF(I77&lt;&gt;"","Respondido",IF(G77="","Sem prazo definido",IF(NOW()&gt;G77,"Prazo encerrado – sem resposta","Aguardando"))))</f>
        <v/>
      </c>
      <c r="N77" s="16">
        <f>IF(B77="","",IF(COUNTIF(B78:B$302,B77)=0,B77,""))</f>
        <v/>
      </c>
    </row>
    <row r="78">
      <c r="A78" s="15" t="n"/>
      <c r="B78" s="15" t="n"/>
      <c r="C78" s="15" t="n"/>
      <c r="D78" s="15" t="n"/>
      <c r="E78" s="20" t="n"/>
      <c r="F78" s="15" t="n"/>
      <c r="G78" s="25">
        <f>IF(OR(E78="",F78=""),"",E78+F78/24)</f>
        <v/>
      </c>
      <c r="H78" s="15" t="n"/>
      <c r="I78" s="20" t="n"/>
      <c r="J78" s="15" t="n"/>
      <c r="K78" s="15" t="n"/>
      <c r="L78" s="15" t="n"/>
      <c r="M78" s="16">
        <f>IF(A78="","",IF(I78&lt;&gt;"","Respondido",IF(G78="","Sem prazo definido",IF(NOW()&gt;G78,"Prazo encerrado – sem resposta","Aguardando"))))</f>
        <v/>
      </c>
      <c r="N78" s="16">
        <f>IF(B78="","",IF(COUNTIF(B79:B$302,B78)=0,B78,""))</f>
        <v/>
      </c>
    </row>
    <row r="79">
      <c r="A79" s="15" t="n"/>
      <c r="B79" s="15" t="n"/>
      <c r="C79" s="15" t="n"/>
      <c r="D79" s="15" t="n"/>
      <c r="E79" s="20" t="n"/>
      <c r="F79" s="15" t="n"/>
      <c r="G79" s="25">
        <f>IF(OR(E79="",F79=""),"",E79+F79/24)</f>
        <v/>
      </c>
      <c r="H79" s="15" t="n"/>
      <c r="I79" s="20" t="n"/>
      <c r="J79" s="15" t="n"/>
      <c r="K79" s="15" t="n"/>
      <c r="L79" s="15" t="n"/>
      <c r="M79" s="16">
        <f>IF(A79="","",IF(I79&lt;&gt;"","Respondido",IF(G79="","Sem prazo definido",IF(NOW()&gt;G79,"Prazo encerrado – sem resposta","Aguardando"))))</f>
        <v/>
      </c>
      <c r="N79" s="16">
        <f>IF(B79="","",IF(COUNTIF(B80:B$302,B79)=0,B79,""))</f>
        <v/>
      </c>
    </row>
    <row r="80">
      <c r="A80" s="15" t="n"/>
      <c r="B80" s="15" t="n"/>
      <c r="C80" s="15" t="n"/>
      <c r="D80" s="15" t="n"/>
      <c r="E80" s="20" t="n"/>
      <c r="F80" s="15" t="n"/>
      <c r="G80" s="25">
        <f>IF(OR(E80="",F80=""),"",E80+F80/24)</f>
        <v/>
      </c>
      <c r="H80" s="15" t="n"/>
      <c r="I80" s="20" t="n"/>
      <c r="J80" s="15" t="n"/>
      <c r="K80" s="15" t="n"/>
      <c r="L80" s="15" t="n"/>
      <c r="M80" s="16">
        <f>IF(A80="","",IF(I80&lt;&gt;"","Respondido",IF(G80="","Sem prazo definido",IF(NOW()&gt;G80,"Prazo encerrado – sem resposta","Aguardando"))))</f>
        <v/>
      </c>
      <c r="N80" s="16">
        <f>IF(B80="","",IF(COUNTIF(B81:B$302,B80)=0,B80,""))</f>
        <v/>
      </c>
    </row>
    <row r="81">
      <c r="A81" s="15" t="n"/>
      <c r="B81" s="15" t="n"/>
      <c r="C81" s="15" t="n"/>
      <c r="D81" s="15" t="n"/>
      <c r="E81" s="20" t="n"/>
      <c r="F81" s="15" t="n"/>
      <c r="G81" s="25">
        <f>IF(OR(E81="",F81=""),"",E81+F81/24)</f>
        <v/>
      </c>
      <c r="H81" s="15" t="n"/>
      <c r="I81" s="20" t="n"/>
      <c r="J81" s="15" t="n"/>
      <c r="K81" s="15" t="n"/>
      <c r="L81" s="15" t="n"/>
      <c r="M81" s="16">
        <f>IF(A81="","",IF(I81&lt;&gt;"","Respondido",IF(G81="","Sem prazo definido",IF(NOW()&gt;G81,"Prazo encerrado – sem resposta","Aguardando"))))</f>
        <v/>
      </c>
      <c r="N81" s="16">
        <f>IF(B81="","",IF(COUNTIF(B82:B$302,B81)=0,B81,""))</f>
        <v/>
      </c>
    </row>
    <row r="82">
      <c r="A82" s="15" t="n"/>
      <c r="B82" s="15" t="n"/>
      <c r="C82" s="15" t="n"/>
      <c r="D82" s="15" t="n"/>
      <c r="E82" s="20" t="n"/>
      <c r="F82" s="15" t="n"/>
      <c r="G82" s="25">
        <f>IF(OR(E82="",F82=""),"",E82+F82/24)</f>
        <v/>
      </c>
      <c r="H82" s="15" t="n"/>
      <c r="I82" s="20" t="n"/>
      <c r="J82" s="15" t="n"/>
      <c r="K82" s="15" t="n"/>
      <c r="L82" s="15" t="n"/>
      <c r="M82" s="16">
        <f>IF(A82="","",IF(I82&lt;&gt;"","Respondido",IF(G82="","Sem prazo definido",IF(NOW()&gt;G82,"Prazo encerrado – sem resposta","Aguardando"))))</f>
        <v/>
      </c>
      <c r="N82" s="16">
        <f>IF(B82="","",IF(COUNTIF(B83:B$302,B82)=0,B82,""))</f>
        <v/>
      </c>
    </row>
    <row r="83">
      <c r="A83" s="15" t="n"/>
      <c r="B83" s="15" t="n"/>
      <c r="C83" s="15" t="n"/>
      <c r="D83" s="15" t="n"/>
      <c r="E83" s="20" t="n"/>
      <c r="F83" s="15" t="n"/>
      <c r="G83" s="25">
        <f>IF(OR(E83="",F83=""),"",E83+F83/24)</f>
        <v/>
      </c>
      <c r="H83" s="15" t="n"/>
      <c r="I83" s="20" t="n"/>
      <c r="J83" s="15" t="n"/>
      <c r="K83" s="15" t="n"/>
      <c r="L83" s="15" t="n"/>
      <c r="M83" s="16">
        <f>IF(A83="","",IF(I83&lt;&gt;"","Respondido",IF(G83="","Sem prazo definido",IF(NOW()&gt;G83,"Prazo encerrado – sem resposta","Aguardando"))))</f>
        <v/>
      </c>
      <c r="N83" s="16">
        <f>IF(B83="","",IF(COUNTIF(B84:B$302,B83)=0,B83,""))</f>
        <v/>
      </c>
    </row>
    <row r="84">
      <c r="A84" s="15" t="n"/>
      <c r="B84" s="15" t="n"/>
      <c r="C84" s="15" t="n"/>
      <c r="D84" s="15" t="n"/>
      <c r="E84" s="20" t="n"/>
      <c r="F84" s="15" t="n"/>
      <c r="G84" s="25">
        <f>IF(OR(E84="",F84=""),"",E84+F84/24)</f>
        <v/>
      </c>
      <c r="H84" s="15" t="n"/>
      <c r="I84" s="20" t="n"/>
      <c r="J84" s="15" t="n"/>
      <c r="K84" s="15" t="n"/>
      <c r="L84" s="15" t="n"/>
      <c r="M84" s="16">
        <f>IF(A84="","",IF(I84&lt;&gt;"","Respondido",IF(G84="","Sem prazo definido",IF(NOW()&gt;G84,"Prazo encerrado – sem resposta","Aguardando"))))</f>
        <v/>
      </c>
      <c r="N84" s="16">
        <f>IF(B84="","",IF(COUNTIF(B85:B$302,B84)=0,B84,""))</f>
        <v/>
      </c>
    </row>
    <row r="85">
      <c r="A85" s="15" t="n"/>
      <c r="B85" s="15" t="n"/>
      <c r="C85" s="15" t="n"/>
      <c r="D85" s="15" t="n"/>
      <c r="E85" s="20" t="n"/>
      <c r="F85" s="15" t="n"/>
      <c r="G85" s="25">
        <f>IF(OR(E85="",F85=""),"",E85+F85/24)</f>
        <v/>
      </c>
      <c r="H85" s="15" t="n"/>
      <c r="I85" s="20" t="n"/>
      <c r="J85" s="15" t="n"/>
      <c r="K85" s="15" t="n"/>
      <c r="L85" s="15" t="n"/>
      <c r="M85" s="16">
        <f>IF(A85="","",IF(I85&lt;&gt;"","Respondido",IF(G85="","Sem prazo definido",IF(NOW()&gt;G85,"Prazo encerrado – sem resposta","Aguardando"))))</f>
        <v/>
      </c>
      <c r="N85" s="16">
        <f>IF(B85="","",IF(COUNTIF(B86:B$302,B85)=0,B85,""))</f>
        <v/>
      </c>
    </row>
    <row r="86">
      <c r="A86" s="15" t="n"/>
      <c r="B86" s="15" t="n"/>
      <c r="C86" s="15" t="n"/>
      <c r="D86" s="15" t="n"/>
      <c r="E86" s="20" t="n"/>
      <c r="F86" s="15" t="n"/>
      <c r="G86" s="25">
        <f>IF(OR(E86="",F86=""),"",E86+F86/24)</f>
        <v/>
      </c>
      <c r="H86" s="15" t="n"/>
      <c r="I86" s="20" t="n"/>
      <c r="J86" s="15" t="n"/>
      <c r="K86" s="15" t="n"/>
      <c r="L86" s="15" t="n"/>
      <c r="M86" s="16">
        <f>IF(A86="","",IF(I86&lt;&gt;"","Respondido",IF(G86="","Sem prazo definido",IF(NOW()&gt;G86,"Prazo encerrado – sem resposta","Aguardando"))))</f>
        <v/>
      </c>
      <c r="N86" s="16">
        <f>IF(B86="","",IF(COUNTIF(B87:B$302,B86)=0,B86,""))</f>
        <v/>
      </c>
    </row>
    <row r="87">
      <c r="A87" s="15" t="n"/>
      <c r="B87" s="15" t="n"/>
      <c r="C87" s="15" t="n"/>
      <c r="D87" s="15" t="n"/>
      <c r="E87" s="20" t="n"/>
      <c r="F87" s="15" t="n"/>
      <c r="G87" s="25">
        <f>IF(OR(E87="",F87=""),"",E87+F87/24)</f>
        <v/>
      </c>
      <c r="H87" s="15" t="n"/>
      <c r="I87" s="20" t="n"/>
      <c r="J87" s="15" t="n"/>
      <c r="K87" s="15" t="n"/>
      <c r="L87" s="15" t="n"/>
      <c r="M87" s="16">
        <f>IF(A87="","",IF(I87&lt;&gt;"","Respondido",IF(G87="","Sem prazo definido",IF(NOW()&gt;G87,"Prazo encerrado – sem resposta","Aguardando"))))</f>
        <v/>
      </c>
      <c r="N87" s="16">
        <f>IF(B87="","",IF(COUNTIF(B88:B$302,B87)=0,B87,""))</f>
        <v/>
      </c>
    </row>
    <row r="88">
      <c r="A88" s="15" t="n"/>
      <c r="B88" s="15" t="n"/>
      <c r="C88" s="15" t="n"/>
      <c r="D88" s="15" t="n"/>
      <c r="E88" s="20" t="n"/>
      <c r="F88" s="15" t="n"/>
      <c r="G88" s="25">
        <f>IF(OR(E88="",F88=""),"",E88+F88/24)</f>
        <v/>
      </c>
      <c r="H88" s="15" t="n"/>
      <c r="I88" s="20" t="n"/>
      <c r="J88" s="15" t="n"/>
      <c r="K88" s="15" t="n"/>
      <c r="L88" s="15" t="n"/>
      <c r="M88" s="16">
        <f>IF(A88="","",IF(I88&lt;&gt;"","Respondido",IF(G88="","Sem prazo definido",IF(NOW()&gt;G88,"Prazo encerrado – sem resposta","Aguardando"))))</f>
        <v/>
      </c>
      <c r="N88" s="16">
        <f>IF(B88="","",IF(COUNTIF(B89:B$302,B88)=0,B88,""))</f>
        <v/>
      </c>
    </row>
    <row r="89">
      <c r="A89" s="15" t="n"/>
      <c r="B89" s="15" t="n"/>
      <c r="C89" s="15" t="n"/>
      <c r="D89" s="15" t="n"/>
      <c r="E89" s="20" t="n"/>
      <c r="F89" s="15" t="n"/>
      <c r="G89" s="25">
        <f>IF(OR(E89="",F89=""),"",E89+F89/24)</f>
        <v/>
      </c>
      <c r="H89" s="15" t="n"/>
      <c r="I89" s="20" t="n"/>
      <c r="J89" s="15" t="n"/>
      <c r="K89" s="15" t="n"/>
      <c r="L89" s="15" t="n"/>
      <c r="M89" s="16">
        <f>IF(A89="","",IF(I89&lt;&gt;"","Respondido",IF(G89="","Sem prazo definido",IF(NOW()&gt;G89,"Prazo encerrado – sem resposta","Aguardando"))))</f>
        <v/>
      </c>
      <c r="N89" s="16">
        <f>IF(B89="","",IF(COUNTIF(B90:B$302,B89)=0,B89,""))</f>
        <v/>
      </c>
    </row>
    <row r="90">
      <c r="A90" s="15" t="n"/>
      <c r="B90" s="15" t="n"/>
      <c r="C90" s="15" t="n"/>
      <c r="D90" s="15" t="n"/>
      <c r="E90" s="20" t="n"/>
      <c r="F90" s="15" t="n"/>
      <c r="G90" s="25">
        <f>IF(OR(E90="",F90=""),"",E90+F90/24)</f>
        <v/>
      </c>
      <c r="H90" s="15" t="n"/>
      <c r="I90" s="20" t="n"/>
      <c r="J90" s="15" t="n"/>
      <c r="K90" s="15" t="n"/>
      <c r="L90" s="15" t="n"/>
      <c r="M90" s="16">
        <f>IF(A90="","",IF(I90&lt;&gt;"","Respondido",IF(G90="","Sem prazo definido",IF(NOW()&gt;G90,"Prazo encerrado – sem resposta","Aguardando"))))</f>
        <v/>
      </c>
      <c r="N90" s="16">
        <f>IF(B90="","",IF(COUNTIF(B91:B$302,B90)=0,B90,""))</f>
        <v/>
      </c>
    </row>
    <row r="91">
      <c r="A91" s="15" t="n"/>
      <c r="B91" s="15" t="n"/>
      <c r="C91" s="15" t="n"/>
      <c r="D91" s="15" t="n"/>
      <c r="E91" s="20" t="n"/>
      <c r="F91" s="15" t="n"/>
      <c r="G91" s="25">
        <f>IF(OR(E91="",F91=""),"",E91+F91/24)</f>
        <v/>
      </c>
      <c r="H91" s="15" t="n"/>
      <c r="I91" s="20" t="n"/>
      <c r="J91" s="15" t="n"/>
      <c r="K91" s="15" t="n"/>
      <c r="L91" s="15" t="n"/>
      <c r="M91" s="16">
        <f>IF(A91="","",IF(I91&lt;&gt;"","Respondido",IF(G91="","Sem prazo definido",IF(NOW()&gt;G91,"Prazo encerrado – sem resposta","Aguardando"))))</f>
        <v/>
      </c>
      <c r="N91" s="16">
        <f>IF(B91="","",IF(COUNTIF(B92:B$302,B91)=0,B91,""))</f>
        <v/>
      </c>
    </row>
    <row r="92">
      <c r="A92" s="15" t="n"/>
      <c r="B92" s="15" t="n"/>
      <c r="C92" s="15" t="n"/>
      <c r="D92" s="15" t="n"/>
      <c r="E92" s="20" t="n"/>
      <c r="F92" s="15" t="n"/>
      <c r="G92" s="25">
        <f>IF(OR(E92="",F92=""),"",E92+F92/24)</f>
        <v/>
      </c>
      <c r="H92" s="15" t="n"/>
      <c r="I92" s="20" t="n"/>
      <c r="J92" s="15" t="n"/>
      <c r="K92" s="15" t="n"/>
      <c r="L92" s="15" t="n"/>
      <c r="M92" s="16">
        <f>IF(A92="","",IF(I92&lt;&gt;"","Respondido",IF(G92="","Sem prazo definido",IF(NOW()&gt;G92,"Prazo encerrado – sem resposta","Aguardando"))))</f>
        <v/>
      </c>
      <c r="N92" s="16">
        <f>IF(B92="","",IF(COUNTIF(B93:B$302,B92)=0,B92,""))</f>
        <v/>
      </c>
    </row>
    <row r="93">
      <c r="A93" s="15" t="n"/>
      <c r="B93" s="15" t="n"/>
      <c r="C93" s="15" t="n"/>
      <c r="D93" s="15" t="n"/>
      <c r="E93" s="20" t="n"/>
      <c r="F93" s="15" t="n"/>
      <c r="G93" s="25">
        <f>IF(OR(E93="",F93=""),"",E93+F93/24)</f>
        <v/>
      </c>
      <c r="H93" s="15" t="n"/>
      <c r="I93" s="20" t="n"/>
      <c r="J93" s="15" t="n"/>
      <c r="K93" s="15" t="n"/>
      <c r="L93" s="15" t="n"/>
      <c r="M93" s="16">
        <f>IF(A93="","",IF(I93&lt;&gt;"","Respondido",IF(G93="","Sem prazo definido",IF(NOW()&gt;G93,"Prazo encerrado – sem resposta","Aguardando"))))</f>
        <v/>
      </c>
      <c r="N93" s="16">
        <f>IF(B93="","",IF(COUNTIF(B94:B$302,B93)=0,B93,""))</f>
        <v/>
      </c>
    </row>
    <row r="94">
      <c r="A94" s="15" t="n"/>
      <c r="B94" s="15" t="n"/>
      <c r="C94" s="15" t="n"/>
      <c r="D94" s="15" t="n"/>
      <c r="E94" s="20" t="n"/>
      <c r="F94" s="15" t="n"/>
      <c r="G94" s="25">
        <f>IF(OR(E94="",F94=""),"",E94+F94/24)</f>
        <v/>
      </c>
      <c r="H94" s="15" t="n"/>
      <c r="I94" s="20" t="n"/>
      <c r="J94" s="15" t="n"/>
      <c r="K94" s="15" t="n"/>
      <c r="L94" s="15" t="n"/>
      <c r="M94" s="16">
        <f>IF(A94="","",IF(I94&lt;&gt;"","Respondido",IF(G94="","Sem prazo definido",IF(NOW()&gt;G94,"Prazo encerrado – sem resposta","Aguardando"))))</f>
        <v/>
      </c>
      <c r="N94" s="16">
        <f>IF(B94="","",IF(COUNTIF(B95:B$302,B94)=0,B94,""))</f>
        <v/>
      </c>
    </row>
    <row r="95">
      <c r="A95" s="15" t="n"/>
      <c r="B95" s="15" t="n"/>
      <c r="C95" s="15" t="n"/>
      <c r="D95" s="15" t="n"/>
      <c r="E95" s="20" t="n"/>
      <c r="F95" s="15" t="n"/>
      <c r="G95" s="25">
        <f>IF(OR(E95="",F95=""),"",E95+F95/24)</f>
        <v/>
      </c>
      <c r="H95" s="15" t="n"/>
      <c r="I95" s="20" t="n"/>
      <c r="J95" s="15" t="n"/>
      <c r="K95" s="15" t="n"/>
      <c r="L95" s="15" t="n"/>
      <c r="M95" s="16">
        <f>IF(A95="","",IF(I95&lt;&gt;"","Respondido",IF(G95="","Sem prazo definido",IF(NOW()&gt;G95,"Prazo encerrado – sem resposta","Aguardando"))))</f>
        <v/>
      </c>
      <c r="N95" s="16">
        <f>IF(B95="","",IF(COUNTIF(B96:B$302,B95)=0,B95,""))</f>
        <v/>
      </c>
    </row>
    <row r="96">
      <c r="A96" s="15" t="n"/>
      <c r="B96" s="15" t="n"/>
      <c r="C96" s="15" t="n"/>
      <c r="D96" s="15" t="n"/>
      <c r="E96" s="20" t="n"/>
      <c r="F96" s="15" t="n"/>
      <c r="G96" s="25">
        <f>IF(OR(E96="",F96=""),"",E96+F96/24)</f>
        <v/>
      </c>
      <c r="H96" s="15" t="n"/>
      <c r="I96" s="20" t="n"/>
      <c r="J96" s="15" t="n"/>
      <c r="K96" s="15" t="n"/>
      <c r="L96" s="15" t="n"/>
      <c r="M96" s="16">
        <f>IF(A96="","",IF(I96&lt;&gt;"","Respondido",IF(G96="","Sem prazo definido",IF(NOW()&gt;G96,"Prazo encerrado – sem resposta","Aguardando"))))</f>
        <v/>
      </c>
      <c r="N96" s="16">
        <f>IF(B96="","",IF(COUNTIF(B97:B$302,B96)=0,B96,""))</f>
        <v/>
      </c>
    </row>
    <row r="97">
      <c r="A97" s="15" t="n"/>
      <c r="B97" s="15" t="n"/>
      <c r="C97" s="15" t="n"/>
      <c r="D97" s="15" t="n"/>
      <c r="E97" s="20" t="n"/>
      <c r="F97" s="15" t="n"/>
      <c r="G97" s="25">
        <f>IF(OR(E97="",F97=""),"",E97+F97/24)</f>
        <v/>
      </c>
      <c r="H97" s="15" t="n"/>
      <c r="I97" s="20" t="n"/>
      <c r="J97" s="15" t="n"/>
      <c r="K97" s="15" t="n"/>
      <c r="L97" s="15" t="n"/>
      <c r="M97" s="16">
        <f>IF(A97="","",IF(I97&lt;&gt;"","Respondido",IF(G97="","Sem prazo definido",IF(NOW()&gt;G97,"Prazo encerrado – sem resposta","Aguardando"))))</f>
        <v/>
      </c>
      <c r="N97" s="16">
        <f>IF(B97="","",IF(COUNTIF(B98:B$302,B97)=0,B97,""))</f>
        <v/>
      </c>
    </row>
    <row r="98">
      <c r="A98" s="15" t="n"/>
      <c r="B98" s="15" t="n"/>
      <c r="C98" s="15" t="n"/>
      <c r="D98" s="15" t="n"/>
      <c r="E98" s="20" t="n"/>
      <c r="F98" s="15" t="n"/>
      <c r="G98" s="25">
        <f>IF(OR(E98="",F98=""),"",E98+F98/24)</f>
        <v/>
      </c>
      <c r="H98" s="15" t="n"/>
      <c r="I98" s="20" t="n"/>
      <c r="J98" s="15" t="n"/>
      <c r="K98" s="15" t="n"/>
      <c r="L98" s="15" t="n"/>
      <c r="M98" s="16">
        <f>IF(A98="","",IF(I98&lt;&gt;"","Respondido",IF(G98="","Sem prazo definido",IF(NOW()&gt;G98,"Prazo encerrado – sem resposta","Aguardando"))))</f>
        <v/>
      </c>
      <c r="N98" s="16">
        <f>IF(B98="","",IF(COUNTIF(B99:B$302,B98)=0,B98,""))</f>
        <v/>
      </c>
    </row>
    <row r="99">
      <c r="A99" s="15" t="n"/>
      <c r="B99" s="15" t="n"/>
      <c r="C99" s="15" t="n"/>
      <c r="D99" s="15" t="n"/>
      <c r="E99" s="20" t="n"/>
      <c r="F99" s="15" t="n"/>
      <c r="G99" s="25">
        <f>IF(OR(E99="",F99=""),"",E99+F99/24)</f>
        <v/>
      </c>
      <c r="H99" s="15" t="n"/>
      <c r="I99" s="20" t="n"/>
      <c r="J99" s="15" t="n"/>
      <c r="K99" s="15" t="n"/>
      <c r="L99" s="15" t="n"/>
      <c r="M99" s="16">
        <f>IF(A99="","",IF(I99&lt;&gt;"","Respondido",IF(G99="","Sem prazo definido",IF(NOW()&gt;G99,"Prazo encerrado – sem resposta","Aguardando"))))</f>
        <v/>
      </c>
      <c r="N99" s="16">
        <f>IF(B99="","",IF(COUNTIF(B100:B$302,B99)=0,B99,""))</f>
        <v/>
      </c>
    </row>
    <row r="100">
      <c r="A100" s="15" t="n"/>
      <c r="B100" s="15" t="n"/>
      <c r="C100" s="15" t="n"/>
      <c r="D100" s="15" t="n"/>
      <c r="E100" s="20" t="n"/>
      <c r="F100" s="15" t="n"/>
      <c r="G100" s="25">
        <f>IF(OR(E100="",F100=""),"",E100+F100/24)</f>
        <v/>
      </c>
      <c r="H100" s="15" t="n"/>
      <c r="I100" s="20" t="n"/>
      <c r="J100" s="15" t="n"/>
      <c r="K100" s="15" t="n"/>
      <c r="L100" s="15" t="n"/>
      <c r="M100" s="16">
        <f>IF(A100="","",IF(I100&lt;&gt;"","Respondido",IF(G100="","Sem prazo definido",IF(NOW()&gt;G100,"Prazo encerrado – sem resposta","Aguardando"))))</f>
        <v/>
      </c>
      <c r="N100" s="16">
        <f>IF(B100="","",IF(COUNTIF(B101:B$302,B100)=0,B100,""))</f>
        <v/>
      </c>
    </row>
    <row r="101">
      <c r="A101" s="15" t="n"/>
      <c r="B101" s="15" t="n"/>
      <c r="C101" s="15" t="n"/>
      <c r="D101" s="15" t="n"/>
      <c r="E101" s="20" t="n"/>
      <c r="F101" s="15" t="n"/>
      <c r="G101" s="25">
        <f>IF(OR(E101="",F101=""),"",E101+F101/24)</f>
        <v/>
      </c>
      <c r="H101" s="15" t="n"/>
      <c r="I101" s="20" t="n"/>
      <c r="J101" s="15" t="n"/>
      <c r="K101" s="15" t="n"/>
      <c r="L101" s="15" t="n"/>
      <c r="M101" s="16">
        <f>IF(A101="","",IF(I101&lt;&gt;"","Respondido",IF(G101="","Sem prazo definido",IF(NOW()&gt;G101,"Prazo encerrado – sem resposta","Aguardando"))))</f>
        <v/>
      </c>
      <c r="N101" s="16">
        <f>IF(B101="","",IF(COUNTIF(B102:B$302,B101)=0,B101,""))</f>
        <v/>
      </c>
    </row>
    <row r="102">
      <c r="A102" s="15" t="n"/>
      <c r="B102" s="15" t="n"/>
      <c r="C102" s="15" t="n"/>
      <c r="D102" s="15" t="n"/>
      <c r="E102" s="20" t="n"/>
      <c r="F102" s="15" t="n"/>
      <c r="G102" s="25">
        <f>IF(OR(E102="",F102=""),"",E102+F102/24)</f>
        <v/>
      </c>
      <c r="H102" s="15" t="n"/>
      <c r="I102" s="20" t="n"/>
      <c r="J102" s="15" t="n"/>
      <c r="K102" s="15" t="n"/>
      <c r="L102" s="15" t="n"/>
      <c r="M102" s="16">
        <f>IF(A102="","",IF(I102&lt;&gt;"","Respondido",IF(G102="","Sem prazo definido",IF(NOW()&gt;G102,"Prazo encerrado – sem resposta","Aguardando"))))</f>
        <v/>
      </c>
      <c r="N102" s="16">
        <f>IF(B102="","",IF(COUNTIF(B103:B$302,B102)=0,B102,""))</f>
        <v/>
      </c>
    </row>
    <row r="103">
      <c r="A103" s="15" t="n"/>
      <c r="B103" s="15" t="n"/>
      <c r="C103" s="15" t="n"/>
      <c r="D103" s="15" t="n"/>
      <c r="E103" s="20" t="n"/>
      <c r="F103" s="15" t="n"/>
      <c r="G103" s="25">
        <f>IF(OR(E103="",F103=""),"",E103+F103/24)</f>
        <v/>
      </c>
      <c r="H103" s="15" t="n"/>
      <c r="I103" s="20" t="n"/>
      <c r="J103" s="15" t="n"/>
      <c r="K103" s="15" t="n"/>
      <c r="L103" s="15" t="n"/>
      <c r="M103" s="16">
        <f>IF(A103="","",IF(I103&lt;&gt;"","Respondido",IF(G103="","Sem prazo definido",IF(NOW()&gt;G103,"Prazo encerrado – sem resposta","Aguardando"))))</f>
        <v/>
      </c>
      <c r="N103" s="16">
        <f>IF(B103="","",IF(COUNTIF(B104:B$302,B103)=0,B103,""))</f>
        <v/>
      </c>
    </row>
    <row r="104">
      <c r="A104" s="15" t="n"/>
      <c r="B104" s="15" t="n"/>
      <c r="C104" s="15" t="n"/>
      <c r="D104" s="15" t="n"/>
      <c r="E104" s="20" t="n"/>
      <c r="F104" s="15" t="n"/>
      <c r="G104" s="25">
        <f>IF(OR(E104="",F104=""),"",E104+F104/24)</f>
        <v/>
      </c>
      <c r="H104" s="15" t="n"/>
      <c r="I104" s="20" t="n"/>
      <c r="J104" s="15" t="n"/>
      <c r="K104" s="15" t="n"/>
      <c r="L104" s="15" t="n"/>
      <c r="M104" s="16">
        <f>IF(A104="","",IF(I104&lt;&gt;"","Respondido",IF(G104="","Sem prazo definido",IF(NOW()&gt;G104,"Prazo encerrado – sem resposta","Aguardando"))))</f>
        <v/>
      </c>
      <c r="N104" s="16">
        <f>IF(B104="","",IF(COUNTIF(B105:B$302,B104)=0,B104,""))</f>
        <v/>
      </c>
    </row>
    <row r="105">
      <c r="A105" s="15" t="n"/>
      <c r="B105" s="15" t="n"/>
      <c r="C105" s="15" t="n"/>
      <c r="D105" s="15" t="n"/>
      <c r="E105" s="20" t="n"/>
      <c r="F105" s="15" t="n"/>
      <c r="G105" s="25">
        <f>IF(OR(E105="",F105=""),"",E105+F105/24)</f>
        <v/>
      </c>
      <c r="H105" s="15" t="n"/>
      <c r="I105" s="20" t="n"/>
      <c r="J105" s="15" t="n"/>
      <c r="K105" s="15" t="n"/>
      <c r="L105" s="15" t="n"/>
      <c r="M105" s="16">
        <f>IF(A105="","",IF(I105&lt;&gt;"","Respondido",IF(G105="","Sem prazo definido",IF(NOW()&gt;G105,"Prazo encerrado – sem resposta","Aguardando"))))</f>
        <v/>
      </c>
      <c r="N105" s="16">
        <f>IF(B105="","",IF(COUNTIF(B106:B$302,B105)=0,B105,""))</f>
        <v/>
      </c>
    </row>
    <row r="106">
      <c r="A106" s="15" t="n"/>
      <c r="B106" s="15" t="n"/>
      <c r="C106" s="15" t="n"/>
      <c r="D106" s="15" t="n"/>
      <c r="E106" s="20" t="n"/>
      <c r="F106" s="15" t="n"/>
      <c r="G106" s="25">
        <f>IF(OR(E106="",F106=""),"",E106+F106/24)</f>
        <v/>
      </c>
      <c r="H106" s="15" t="n"/>
      <c r="I106" s="20" t="n"/>
      <c r="J106" s="15" t="n"/>
      <c r="K106" s="15" t="n"/>
      <c r="L106" s="15" t="n"/>
      <c r="M106" s="16">
        <f>IF(A106="","",IF(I106&lt;&gt;"","Respondido",IF(G106="","Sem prazo definido",IF(NOW()&gt;G106,"Prazo encerrado – sem resposta","Aguardando"))))</f>
        <v/>
      </c>
      <c r="N106" s="16">
        <f>IF(B106="","",IF(COUNTIF(B107:B$302,B106)=0,B106,""))</f>
        <v/>
      </c>
    </row>
    <row r="107">
      <c r="A107" s="15" t="n"/>
      <c r="B107" s="15" t="n"/>
      <c r="C107" s="15" t="n"/>
      <c r="D107" s="15" t="n"/>
      <c r="E107" s="20" t="n"/>
      <c r="F107" s="15" t="n"/>
      <c r="G107" s="25">
        <f>IF(OR(E107="",F107=""),"",E107+F107/24)</f>
        <v/>
      </c>
      <c r="H107" s="15" t="n"/>
      <c r="I107" s="20" t="n"/>
      <c r="J107" s="15" t="n"/>
      <c r="K107" s="15" t="n"/>
      <c r="L107" s="15" t="n"/>
      <c r="M107" s="16">
        <f>IF(A107="","",IF(I107&lt;&gt;"","Respondido",IF(G107="","Sem prazo definido",IF(NOW()&gt;G107,"Prazo encerrado – sem resposta","Aguardando"))))</f>
        <v/>
      </c>
      <c r="N107" s="16">
        <f>IF(B107="","",IF(COUNTIF(B108:B$302,B107)=0,B107,""))</f>
        <v/>
      </c>
    </row>
    <row r="108">
      <c r="A108" s="15" t="n"/>
      <c r="B108" s="15" t="n"/>
      <c r="C108" s="15" t="n"/>
      <c r="D108" s="15" t="n"/>
      <c r="E108" s="20" t="n"/>
      <c r="F108" s="15" t="n"/>
      <c r="G108" s="25">
        <f>IF(OR(E108="",F108=""),"",E108+F108/24)</f>
        <v/>
      </c>
      <c r="H108" s="15" t="n"/>
      <c r="I108" s="20" t="n"/>
      <c r="J108" s="15" t="n"/>
      <c r="K108" s="15" t="n"/>
      <c r="L108" s="15" t="n"/>
      <c r="M108" s="16">
        <f>IF(A108="","",IF(I108&lt;&gt;"","Respondido",IF(G108="","Sem prazo definido",IF(NOW()&gt;G108,"Prazo encerrado – sem resposta","Aguardando"))))</f>
        <v/>
      </c>
      <c r="N108" s="16">
        <f>IF(B108="","",IF(COUNTIF(B109:B$302,B108)=0,B108,""))</f>
        <v/>
      </c>
    </row>
    <row r="109">
      <c r="A109" s="15" t="n"/>
      <c r="B109" s="15" t="n"/>
      <c r="C109" s="15" t="n"/>
      <c r="D109" s="15" t="n"/>
      <c r="E109" s="20" t="n"/>
      <c r="F109" s="15" t="n"/>
      <c r="G109" s="25">
        <f>IF(OR(E109="",F109=""),"",E109+F109/24)</f>
        <v/>
      </c>
      <c r="H109" s="15" t="n"/>
      <c r="I109" s="20" t="n"/>
      <c r="J109" s="15" t="n"/>
      <c r="K109" s="15" t="n"/>
      <c r="L109" s="15" t="n"/>
      <c r="M109" s="16">
        <f>IF(A109="","",IF(I109&lt;&gt;"","Respondido",IF(G109="","Sem prazo definido",IF(NOW()&gt;G109,"Prazo encerrado – sem resposta","Aguardando"))))</f>
        <v/>
      </c>
      <c r="N109" s="16">
        <f>IF(B109="","",IF(COUNTIF(B110:B$302,B109)=0,B109,""))</f>
        <v/>
      </c>
    </row>
    <row r="110">
      <c r="A110" s="15" t="n"/>
      <c r="B110" s="15" t="n"/>
      <c r="C110" s="15" t="n"/>
      <c r="D110" s="15" t="n"/>
      <c r="E110" s="20" t="n"/>
      <c r="F110" s="15" t="n"/>
      <c r="G110" s="25">
        <f>IF(OR(E110="",F110=""),"",E110+F110/24)</f>
        <v/>
      </c>
      <c r="H110" s="15" t="n"/>
      <c r="I110" s="20" t="n"/>
      <c r="J110" s="15" t="n"/>
      <c r="K110" s="15" t="n"/>
      <c r="L110" s="15" t="n"/>
      <c r="M110" s="16">
        <f>IF(A110="","",IF(I110&lt;&gt;"","Respondido",IF(G110="","Sem prazo definido",IF(NOW()&gt;G110,"Prazo encerrado – sem resposta","Aguardando"))))</f>
        <v/>
      </c>
      <c r="N110" s="16">
        <f>IF(B110="","",IF(COUNTIF(B111:B$302,B110)=0,B110,""))</f>
        <v/>
      </c>
    </row>
    <row r="111">
      <c r="A111" s="15" t="n"/>
      <c r="B111" s="15" t="n"/>
      <c r="C111" s="15" t="n"/>
      <c r="D111" s="15" t="n"/>
      <c r="E111" s="20" t="n"/>
      <c r="F111" s="15" t="n"/>
      <c r="G111" s="25">
        <f>IF(OR(E111="",F111=""),"",E111+F111/24)</f>
        <v/>
      </c>
      <c r="H111" s="15" t="n"/>
      <c r="I111" s="20" t="n"/>
      <c r="J111" s="15" t="n"/>
      <c r="K111" s="15" t="n"/>
      <c r="L111" s="15" t="n"/>
      <c r="M111" s="16">
        <f>IF(A111="","",IF(I111&lt;&gt;"","Respondido",IF(G111="","Sem prazo definido",IF(NOW()&gt;G111,"Prazo encerrado – sem resposta","Aguardando"))))</f>
        <v/>
      </c>
      <c r="N111" s="16">
        <f>IF(B111="","",IF(COUNTIF(B112:B$302,B111)=0,B111,""))</f>
        <v/>
      </c>
    </row>
    <row r="112">
      <c r="A112" s="15" t="n"/>
      <c r="B112" s="15" t="n"/>
      <c r="C112" s="15" t="n"/>
      <c r="D112" s="15" t="n"/>
      <c r="E112" s="20" t="n"/>
      <c r="F112" s="15" t="n"/>
      <c r="G112" s="25">
        <f>IF(OR(E112="",F112=""),"",E112+F112/24)</f>
        <v/>
      </c>
      <c r="H112" s="15" t="n"/>
      <c r="I112" s="20" t="n"/>
      <c r="J112" s="15" t="n"/>
      <c r="K112" s="15" t="n"/>
      <c r="L112" s="15" t="n"/>
      <c r="M112" s="16">
        <f>IF(A112="","",IF(I112&lt;&gt;"","Respondido",IF(G112="","Sem prazo definido",IF(NOW()&gt;G112,"Prazo encerrado – sem resposta","Aguardando"))))</f>
        <v/>
      </c>
      <c r="N112" s="16">
        <f>IF(B112="","",IF(COUNTIF(B113:B$302,B112)=0,B112,""))</f>
        <v/>
      </c>
    </row>
    <row r="113">
      <c r="A113" s="15" t="n"/>
      <c r="B113" s="15" t="n"/>
      <c r="C113" s="15" t="n"/>
      <c r="D113" s="15" t="n"/>
      <c r="E113" s="20" t="n"/>
      <c r="F113" s="15" t="n"/>
      <c r="G113" s="25">
        <f>IF(OR(E113="",F113=""),"",E113+F113/24)</f>
        <v/>
      </c>
      <c r="H113" s="15" t="n"/>
      <c r="I113" s="20" t="n"/>
      <c r="J113" s="15" t="n"/>
      <c r="K113" s="15" t="n"/>
      <c r="L113" s="15" t="n"/>
      <c r="M113" s="16">
        <f>IF(A113="","",IF(I113&lt;&gt;"","Respondido",IF(G113="","Sem prazo definido",IF(NOW()&gt;G113,"Prazo encerrado – sem resposta","Aguardando"))))</f>
        <v/>
      </c>
      <c r="N113" s="16">
        <f>IF(B113="","",IF(COUNTIF(B114:B$302,B113)=0,B113,""))</f>
        <v/>
      </c>
    </row>
    <row r="114">
      <c r="A114" s="15" t="n"/>
      <c r="B114" s="15" t="n"/>
      <c r="C114" s="15" t="n"/>
      <c r="D114" s="15" t="n"/>
      <c r="E114" s="20" t="n"/>
      <c r="F114" s="15" t="n"/>
      <c r="G114" s="25">
        <f>IF(OR(E114="",F114=""),"",E114+F114/24)</f>
        <v/>
      </c>
      <c r="H114" s="15" t="n"/>
      <c r="I114" s="20" t="n"/>
      <c r="J114" s="15" t="n"/>
      <c r="K114" s="15" t="n"/>
      <c r="L114" s="15" t="n"/>
      <c r="M114" s="16">
        <f>IF(A114="","",IF(I114&lt;&gt;"","Respondido",IF(G114="","Sem prazo definido",IF(NOW()&gt;G114,"Prazo encerrado – sem resposta","Aguardando"))))</f>
        <v/>
      </c>
      <c r="N114" s="16">
        <f>IF(B114="","",IF(COUNTIF(B115:B$302,B114)=0,B114,""))</f>
        <v/>
      </c>
    </row>
    <row r="115">
      <c r="A115" s="15" t="n"/>
      <c r="B115" s="15" t="n"/>
      <c r="C115" s="15" t="n"/>
      <c r="D115" s="15" t="n"/>
      <c r="E115" s="20" t="n"/>
      <c r="F115" s="15" t="n"/>
      <c r="G115" s="25">
        <f>IF(OR(E115="",F115=""),"",E115+F115/24)</f>
        <v/>
      </c>
      <c r="H115" s="15" t="n"/>
      <c r="I115" s="20" t="n"/>
      <c r="J115" s="15" t="n"/>
      <c r="K115" s="15" t="n"/>
      <c r="L115" s="15" t="n"/>
      <c r="M115" s="16">
        <f>IF(A115="","",IF(I115&lt;&gt;"","Respondido",IF(G115="","Sem prazo definido",IF(NOW()&gt;G115,"Prazo encerrado – sem resposta","Aguardando"))))</f>
        <v/>
      </c>
      <c r="N115" s="16">
        <f>IF(B115="","",IF(COUNTIF(B116:B$302,B115)=0,B115,""))</f>
        <v/>
      </c>
    </row>
    <row r="116">
      <c r="A116" s="15" t="n"/>
      <c r="B116" s="15" t="n"/>
      <c r="C116" s="15" t="n"/>
      <c r="D116" s="15" t="n"/>
      <c r="E116" s="20" t="n"/>
      <c r="F116" s="15" t="n"/>
      <c r="G116" s="25">
        <f>IF(OR(E116="",F116=""),"",E116+F116/24)</f>
        <v/>
      </c>
      <c r="H116" s="15" t="n"/>
      <c r="I116" s="20" t="n"/>
      <c r="J116" s="15" t="n"/>
      <c r="K116" s="15" t="n"/>
      <c r="L116" s="15" t="n"/>
      <c r="M116" s="16">
        <f>IF(A116="","",IF(I116&lt;&gt;"","Respondido",IF(G116="","Sem prazo definido",IF(NOW()&gt;G116,"Prazo encerrado – sem resposta","Aguardando"))))</f>
        <v/>
      </c>
      <c r="N116" s="16">
        <f>IF(B116="","",IF(COUNTIF(B117:B$302,B116)=0,B116,""))</f>
        <v/>
      </c>
    </row>
    <row r="117">
      <c r="A117" s="15" t="n"/>
      <c r="B117" s="15" t="n"/>
      <c r="C117" s="15" t="n"/>
      <c r="D117" s="15" t="n"/>
      <c r="E117" s="20" t="n"/>
      <c r="F117" s="15" t="n"/>
      <c r="G117" s="25">
        <f>IF(OR(E117="",F117=""),"",E117+F117/24)</f>
        <v/>
      </c>
      <c r="H117" s="15" t="n"/>
      <c r="I117" s="20" t="n"/>
      <c r="J117" s="15" t="n"/>
      <c r="K117" s="15" t="n"/>
      <c r="L117" s="15" t="n"/>
      <c r="M117" s="16">
        <f>IF(A117="","",IF(I117&lt;&gt;"","Respondido",IF(G117="","Sem prazo definido",IF(NOW()&gt;G117,"Prazo encerrado – sem resposta","Aguardando"))))</f>
        <v/>
      </c>
      <c r="N117" s="16">
        <f>IF(B117="","",IF(COUNTIF(B118:B$302,B117)=0,B117,""))</f>
        <v/>
      </c>
    </row>
    <row r="118">
      <c r="A118" s="15" t="n"/>
      <c r="B118" s="15" t="n"/>
      <c r="C118" s="15" t="n"/>
      <c r="D118" s="15" t="n"/>
      <c r="E118" s="20" t="n"/>
      <c r="F118" s="15" t="n"/>
      <c r="G118" s="25">
        <f>IF(OR(E118="",F118=""),"",E118+F118/24)</f>
        <v/>
      </c>
      <c r="H118" s="15" t="n"/>
      <c r="I118" s="20" t="n"/>
      <c r="J118" s="15" t="n"/>
      <c r="K118" s="15" t="n"/>
      <c r="L118" s="15" t="n"/>
      <c r="M118" s="16">
        <f>IF(A118="","",IF(I118&lt;&gt;"","Respondido",IF(G118="","Sem prazo definido",IF(NOW()&gt;G118,"Prazo encerrado – sem resposta","Aguardando"))))</f>
        <v/>
      </c>
      <c r="N118" s="16">
        <f>IF(B118="","",IF(COUNTIF(B119:B$302,B118)=0,B118,""))</f>
        <v/>
      </c>
    </row>
    <row r="119">
      <c r="A119" s="15" t="n"/>
      <c r="B119" s="15" t="n"/>
      <c r="C119" s="15" t="n"/>
      <c r="D119" s="15" t="n"/>
      <c r="E119" s="20" t="n"/>
      <c r="F119" s="15" t="n"/>
      <c r="G119" s="25">
        <f>IF(OR(E119="",F119=""),"",E119+F119/24)</f>
        <v/>
      </c>
      <c r="H119" s="15" t="n"/>
      <c r="I119" s="20" t="n"/>
      <c r="J119" s="15" t="n"/>
      <c r="K119" s="15" t="n"/>
      <c r="L119" s="15" t="n"/>
      <c r="M119" s="16">
        <f>IF(A119="","",IF(I119&lt;&gt;"","Respondido",IF(G119="","Sem prazo definido",IF(NOW()&gt;G119,"Prazo encerrado – sem resposta","Aguardando"))))</f>
        <v/>
      </c>
      <c r="N119" s="16">
        <f>IF(B119="","",IF(COUNTIF(B120:B$302,B119)=0,B119,""))</f>
        <v/>
      </c>
    </row>
    <row r="120">
      <c r="A120" s="15" t="n"/>
      <c r="B120" s="15" t="n"/>
      <c r="C120" s="15" t="n"/>
      <c r="D120" s="15" t="n"/>
      <c r="E120" s="20" t="n"/>
      <c r="F120" s="15" t="n"/>
      <c r="G120" s="25">
        <f>IF(OR(E120="",F120=""),"",E120+F120/24)</f>
        <v/>
      </c>
      <c r="H120" s="15" t="n"/>
      <c r="I120" s="20" t="n"/>
      <c r="J120" s="15" t="n"/>
      <c r="K120" s="15" t="n"/>
      <c r="L120" s="15" t="n"/>
      <c r="M120" s="16">
        <f>IF(A120="","",IF(I120&lt;&gt;"","Respondido",IF(G120="","Sem prazo definido",IF(NOW()&gt;G120,"Prazo encerrado – sem resposta","Aguardando"))))</f>
        <v/>
      </c>
      <c r="N120" s="16">
        <f>IF(B120="","",IF(COUNTIF(B121:B$302,B120)=0,B120,""))</f>
        <v/>
      </c>
    </row>
    <row r="121">
      <c r="A121" s="15" t="n"/>
      <c r="B121" s="15" t="n"/>
      <c r="C121" s="15" t="n"/>
      <c r="D121" s="15" t="n"/>
      <c r="E121" s="20" t="n"/>
      <c r="F121" s="15" t="n"/>
      <c r="G121" s="25">
        <f>IF(OR(E121="",F121=""),"",E121+F121/24)</f>
        <v/>
      </c>
      <c r="H121" s="15" t="n"/>
      <c r="I121" s="20" t="n"/>
      <c r="J121" s="15" t="n"/>
      <c r="K121" s="15" t="n"/>
      <c r="L121" s="15" t="n"/>
      <c r="M121" s="16">
        <f>IF(A121="","",IF(I121&lt;&gt;"","Respondido",IF(G121="","Sem prazo definido",IF(NOW()&gt;G121,"Prazo encerrado – sem resposta","Aguardando"))))</f>
        <v/>
      </c>
      <c r="N121" s="16">
        <f>IF(B121="","",IF(COUNTIF(B122:B$302,B121)=0,B121,""))</f>
        <v/>
      </c>
    </row>
    <row r="122">
      <c r="A122" s="15" t="n"/>
      <c r="B122" s="15" t="n"/>
      <c r="C122" s="15" t="n"/>
      <c r="D122" s="15" t="n"/>
      <c r="E122" s="20" t="n"/>
      <c r="F122" s="15" t="n"/>
      <c r="G122" s="25">
        <f>IF(OR(E122="",F122=""),"",E122+F122/24)</f>
        <v/>
      </c>
      <c r="H122" s="15" t="n"/>
      <c r="I122" s="20" t="n"/>
      <c r="J122" s="15" t="n"/>
      <c r="K122" s="15" t="n"/>
      <c r="L122" s="15" t="n"/>
      <c r="M122" s="16">
        <f>IF(A122="","",IF(I122&lt;&gt;"","Respondido",IF(G122="","Sem prazo definido",IF(NOW()&gt;G122,"Prazo encerrado – sem resposta","Aguardando"))))</f>
        <v/>
      </c>
      <c r="N122" s="16">
        <f>IF(B122="","",IF(COUNTIF(B123:B$302,B122)=0,B122,""))</f>
        <v/>
      </c>
    </row>
    <row r="123">
      <c r="A123" s="15" t="n"/>
      <c r="B123" s="15" t="n"/>
      <c r="C123" s="15" t="n"/>
      <c r="D123" s="15" t="n"/>
      <c r="E123" s="20" t="n"/>
      <c r="F123" s="15" t="n"/>
      <c r="G123" s="25">
        <f>IF(OR(E123="",F123=""),"",E123+F123/24)</f>
        <v/>
      </c>
      <c r="H123" s="15" t="n"/>
      <c r="I123" s="20" t="n"/>
      <c r="J123" s="15" t="n"/>
      <c r="K123" s="15" t="n"/>
      <c r="L123" s="15" t="n"/>
      <c r="M123" s="16">
        <f>IF(A123="","",IF(I123&lt;&gt;"","Respondido",IF(G123="","Sem prazo definido",IF(NOW()&gt;G123,"Prazo encerrado – sem resposta","Aguardando"))))</f>
        <v/>
      </c>
      <c r="N123" s="16">
        <f>IF(B123="","",IF(COUNTIF(B124:B$302,B123)=0,B123,""))</f>
        <v/>
      </c>
    </row>
    <row r="124">
      <c r="A124" s="15" t="n"/>
      <c r="B124" s="15" t="n"/>
      <c r="C124" s="15" t="n"/>
      <c r="D124" s="15" t="n"/>
      <c r="E124" s="20" t="n"/>
      <c r="F124" s="15" t="n"/>
      <c r="G124" s="25">
        <f>IF(OR(E124="",F124=""),"",E124+F124/24)</f>
        <v/>
      </c>
      <c r="H124" s="15" t="n"/>
      <c r="I124" s="20" t="n"/>
      <c r="J124" s="15" t="n"/>
      <c r="K124" s="15" t="n"/>
      <c r="L124" s="15" t="n"/>
      <c r="M124" s="16">
        <f>IF(A124="","",IF(I124&lt;&gt;"","Respondido",IF(G124="","Sem prazo definido",IF(NOW()&gt;G124,"Prazo encerrado – sem resposta","Aguardando"))))</f>
        <v/>
      </c>
      <c r="N124" s="16">
        <f>IF(B124="","",IF(COUNTIF(B125:B$302,B124)=0,B124,""))</f>
        <v/>
      </c>
    </row>
    <row r="125">
      <c r="A125" s="15" t="n"/>
      <c r="B125" s="15" t="n"/>
      <c r="C125" s="15" t="n"/>
      <c r="D125" s="15" t="n"/>
      <c r="E125" s="20" t="n"/>
      <c r="F125" s="15" t="n"/>
      <c r="G125" s="25">
        <f>IF(OR(E125="",F125=""),"",E125+F125/24)</f>
        <v/>
      </c>
      <c r="H125" s="15" t="n"/>
      <c r="I125" s="20" t="n"/>
      <c r="J125" s="15" t="n"/>
      <c r="K125" s="15" t="n"/>
      <c r="L125" s="15" t="n"/>
      <c r="M125" s="16">
        <f>IF(A125="","",IF(I125&lt;&gt;"","Respondido",IF(G125="","Sem prazo definido",IF(NOW()&gt;G125,"Prazo encerrado – sem resposta","Aguardando"))))</f>
        <v/>
      </c>
      <c r="N125" s="16">
        <f>IF(B125="","",IF(COUNTIF(B126:B$302,B125)=0,B125,""))</f>
        <v/>
      </c>
    </row>
    <row r="126">
      <c r="A126" s="15" t="n"/>
      <c r="B126" s="15" t="n"/>
      <c r="C126" s="15" t="n"/>
      <c r="D126" s="15" t="n"/>
      <c r="E126" s="20" t="n"/>
      <c r="F126" s="15" t="n"/>
      <c r="G126" s="25">
        <f>IF(OR(E126="",F126=""),"",E126+F126/24)</f>
        <v/>
      </c>
      <c r="H126" s="15" t="n"/>
      <c r="I126" s="20" t="n"/>
      <c r="J126" s="15" t="n"/>
      <c r="K126" s="15" t="n"/>
      <c r="L126" s="15" t="n"/>
      <c r="M126" s="16">
        <f>IF(A126="","",IF(I126&lt;&gt;"","Respondido",IF(G126="","Sem prazo definido",IF(NOW()&gt;G126,"Prazo encerrado – sem resposta","Aguardando"))))</f>
        <v/>
      </c>
      <c r="N126" s="16">
        <f>IF(B126="","",IF(COUNTIF(B127:B$302,B126)=0,B126,""))</f>
        <v/>
      </c>
    </row>
    <row r="127">
      <c r="A127" s="15" t="n"/>
      <c r="B127" s="15" t="n"/>
      <c r="C127" s="15" t="n"/>
      <c r="D127" s="15" t="n"/>
      <c r="E127" s="20" t="n"/>
      <c r="F127" s="15" t="n"/>
      <c r="G127" s="25">
        <f>IF(OR(E127="",F127=""),"",E127+F127/24)</f>
        <v/>
      </c>
      <c r="H127" s="15" t="n"/>
      <c r="I127" s="20" t="n"/>
      <c r="J127" s="15" t="n"/>
      <c r="K127" s="15" t="n"/>
      <c r="L127" s="15" t="n"/>
      <c r="M127" s="16">
        <f>IF(A127="","",IF(I127&lt;&gt;"","Respondido",IF(G127="","Sem prazo definido",IF(NOW()&gt;G127,"Prazo encerrado – sem resposta","Aguardando"))))</f>
        <v/>
      </c>
      <c r="N127" s="16">
        <f>IF(B127="","",IF(COUNTIF(B128:B$302,B127)=0,B127,""))</f>
        <v/>
      </c>
    </row>
    <row r="128">
      <c r="A128" s="15" t="n"/>
      <c r="B128" s="15" t="n"/>
      <c r="C128" s="15" t="n"/>
      <c r="D128" s="15" t="n"/>
      <c r="E128" s="20" t="n"/>
      <c r="F128" s="15" t="n"/>
      <c r="G128" s="25">
        <f>IF(OR(E128="",F128=""),"",E128+F128/24)</f>
        <v/>
      </c>
      <c r="H128" s="15" t="n"/>
      <c r="I128" s="20" t="n"/>
      <c r="J128" s="15" t="n"/>
      <c r="K128" s="15" t="n"/>
      <c r="L128" s="15" t="n"/>
      <c r="M128" s="16">
        <f>IF(A128="","",IF(I128&lt;&gt;"","Respondido",IF(G128="","Sem prazo definido",IF(NOW()&gt;G128,"Prazo encerrado – sem resposta","Aguardando"))))</f>
        <v/>
      </c>
      <c r="N128" s="16">
        <f>IF(B128="","",IF(COUNTIF(B129:B$302,B128)=0,B128,""))</f>
        <v/>
      </c>
    </row>
    <row r="129">
      <c r="A129" s="15" t="n"/>
      <c r="B129" s="15" t="n"/>
      <c r="C129" s="15" t="n"/>
      <c r="D129" s="15" t="n"/>
      <c r="E129" s="20" t="n"/>
      <c r="F129" s="15" t="n"/>
      <c r="G129" s="25">
        <f>IF(OR(E129="",F129=""),"",E129+F129/24)</f>
        <v/>
      </c>
      <c r="H129" s="15" t="n"/>
      <c r="I129" s="20" t="n"/>
      <c r="J129" s="15" t="n"/>
      <c r="K129" s="15" t="n"/>
      <c r="L129" s="15" t="n"/>
      <c r="M129" s="16">
        <f>IF(A129="","",IF(I129&lt;&gt;"","Respondido",IF(G129="","Sem prazo definido",IF(NOW()&gt;G129,"Prazo encerrado – sem resposta","Aguardando"))))</f>
        <v/>
      </c>
      <c r="N129" s="16">
        <f>IF(B129="","",IF(COUNTIF(B130:B$302,B129)=0,B129,""))</f>
        <v/>
      </c>
    </row>
    <row r="130">
      <c r="A130" s="15" t="n"/>
      <c r="B130" s="15" t="n"/>
      <c r="C130" s="15" t="n"/>
      <c r="D130" s="15" t="n"/>
      <c r="E130" s="20" t="n"/>
      <c r="F130" s="15" t="n"/>
      <c r="G130" s="25">
        <f>IF(OR(E130="",F130=""),"",E130+F130/24)</f>
        <v/>
      </c>
      <c r="H130" s="15" t="n"/>
      <c r="I130" s="20" t="n"/>
      <c r="J130" s="15" t="n"/>
      <c r="K130" s="15" t="n"/>
      <c r="L130" s="15" t="n"/>
      <c r="M130" s="16">
        <f>IF(A130="","",IF(I130&lt;&gt;"","Respondido",IF(G130="","Sem prazo definido",IF(NOW()&gt;G130,"Prazo encerrado – sem resposta","Aguardando"))))</f>
        <v/>
      </c>
      <c r="N130" s="16">
        <f>IF(B130="","",IF(COUNTIF(B131:B$302,B130)=0,B130,""))</f>
        <v/>
      </c>
    </row>
    <row r="131">
      <c r="A131" s="15" t="n"/>
      <c r="B131" s="15" t="n"/>
      <c r="C131" s="15" t="n"/>
      <c r="D131" s="15" t="n"/>
      <c r="E131" s="20" t="n"/>
      <c r="F131" s="15" t="n"/>
      <c r="G131" s="25">
        <f>IF(OR(E131="",F131=""),"",E131+F131/24)</f>
        <v/>
      </c>
      <c r="H131" s="15" t="n"/>
      <c r="I131" s="20" t="n"/>
      <c r="J131" s="15" t="n"/>
      <c r="K131" s="15" t="n"/>
      <c r="L131" s="15" t="n"/>
      <c r="M131" s="16">
        <f>IF(A131="","",IF(I131&lt;&gt;"","Respondido",IF(G131="","Sem prazo definido",IF(NOW()&gt;G131,"Prazo encerrado – sem resposta","Aguardando"))))</f>
        <v/>
      </c>
      <c r="N131" s="16">
        <f>IF(B131="","",IF(COUNTIF(B132:B$302,B131)=0,B131,""))</f>
        <v/>
      </c>
    </row>
    <row r="132">
      <c r="A132" s="15" t="n"/>
      <c r="B132" s="15" t="n"/>
      <c r="C132" s="15" t="n"/>
      <c r="D132" s="15" t="n"/>
      <c r="E132" s="20" t="n"/>
      <c r="F132" s="15" t="n"/>
      <c r="G132" s="25">
        <f>IF(OR(E132="",F132=""),"",E132+F132/24)</f>
        <v/>
      </c>
      <c r="H132" s="15" t="n"/>
      <c r="I132" s="20" t="n"/>
      <c r="J132" s="15" t="n"/>
      <c r="K132" s="15" t="n"/>
      <c r="L132" s="15" t="n"/>
      <c r="M132" s="16">
        <f>IF(A132="","",IF(I132&lt;&gt;"","Respondido",IF(G132="","Sem prazo definido",IF(NOW()&gt;G132,"Prazo encerrado – sem resposta","Aguardando"))))</f>
        <v/>
      </c>
      <c r="N132" s="16">
        <f>IF(B132="","",IF(COUNTIF(B133:B$302,B132)=0,B132,""))</f>
        <v/>
      </c>
    </row>
    <row r="133">
      <c r="A133" s="15" t="n"/>
      <c r="B133" s="15" t="n"/>
      <c r="C133" s="15" t="n"/>
      <c r="D133" s="15" t="n"/>
      <c r="E133" s="20" t="n"/>
      <c r="F133" s="15" t="n"/>
      <c r="G133" s="25">
        <f>IF(OR(E133="",F133=""),"",E133+F133/24)</f>
        <v/>
      </c>
      <c r="H133" s="15" t="n"/>
      <c r="I133" s="20" t="n"/>
      <c r="J133" s="15" t="n"/>
      <c r="K133" s="15" t="n"/>
      <c r="L133" s="15" t="n"/>
      <c r="M133" s="16">
        <f>IF(A133="","",IF(I133&lt;&gt;"","Respondido",IF(G133="","Sem prazo definido",IF(NOW()&gt;G133,"Prazo encerrado – sem resposta","Aguardando"))))</f>
        <v/>
      </c>
      <c r="N133" s="16">
        <f>IF(B133="","",IF(COUNTIF(B134:B$302,B133)=0,B133,""))</f>
        <v/>
      </c>
    </row>
    <row r="134">
      <c r="A134" s="15" t="n"/>
      <c r="B134" s="15" t="n"/>
      <c r="C134" s="15" t="n"/>
      <c r="D134" s="15" t="n"/>
      <c r="E134" s="20" t="n"/>
      <c r="F134" s="15" t="n"/>
      <c r="G134" s="25">
        <f>IF(OR(E134="",F134=""),"",E134+F134/24)</f>
        <v/>
      </c>
      <c r="H134" s="15" t="n"/>
      <c r="I134" s="20" t="n"/>
      <c r="J134" s="15" t="n"/>
      <c r="K134" s="15" t="n"/>
      <c r="L134" s="15" t="n"/>
      <c r="M134" s="16">
        <f>IF(A134="","",IF(I134&lt;&gt;"","Respondido",IF(G134="","Sem prazo definido",IF(NOW()&gt;G134,"Prazo encerrado – sem resposta","Aguardando"))))</f>
        <v/>
      </c>
      <c r="N134" s="16">
        <f>IF(B134="","",IF(COUNTIF(B135:B$302,B134)=0,B134,""))</f>
        <v/>
      </c>
    </row>
    <row r="135">
      <c r="A135" s="15" t="n"/>
      <c r="B135" s="15" t="n"/>
      <c r="C135" s="15" t="n"/>
      <c r="D135" s="15" t="n"/>
      <c r="E135" s="20" t="n"/>
      <c r="F135" s="15" t="n"/>
      <c r="G135" s="25">
        <f>IF(OR(E135="",F135=""),"",E135+F135/24)</f>
        <v/>
      </c>
      <c r="H135" s="15" t="n"/>
      <c r="I135" s="20" t="n"/>
      <c r="J135" s="15" t="n"/>
      <c r="K135" s="15" t="n"/>
      <c r="L135" s="15" t="n"/>
      <c r="M135" s="16">
        <f>IF(A135="","",IF(I135&lt;&gt;"","Respondido",IF(G135="","Sem prazo definido",IF(NOW()&gt;G135,"Prazo encerrado – sem resposta","Aguardando"))))</f>
        <v/>
      </c>
      <c r="N135" s="16">
        <f>IF(B135="","",IF(COUNTIF(B136:B$302,B135)=0,B135,""))</f>
        <v/>
      </c>
    </row>
    <row r="136">
      <c r="A136" s="15" t="n"/>
      <c r="B136" s="15" t="n"/>
      <c r="C136" s="15" t="n"/>
      <c r="D136" s="15" t="n"/>
      <c r="E136" s="20" t="n"/>
      <c r="F136" s="15" t="n"/>
      <c r="G136" s="25">
        <f>IF(OR(E136="",F136=""),"",E136+F136/24)</f>
        <v/>
      </c>
      <c r="H136" s="15" t="n"/>
      <c r="I136" s="20" t="n"/>
      <c r="J136" s="15" t="n"/>
      <c r="K136" s="15" t="n"/>
      <c r="L136" s="15" t="n"/>
      <c r="M136" s="16">
        <f>IF(A136="","",IF(I136&lt;&gt;"","Respondido",IF(G136="","Sem prazo definido",IF(NOW()&gt;G136,"Prazo encerrado – sem resposta","Aguardando"))))</f>
        <v/>
      </c>
      <c r="N136" s="16">
        <f>IF(B136="","",IF(COUNTIF(B137:B$302,B136)=0,B136,""))</f>
        <v/>
      </c>
    </row>
    <row r="137">
      <c r="A137" s="15" t="n"/>
      <c r="B137" s="15" t="n"/>
      <c r="C137" s="15" t="n"/>
      <c r="D137" s="15" t="n"/>
      <c r="E137" s="20" t="n"/>
      <c r="F137" s="15" t="n"/>
      <c r="G137" s="25">
        <f>IF(OR(E137="",F137=""),"",E137+F137/24)</f>
        <v/>
      </c>
      <c r="H137" s="15" t="n"/>
      <c r="I137" s="20" t="n"/>
      <c r="J137" s="15" t="n"/>
      <c r="K137" s="15" t="n"/>
      <c r="L137" s="15" t="n"/>
      <c r="M137" s="16">
        <f>IF(A137="","",IF(I137&lt;&gt;"","Respondido",IF(G137="","Sem prazo definido",IF(NOW()&gt;G137,"Prazo encerrado – sem resposta","Aguardando"))))</f>
        <v/>
      </c>
      <c r="N137" s="16">
        <f>IF(B137="","",IF(COUNTIF(B138:B$302,B137)=0,B137,""))</f>
        <v/>
      </c>
    </row>
    <row r="138">
      <c r="A138" s="15" t="n"/>
      <c r="B138" s="15" t="n"/>
      <c r="C138" s="15" t="n"/>
      <c r="D138" s="15" t="n"/>
      <c r="E138" s="20" t="n"/>
      <c r="F138" s="15" t="n"/>
      <c r="G138" s="25">
        <f>IF(OR(E138="",F138=""),"",E138+F138/24)</f>
        <v/>
      </c>
      <c r="H138" s="15" t="n"/>
      <c r="I138" s="20" t="n"/>
      <c r="J138" s="15" t="n"/>
      <c r="K138" s="15" t="n"/>
      <c r="L138" s="15" t="n"/>
      <c r="M138" s="16">
        <f>IF(A138="","",IF(I138&lt;&gt;"","Respondido",IF(G138="","Sem prazo definido",IF(NOW()&gt;G138,"Prazo encerrado – sem resposta","Aguardando"))))</f>
        <v/>
      </c>
      <c r="N138" s="16">
        <f>IF(B138="","",IF(COUNTIF(B139:B$302,B138)=0,B138,""))</f>
        <v/>
      </c>
    </row>
    <row r="139">
      <c r="A139" s="15" t="n"/>
      <c r="B139" s="15" t="n"/>
      <c r="C139" s="15" t="n"/>
      <c r="D139" s="15" t="n"/>
      <c r="E139" s="20" t="n"/>
      <c r="F139" s="15" t="n"/>
      <c r="G139" s="25">
        <f>IF(OR(E139="",F139=""),"",E139+F139/24)</f>
        <v/>
      </c>
      <c r="H139" s="15" t="n"/>
      <c r="I139" s="20" t="n"/>
      <c r="J139" s="15" t="n"/>
      <c r="K139" s="15" t="n"/>
      <c r="L139" s="15" t="n"/>
      <c r="M139" s="16">
        <f>IF(A139="","",IF(I139&lt;&gt;"","Respondido",IF(G139="","Sem prazo definido",IF(NOW()&gt;G139,"Prazo encerrado – sem resposta","Aguardando"))))</f>
        <v/>
      </c>
      <c r="N139" s="16">
        <f>IF(B139="","",IF(COUNTIF(B140:B$302,B139)=0,B139,""))</f>
        <v/>
      </c>
    </row>
    <row r="140">
      <c r="A140" s="15" t="n"/>
      <c r="B140" s="15" t="n"/>
      <c r="C140" s="15" t="n"/>
      <c r="D140" s="15" t="n"/>
      <c r="E140" s="20" t="n"/>
      <c r="F140" s="15" t="n"/>
      <c r="G140" s="25">
        <f>IF(OR(E140="",F140=""),"",E140+F140/24)</f>
        <v/>
      </c>
      <c r="H140" s="15" t="n"/>
      <c r="I140" s="20" t="n"/>
      <c r="J140" s="15" t="n"/>
      <c r="K140" s="15" t="n"/>
      <c r="L140" s="15" t="n"/>
      <c r="M140" s="16">
        <f>IF(A140="","",IF(I140&lt;&gt;"","Respondido",IF(G140="","Sem prazo definido",IF(NOW()&gt;G140,"Prazo encerrado – sem resposta","Aguardando"))))</f>
        <v/>
      </c>
      <c r="N140" s="16">
        <f>IF(B140="","",IF(COUNTIF(B141:B$302,B140)=0,B140,""))</f>
        <v/>
      </c>
    </row>
    <row r="141">
      <c r="A141" s="15" t="n"/>
      <c r="B141" s="15" t="n"/>
      <c r="C141" s="15" t="n"/>
      <c r="D141" s="15" t="n"/>
      <c r="E141" s="20" t="n"/>
      <c r="F141" s="15" t="n"/>
      <c r="G141" s="25">
        <f>IF(OR(E141="",F141=""),"",E141+F141/24)</f>
        <v/>
      </c>
      <c r="H141" s="15" t="n"/>
      <c r="I141" s="20" t="n"/>
      <c r="J141" s="15" t="n"/>
      <c r="K141" s="15" t="n"/>
      <c r="L141" s="15" t="n"/>
      <c r="M141" s="16">
        <f>IF(A141="","",IF(I141&lt;&gt;"","Respondido",IF(G141="","Sem prazo definido",IF(NOW()&gt;G141,"Prazo encerrado – sem resposta","Aguardando"))))</f>
        <v/>
      </c>
      <c r="N141" s="16">
        <f>IF(B141="","",IF(COUNTIF(B142:B$302,B141)=0,B141,""))</f>
        <v/>
      </c>
    </row>
    <row r="142">
      <c r="A142" s="15" t="n"/>
      <c r="B142" s="15" t="n"/>
      <c r="C142" s="15" t="n"/>
      <c r="D142" s="15" t="n"/>
      <c r="E142" s="20" t="n"/>
      <c r="F142" s="15" t="n"/>
      <c r="G142" s="25">
        <f>IF(OR(E142="",F142=""),"",E142+F142/24)</f>
        <v/>
      </c>
      <c r="H142" s="15" t="n"/>
      <c r="I142" s="20" t="n"/>
      <c r="J142" s="15" t="n"/>
      <c r="K142" s="15" t="n"/>
      <c r="L142" s="15" t="n"/>
      <c r="M142" s="16">
        <f>IF(A142="","",IF(I142&lt;&gt;"","Respondido",IF(G142="","Sem prazo definido",IF(NOW()&gt;G142,"Prazo encerrado – sem resposta","Aguardando"))))</f>
        <v/>
      </c>
      <c r="N142" s="16">
        <f>IF(B142="","",IF(COUNTIF(B143:B$302,B142)=0,B142,""))</f>
        <v/>
      </c>
    </row>
    <row r="143">
      <c r="A143" s="15" t="n"/>
      <c r="B143" s="15" t="n"/>
      <c r="C143" s="15" t="n"/>
      <c r="D143" s="15" t="n"/>
      <c r="E143" s="20" t="n"/>
      <c r="F143" s="15" t="n"/>
      <c r="G143" s="25">
        <f>IF(OR(E143="",F143=""),"",E143+F143/24)</f>
        <v/>
      </c>
      <c r="H143" s="15" t="n"/>
      <c r="I143" s="20" t="n"/>
      <c r="J143" s="15" t="n"/>
      <c r="K143" s="15" t="n"/>
      <c r="L143" s="15" t="n"/>
      <c r="M143" s="16">
        <f>IF(A143="","",IF(I143&lt;&gt;"","Respondido",IF(G143="","Sem prazo definido",IF(NOW()&gt;G143,"Prazo encerrado – sem resposta","Aguardando"))))</f>
        <v/>
      </c>
      <c r="N143" s="16">
        <f>IF(B143="","",IF(COUNTIF(B144:B$302,B143)=0,B143,""))</f>
        <v/>
      </c>
    </row>
    <row r="144">
      <c r="A144" s="15" t="n"/>
      <c r="B144" s="15" t="n"/>
      <c r="C144" s="15" t="n"/>
      <c r="D144" s="15" t="n"/>
      <c r="E144" s="20" t="n"/>
      <c r="F144" s="15" t="n"/>
      <c r="G144" s="25">
        <f>IF(OR(E144="",F144=""),"",E144+F144/24)</f>
        <v/>
      </c>
      <c r="H144" s="15" t="n"/>
      <c r="I144" s="20" t="n"/>
      <c r="J144" s="15" t="n"/>
      <c r="K144" s="15" t="n"/>
      <c r="L144" s="15" t="n"/>
      <c r="M144" s="16">
        <f>IF(A144="","",IF(I144&lt;&gt;"","Respondido",IF(G144="","Sem prazo definido",IF(NOW()&gt;G144,"Prazo encerrado – sem resposta","Aguardando"))))</f>
        <v/>
      </c>
      <c r="N144" s="16">
        <f>IF(B144="","",IF(COUNTIF(B145:B$302,B144)=0,B144,""))</f>
        <v/>
      </c>
    </row>
    <row r="145">
      <c r="A145" s="15" t="n"/>
      <c r="B145" s="15" t="n"/>
      <c r="C145" s="15" t="n"/>
      <c r="D145" s="15" t="n"/>
      <c r="E145" s="20" t="n"/>
      <c r="F145" s="15" t="n"/>
      <c r="G145" s="25">
        <f>IF(OR(E145="",F145=""),"",E145+F145/24)</f>
        <v/>
      </c>
      <c r="H145" s="15" t="n"/>
      <c r="I145" s="20" t="n"/>
      <c r="J145" s="15" t="n"/>
      <c r="K145" s="15" t="n"/>
      <c r="L145" s="15" t="n"/>
      <c r="M145" s="16">
        <f>IF(A145="","",IF(I145&lt;&gt;"","Respondido",IF(G145="","Sem prazo definido",IF(NOW()&gt;G145,"Prazo encerrado – sem resposta","Aguardando"))))</f>
        <v/>
      </c>
      <c r="N145" s="16">
        <f>IF(B145="","",IF(COUNTIF(B146:B$302,B145)=0,B145,""))</f>
        <v/>
      </c>
    </row>
    <row r="146">
      <c r="A146" s="15" t="n"/>
      <c r="B146" s="15" t="n"/>
      <c r="C146" s="15" t="n"/>
      <c r="D146" s="15" t="n"/>
      <c r="E146" s="20" t="n"/>
      <c r="F146" s="15" t="n"/>
      <c r="G146" s="25">
        <f>IF(OR(E146="",F146=""),"",E146+F146/24)</f>
        <v/>
      </c>
      <c r="H146" s="15" t="n"/>
      <c r="I146" s="20" t="n"/>
      <c r="J146" s="15" t="n"/>
      <c r="K146" s="15" t="n"/>
      <c r="L146" s="15" t="n"/>
      <c r="M146" s="16">
        <f>IF(A146="","",IF(I146&lt;&gt;"","Respondido",IF(G146="","Sem prazo definido",IF(NOW()&gt;G146,"Prazo encerrado – sem resposta","Aguardando"))))</f>
        <v/>
      </c>
      <c r="N146" s="16">
        <f>IF(B146="","",IF(COUNTIF(B147:B$302,B146)=0,B146,""))</f>
        <v/>
      </c>
    </row>
    <row r="147">
      <c r="A147" s="15" t="n"/>
      <c r="B147" s="15" t="n"/>
      <c r="C147" s="15" t="n"/>
      <c r="D147" s="15" t="n"/>
      <c r="E147" s="20" t="n"/>
      <c r="F147" s="15" t="n"/>
      <c r="G147" s="25">
        <f>IF(OR(E147="",F147=""),"",E147+F147/24)</f>
        <v/>
      </c>
      <c r="H147" s="15" t="n"/>
      <c r="I147" s="20" t="n"/>
      <c r="J147" s="15" t="n"/>
      <c r="K147" s="15" t="n"/>
      <c r="L147" s="15" t="n"/>
      <c r="M147" s="16">
        <f>IF(A147="","",IF(I147&lt;&gt;"","Respondido",IF(G147="","Sem prazo definido",IF(NOW()&gt;G147,"Prazo encerrado – sem resposta","Aguardando"))))</f>
        <v/>
      </c>
      <c r="N147" s="16">
        <f>IF(B147="","",IF(COUNTIF(B148:B$302,B147)=0,B147,""))</f>
        <v/>
      </c>
    </row>
    <row r="148">
      <c r="A148" s="15" t="n"/>
      <c r="B148" s="15" t="n"/>
      <c r="C148" s="15" t="n"/>
      <c r="D148" s="15" t="n"/>
      <c r="E148" s="20" t="n"/>
      <c r="F148" s="15" t="n"/>
      <c r="G148" s="25">
        <f>IF(OR(E148="",F148=""),"",E148+F148/24)</f>
        <v/>
      </c>
      <c r="H148" s="15" t="n"/>
      <c r="I148" s="20" t="n"/>
      <c r="J148" s="15" t="n"/>
      <c r="K148" s="15" t="n"/>
      <c r="L148" s="15" t="n"/>
      <c r="M148" s="16">
        <f>IF(A148="","",IF(I148&lt;&gt;"","Respondido",IF(G148="","Sem prazo definido",IF(NOW()&gt;G148,"Prazo encerrado – sem resposta","Aguardando"))))</f>
        <v/>
      </c>
      <c r="N148" s="16">
        <f>IF(B148="","",IF(COUNTIF(B149:B$302,B148)=0,B148,""))</f>
        <v/>
      </c>
    </row>
    <row r="149">
      <c r="A149" s="15" t="n"/>
      <c r="B149" s="15" t="n"/>
      <c r="C149" s="15" t="n"/>
      <c r="D149" s="15" t="n"/>
      <c r="E149" s="20" t="n"/>
      <c r="F149" s="15" t="n"/>
      <c r="G149" s="25">
        <f>IF(OR(E149="",F149=""),"",E149+F149/24)</f>
        <v/>
      </c>
      <c r="H149" s="15" t="n"/>
      <c r="I149" s="20" t="n"/>
      <c r="J149" s="15" t="n"/>
      <c r="K149" s="15" t="n"/>
      <c r="L149" s="15" t="n"/>
      <c r="M149" s="16">
        <f>IF(A149="","",IF(I149&lt;&gt;"","Respondido",IF(G149="","Sem prazo definido",IF(NOW()&gt;G149,"Prazo encerrado – sem resposta","Aguardando"))))</f>
        <v/>
      </c>
      <c r="N149" s="16">
        <f>IF(B149="","",IF(COUNTIF(B150:B$302,B149)=0,B149,""))</f>
        <v/>
      </c>
    </row>
    <row r="150">
      <c r="A150" s="15" t="n"/>
      <c r="B150" s="15" t="n"/>
      <c r="C150" s="15" t="n"/>
      <c r="D150" s="15" t="n"/>
      <c r="E150" s="20" t="n"/>
      <c r="F150" s="15" t="n"/>
      <c r="G150" s="25">
        <f>IF(OR(E150="",F150=""),"",E150+F150/24)</f>
        <v/>
      </c>
      <c r="H150" s="15" t="n"/>
      <c r="I150" s="20" t="n"/>
      <c r="J150" s="15" t="n"/>
      <c r="K150" s="15" t="n"/>
      <c r="L150" s="15" t="n"/>
      <c r="M150" s="16">
        <f>IF(A150="","",IF(I150&lt;&gt;"","Respondido",IF(G150="","Sem prazo definido",IF(NOW()&gt;G150,"Prazo encerrado – sem resposta","Aguardando"))))</f>
        <v/>
      </c>
      <c r="N150" s="16">
        <f>IF(B150="","",IF(COUNTIF(B151:B$302,B150)=0,B150,""))</f>
        <v/>
      </c>
    </row>
    <row r="151">
      <c r="A151" s="15" t="n"/>
      <c r="B151" s="15" t="n"/>
      <c r="C151" s="15" t="n"/>
      <c r="D151" s="15" t="n"/>
      <c r="E151" s="20" t="n"/>
      <c r="F151" s="15" t="n"/>
      <c r="G151" s="25">
        <f>IF(OR(E151="",F151=""),"",E151+F151/24)</f>
        <v/>
      </c>
      <c r="H151" s="15" t="n"/>
      <c r="I151" s="20" t="n"/>
      <c r="J151" s="15" t="n"/>
      <c r="K151" s="15" t="n"/>
      <c r="L151" s="15" t="n"/>
      <c r="M151" s="16">
        <f>IF(A151="","",IF(I151&lt;&gt;"","Respondido",IF(G151="","Sem prazo definido",IF(NOW()&gt;G151,"Prazo encerrado – sem resposta","Aguardando"))))</f>
        <v/>
      </c>
      <c r="N151" s="16">
        <f>IF(B151="","",IF(COUNTIF(B152:B$302,B151)=0,B151,""))</f>
        <v/>
      </c>
    </row>
    <row r="152">
      <c r="A152" s="15" t="n"/>
      <c r="B152" s="15" t="n"/>
      <c r="C152" s="15" t="n"/>
      <c r="D152" s="15" t="n"/>
      <c r="E152" s="20" t="n"/>
      <c r="F152" s="15" t="n"/>
      <c r="G152" s="25">
        <f>IF(OR(E152="",F152=""),"",E152+F152/24)</f>
        <v/>
      </c>
      <c r="H152" s="15" t="n"/>
      <c r="I152" s="20" t="n"/>
      <c r="J152" s="15" t="n"/>
      <c r="K152" s="15" t="n"/>
      <c r="L152" s="15" t="n"/>
      <c r="M152" s="16">
        <f>IF(A152="","",IF(I152&lt;&gt;"","Respondido",IF(G152="","Sem prazo definido",IF(NOW()&gt;G152,"Prazo encerrado – sem resposta","Aguardando"))))</f>
        <v/>
      </c>
      <c r="N152" s="16">
        <f>IF(B152="","",IF(COUNTIF(B153:B$302,B152)=0,B152,""))</f>
        <v/>
      </c>
    </row>
    <row r="153">
      <c r="A153" s="15" t="n"/>
      <c r="B153" s="15" t="n"/>
      <c r="C153" s="15" t="n"/>
      <c r="D153" s="15" t="n"/>
      <c r="E153" s="20" t="n"/>
      <c r="F153" s="15" t="n"/>
      <c r="G153" s="25">
        <f>IF(OR(E153="",F153=""),"",E153+F153/24)</f>
        <v/>
      </c>
      <c r="H153" s="15" t="n"/>
      <c r="I153" s="20" t="n"/>
      <c r="J153" s="15" t="n"/>
      <c r="K153" s="15" t="n"/>
      <c r="L153" s="15" t="n"/>
      <c r="M153" s="16">
        <f>IF(A153="","",IF(I153&lt;&gt;"","Respondido",IF(G153="","Sem prazo definido",IF(NOW()&gt;G153,"Prazo encerrado – sem resposta","Aguardando"))))</f>
        <v/>
      </c>
      <c r="N153" s="16">
        <f>IF(B153="","",IF(COUNTIF(B154:B$302,B153)=0,B153,""))</f>
        <v/>
      </c>
    </row>
    <row r="154">
      <c r="A154" s="15" t="n"/>
      <c r="B154" s="15" t="n"/>
      <c r="C154" s="15" t="n"/>
      <c r="D154" s="15" t="n"/>
      <c r="E154" s="20" t="n"/>
      <c r="F154" s="15" t="n"/>
      <c r="G154" s="25">
        <f>IF(OR(E154="",F154=""),"",E154+F154/24)</f>
        <v/>
      </c>
      <c r="H154" s="15" t="n"/>
      <c r="I154" s="20" t="n"/>
      <c r="J154" s="15" t="n"/>
      <c r="K154" s="15" t="n"/>
      <c r="L154" s="15" t="n"/>
      <c r="M154" s="16">
        <f>IF(A154="","",IF(I154&lt;&gt;"","Respondido",IF(G154="","Sem prazo definido",IF(NOW()&gt;G154,"Prazo encerrado – sem resposta","Aguardando"))))</f>
        <v/>
      </c>
      <c r="N154" s="16">
        <f>IF(B154="","",IF(COUNTIF(B155:B$302,B154)=0,B154,""))</f>
        <v/>
      </c>
    </row>
    <row r="155">
      <c r="A155" s="15" t="n"/>
      <c r="B155" s="15" t="n"/>
      <c r="C155" s="15" t="n"/>
      <c r="D155" s="15" t="n"/>
      <c r="E155" s="20" t="n"/>
      <c r="F155" s="15" t="n"/>
      <c r="G155" s="25">
        <f>IF(OR(E155="",F155=""),"",E155+F155/24)</f>
        <v/>
      </c>
      <c r="H155" s="15" t="n"/>
      <c r="I155" s="20" t="n"/>
      <c r="J155" s="15" t="n"/>
      <c r="K155" s="15" t="n"/>
      <c r="L155" s="15" t="n"/>
      <c r="M155" s="16">
        <f>IF(A155="","",IF(I155&lt;&gt;"","Respondido",IF(G155="","Sem prazo definido",IF(NOW()&gt;G155,"Prazo encerrado – sem resposta","Aguardando"))))</f>
        <v/>
      </c>
      <c r="N155" s="16">
        <f>IF(B155="","",IF(COUNTIF(B156:B$302,B155)=0,B155,""))</f>
        <v/>
      </c>
    </row>
    <row r="156">
      <c r="A156" s="15" t="n"/>
      <c r="B156" s="15" t="n"/>
      <c r="C156" s="15" t="n"/>
      <c r="D156" s="15" t="n"/>
      <c r="E156" s="20" t="n"/>
      <c r="F156" s="15" t="n"/>
      <c r="G156" s="25">
        <f>IF(OR(E156="",F156=""),"",E156+F156/24)</f>
        <v/>
      </c>
      <c r="H156" s="15" t="n"/>
      <c r="I156" s="20" t="n"/>
      <c r="J156" s="15" t="n"/>
      <c r="K156" s="15" t="n"/>
      <c r="L156" s="15" t="n"/>
      <c r="M156" s="16">
        <f>IF(A156="","",IF(I156&lt;&gt;"","Respondido",IF(G156="","Sem prazo definido",IF(NOW()&gt;G156,"Prazo encerrado – sem resposta","Aguardando"))))</f>
        <v/>
      </c>
      <c r="N156" s="16">
        <f>IF(B156="","",IF(COUNTIF(B157:B$302,B156)=0,B156,""))</f>
        <v/>
      </c>
    </row>
    <row r="157">
      <c r="A157" s="15" t="n"/>
      <c r="B157" s="15" t="n"/>
      <c r="C157" s="15" t="n"/>
      <c r="D157" s="15" t="n"/>
      <c r="E157" s="20" t="n"/>
      <c r="F157" s="15" t="n"/>
      <c r="G157" s="25">
        <f>IF(OR(E157="",F157=""),"",E157+F157/24)</f>
        <v/>
      </c>
      <c r="H157" s="15" t="n"/>
      <c r="I157" s="20" t="n"/>
      <c r="J157" s="15" t="n"/>
      <c r="K157" s="15" t="n"/>
      <c r="L157" s="15" t="n"/>
      <c r="M157" s="16">
        <f>IF(A157="","",IF(I157&lt;&gt;"","Respondido",IF(G157="","Sem prazo definido",IF(NOW()&gt;G157,"Prazo encerrado – sem resposta","Aguardando"))))</f>
        <v/>
      </c>
      <c r="N157" s="16">
        <f>IF(B157="","",IF(COUNTIF(B158:B$302,B157)=0,B157,""))</f>
        <v/>
      </c>
    </row>
    <row r="158">
      <c r="A158" s="15" t="n"/>
      <c r="B158" s="15" t="n"/>
      <c r="C158" s="15" t="n"/>
      <c r="D158" s="15" t="n"/>
      <c r="E158" s="20" t="n"/>
      <c r="F158" s="15" t="n"/>
      <c r="G158" s="25">
        <f>IF(OR(E158="",F158=""),"",E158+F158/24)</f>
        <v/>
      </c>
      <c r="H158" s="15" t="n"/>
      <c r="I158" s="20" t="n"/>
      <c r="J158" s="15" t="n"/>
      <c r="K158" s="15" t="n"/>
      <c r="L158" s="15" t="n"/>
      <c r="M158" s="16">
        <f>IF(A158="","",IF(I158&lt;&gt;"","Respondido",IF(G158="","Sem prazo definido",IF(NOW()&gt;G158,"Prazo encerrado – sem resposta","Aguardando"))))</f>
        <v/>
      </c>
      <c r="N158" s="16">
        <f>IF(B158="","",IF(COUNTIF(B159:B$302,B158)=0,B158,""))</f>
        <v/>
      </c>
    </row>
    <row r="159">
      <c r="A159" s="15" t="n"/>
      <c r="B159" s="15" t="n"/>
      <c r="C159" s="15" t="n"/>
      <c r="D159" s="15" t="n"/>
      <c r="E159" s="20" t="n"/>
      <c r="F159" s="15" t="n"/>
      <c r="G159" s="25">
        <f>IF(OR(E159="",F159=""),"",E159+F159/24)</f>
        <v/>
      </c>
      <c r="H159" s="15" t="n"/>
      <c r="I159" s="20" t="n"/>
      <c r="J159" s="15" t="n"/>
      <c r="K159" s="15" t="n"/>
      <c r="L159" s="15" t="n"/>
      <c r="M159" s="16">
        <f>IF(A159="","",IF(I159&lt;&gt;"","Respondido",IF(G159="","Sem prazo definido",IF(NOW()&gt;G159,"Prazo encerrado – sem resposta","Aguardando"))))</f>
        <v/>
      </c>
      <c r="N159" s="16">
        <f>IF(B159="","",IF(COUNTIF(B160:B$302,B159)=0,B159,""))</f>
        <v/>
      </c>
    </row>
    <row r="160">
      <c r="A160" s="15" t="n"/>
      <c r="B160" s="15" t="n"/>
      <c r="C160" s="15" t="n"/>
      <c r="D160" s="15" t="n"/>
      <c r="E160" s="20" t="n"/>
      <c r="F160" s="15" t="n"/>
      <c r="G160" s="25">
        <f>IF(OR(E160="",F160=""),"",E160+F160/24)</f>
        <v/>
      </c>
      <c r="H160" s="15" t="n"/>
      <c r="I160" s="20" t="n"/>
      <c r="J160" s="15" t="n"/>
      <c r="K160" s="15" t="n"/>
      <c r="L160" s="15" t="n"/>
      <c r="M160" s="16">
        <f>IF(A160="","",IF(I160&lt;&gt;"","Respondido",IF(G160="","Sem prazo definido",IF(NOW()&gt;G160,"Prazo encerrado – sem resposta","Aguardando"))))</f>
        <v/>
      </c>
      <c r="N160" s="16">
        <f>IF(B160="","",IF(COUNTIF(B161:B$302,B160)=0,B160,""))</f>
        <v/>
      </c>
    </row>
    <row r="161">
      <c r="A161" s="15" t="n"/>
      <c r="B161" s="15" t="n"/>
      <c r="C161" s="15" t="n"/>
      <c r="D161" s="15" t="n"/>
      <c r="E161" s="20" t="n"/>
      <c r="F161" s="15" t="n"/>
      <c r="G161" s="25">
        <f>IF(OR(E161="",F161=""),"",E161+F161/24)</f>
        <v/>
      </c>
      <c r="H161" s="15" t="n"/>
      <c r="I161" s="20" t="n"/>
      <c r="J161" s="15" t="n"/>
      <c r="K161" s="15" t="n"/>
      <c r="L161" s="15" t="n"/>
      <c r="M161" s="16">
        <f>IF(A161="","",IF(I161&lt;&gt;"","Respondido",IF(G161="","Sem prazo definido",IF(NOW()&gt;G161,"Prazo encerrado – sem resposta","Aguardando"))))</f>
        <v/>
      </c>
      <c r="N161" s="16">
        <f>IF(B161="","",IF(COUNTIF(B162:B$302,B161)=0,B161,""))</f>
        <v/>
      </c>
    </row>
    <row r="162">
      <c r="A162" s="15" t="n"/>
      <c r="B162" s="15" t="n"/>
      <c r="C162" s="15" t="n"/>
      <c r="D162" s="15" t="n"/>
      <c r="E162" s="20" t="n"/>
      <c r="F162" s="15" t="n"/>
      <c r="G162" s="25">
        <f>IF(OR(E162="",F162=""),"",E162+F162/24)</f>
        <v/>
      </c>
      <c r="H162" s="15" t="n"/>
      <c r="I162" s="20" t="n"/>
      <c r="J162" s="15" t="n"/>
      <c r="K162" s="15" t="n"/>
      <c r="L162" s="15" t="n"/>
      <c r="M162" s="16">
        <f>IF(A162="","",IF(I162&lt;&gt;"","Respondido",IF(G162="","Sem prazo definido",IF(NOW()&gt;G162,"Prazo encerrado – sem resposta","Aguardando"))))</f>
        <v/>
      </c>
      <c r="N162" s="16">
        <f>IF(B162="","",IF(COUNTIF(B163:B$302,B162)=0,B162,""))</f>
        <v/>
      </c>
    </row>
    <row r="163">
      <c r="A163" s="15" t="n"/>
      <c r="B163" s="15" t="n"/>
      <c r="C163" s="15" t="n"/>
      <c r="D163" s="15" t="n"/>
      <c r="E163" s="20" t="n"/>
      <c r="F163" s="15" t="n"/>
      <c r="G163" s="25">
        <f>IF(OR(E163="",F163=""),"",E163+F163/24)</f>
        <v/>
      </c>
      <c r="H163" s="15" t="n"/>
      <c r="I163" s="20" t="n"/>
      <c r="J163" s="15" t="n"/>
      <c r="K163" s="15" t="n"/>
      <c r="L163" s="15" t="n"/>
      <c r="M163" s="16">
        <f>IF(A163="","",IF(I163&lt;&gt;"","Respondido",IF(G163="","Sem prazo definido",IF(NOW()&gt;G163,"Prazo encerrado – sem resposta","Aguardando"))))</f>
        <v/>
      </c>
      <c r="N163" s="16">
        <f>IF(B163="","",IF(COUNTIF(B164:B$302,B163)=0,B163,""))</f>
        <v/>
      </c>
    </row>
    <row r="164">
      <c r="A164" s="15" t="n"/>
      <c r="B164" s="15" t="n"/>
      <c r="C164" s="15" t="n"/>
      <c r="D164" s="15" t="n"/>
      <c r="E164" s="20" t="n"/>
      <c r="F164" s="15" t="n"/>
      <c r="G164" s="25">
        <f>IF(OR(E164="",F164=""),"",E164+F164/24)</f>
        <v/>
      </c>
      <c r="H164" s="15" t="n"/>
      <c r="I164" s="20" t="n"/>
      <c r="J164" s="15" t="n"/>
      <c r="K164" s="15" t="n"/>
      <c r="L164" s="15" t="n"/>
      <c r="M164" s="16">
        <f>IF(A164="","",IF(I164&lt;&gt;"","Respondido",IF(G164="","Sem prazo definido",IF(NOW()&gt;G164,"Prazo encerrado – sem resposta","Aguardando"))))</f>
        <v/>
      </c>
      <c r="N164" s="16">
        <f>IF(B164="","",IF(COUNTIF(B165:B$302,B164)=0,B164,""))</f>
        <v/>
      </c>
    </row>
    <row r="165">
      <c r="A165" s="15" t="n"/>
      <c r="B165" s="15" t="n"/>
      <c r="C165" s="15" t="n"/>
      <c r="D165" s="15" t="n"/>
      <c r="E165" s="20" t="n"/>
      <c r="F165" s="15" t="n"/>
      <c r="G165" s="25">
        <f>IF(OR(E165="",F165=""),"",E165+F165/24)</f>
        <v/>
      </c>
      <c r="H165" s="15" t="n"/>
      <c r="I165" s="20" t="n"/>
      <c r="J165" s="15" t="n"/>
      <c r="K165" s="15" t="n"/>
      <c r="L165" s="15" t="n"/>
      <c r="M165" s="16">
        <f>IF(A165="","",IF(I165&lt;&gt;"","Respondido",IF(G165="","Sem prazo definido",IF(NOW()&gt;G165,"Prazo encerrado – sem resposta","Aguardando"))))</f>
        <v/>
      </c>
      <c r="N165" s="16">
        <f>IF(B165="","",IF(COUNTIF(B166:B$302,B165)=0,B165,""))</f>
        <v/>
      </c>
    </row>
    <row r="166">
      <c r="A166" s="15" t="n"/>
      <c r="B166" s="15" t="n"/>
      <c r="C166" s="15" t="n"/>
      <c r="D166" s="15" t="n"/>
      <c r="E166" s="20" t="n"/>
      <c r="F166" s="15" t="n"/>
      <c r="G166" s="25">
        <f>IF(OR(E166="",F166=""),"",E166+F166/24)</f>
        <v/>
      </c>
      <c r="H166" s="15" t="n"/>
      <c r="I166" s="20" t="n"/>
      <c r="J166" s="15" t="n"/>
      <c r="K166" s="15" t="n"/>
      <c r="L166" s="15" t="n"/>
      <c r="M166" s="16">
        <f>IF(A166="","",IF(I166&lt;&gt;"","Respondido",IF(G166="","Sem prazo definido",IF(NOW()&gt;G166,"Prazo encerrado – sem resposta","Aguardando"))))</f>
        <v/>
      </c>
      <c r="N166" s="16">
        <f>IF(B166="","",IF(COUNTIF(B167:B$302,B166)=0,B166,""))</f>
        <v/>
      </c>
    </row>
    <row r="167">
      <c r="A167" s="15" t="n"/>
      <c r="B167" s="15" t="n"/>
      <c r="C167" s="15" t="n"/>
      <c r="D167" s="15" t="n"/>
      <c r="E167" s="20" t="n"/>
      <c r="F167" s="15" t="n"/>
      <c r="G167" s="25">
        <f>IF(OR(E167="",F167=""),"",E167+F167/24)</f>
        <v/>
      </c>
      <c r="H167" s="15" t="n"/>
      <c r="I167" s="20" t="n"/>
      <c r="J167" s="15" t="n"/>
      <c r="K167" s="15" t="n"/>
      <c r="L167" s="15" t="n"/>
      <c r="M167" s="16">
        <f>IF(A167="","",IF(I167&lt;&gt;"","Respondido",IF(G167="","Sem prazo definido",IF(NOW()&gt;G167,"Prazo encerrado – sem resposta","Aguardando"))))</f>
        <v/>
      </c>
      <c r="N167" s="16">
        <f>IF(B167="","",IF(COUNTIF(B168:B$302,B167)=0,B167,""))</f>
        <v/>
      </c>
    </row>
    <row r="168">
      <c r="A168" s="15" t="n"/>
      <c r="B168" s="15" t="n"/>
      <c r="C168" s="15" t="n"/>
      <c r="D168" s="15" t="n"/>
      <c r="E168" s="20" t="n"/>
      <c r="F168" s="15" t="n"/>
      <c r="G168" s="25">
        <f>IF(OR(E168="",F168=""),"",E168+F168/24)</f>
        <v/>
      </c>
      <c r="H168" s="15" t="n"/>
      <c r="I168" s="20" t="n"/>
      <c r="J168" s="15" t="n"/>
      <c r="K168" s="15" t="n"/>
      <c r="L168" s="15" t="n"/>
      <c r="M168" s="16">
        <f>IF(A168="","",IF(I168&lt;&gt;"","Respondido",IF(G168="","Sem prazo definido",IF(NOW()&gt;G168,"Prazo encerrado – sem resposta","Aguardando"))))</f>
        <v/>
      </c>
      <c r="N168" s="16">
        <f>IF(B168="","",IF(COUNTIF(B169:B$302,B168)=0,B168,""))</f>
        <v/>
      </c>
    </row>
    <row r="169">
      <c r="A169" s="15" t="n"/>
      <c r="B169" s="15" t="n"/>
      <c r="C169" s="15" t="n"/>
      <c r="D169" s="15" t="n"/>
      <c r="E169" s="20" t="n"/>
      <c r="F169" s="15" t="n"/>
      <c r="G169" s="25">
        <f>IF(OR(E169="",F169=""),"",E169+F169/24)</f>
        <v/>
      </c>
      <c r="H169" s="15" t="n"/>
      <c r="I169" s="20" t="n"/>
      <c r="J169" s="15" t="n"/>
      <c r="K169" s="15" t="n"/>
      <c r="L169" s="15" t="n"/>
      <c r="M169" s="16">
        <f>IF(A169="","",IF(I169&lt;&gt;"","Respondido",IF(G169="","Sem prazo definido",IF(NOW()&gt;G169,"Prazo encerrado – sem resposta","Aguardando"))))</f>
        <v/>
      </c>
      <c r="N169" s="16">
        <f>IF(B169="","",IF(COUNTIF(B170:B$302,B169)=0,B169,""))</f>
        <v/>
      </c>
    </row>
    <row r="170">
      <c r="A170" s="15" t="n"/>
      <c r="B170" s="15" t="n"/>
      <c r="C170" s="15" t="n"/>
      <c r="D170" s="15" t="n"/>
      <c r="E170" s="20" t="n"/>
      <c r="F170" s="15" t="n"/>
      <c r="G170" s="25">
        <f>IF(OR(E170="",F170=""),"",E170+F170/24)</f>
        <v/>
      </c>
      <c r="H170" s="15" t="n"/>
      <c r="I170" s="20" t="n"/>
      <c r="J170" s="15" t="n"/>
      <c r="K170" s="15" t="n"/>
      <c r="L170" s="15" t="n"/>
      <c r="M170" s="16">
        <f>IF(A170="","",IF(I170&lt;&gt;"","Respondido",IF(G170="","Sem prazo definido",IF(NOW()&gt;G170,"Prazo encerrado – sem resposta","Aguardando"))))</f>
        <v/>
      </c>
      <c r="N170" s="16">
        <f>IF(B170="","",IF(COUNTIF(B171:B$302,B170)=0,B170,""))</f>
        <v/>
      </c>
    </row>
    <row r="171">
      <c r="A171" s="15" t="n"/>
      <c r="B171" s="15" t="n"/>
      <c r="C171" s="15" t="n"/>
      <c r="D171" s="15" t="n"/>
      <c r="E171" s="20" t="n"/>
      <c r="F171" s="15" t="n"/>
      <c r="G171" s="25">
        <f>IF(OR(E171="",F171=""),"",E171+F171/24)</f>
        <v/>
      </c>
      <c r="H171" s="15" t="n"/>
      <c r="I171" s="20" t="n"/>
      <c r="J171" s="15" t="n"/>
      <c r="K171" s="15" t="n"/>
      <c r="L171" s="15" t="n"/>
      <c r="M171" s="16">
        <f>IF(A171="","",IF(I171&lt;&gt;"","Respondido",IF(G171="","Sem prazo definido",IF(NOW()&gt;G171,"Prazo encerrado – sem resposta","Aguardando"))))</f>
        <v/>
      </c>
      <c r="N171" s="16">
        <f>IF(B171="","",IF(COUNTIF(B172:B$302,B171)=0,B171,""))</f>
        <v/>
      </c>
    </row>
    <row r="172">
      <c r="A172" s="15" t="n"/>
      <c r="B172" s="15" t="n"/>
      <c r="C172" s="15" t="n"/>
      <c r="D172" s="15" t="n"/>
      <c r="E172" s="20" t="n"/>
      <c r="F172" s="15" t="n"/>
      <c r="G172" s="25">
        <f>IF(OR(E172="",F172=""),"",E172+F172/24)</f>
        <v/>
      </c>
      <c r="H172" s="15" t="n"/>
      <c r="I172" s="20" t="n"/>
      <c r="J172" s="15" t="n"/>
      <c r="K172" s="15" t="n"/>
      <c r="L172" s="15" t="n"/>
      <c r="M172" s="16">
        <f>IF(A172="","",IF(I172&lt;&gt;"","Respondido",IF(G172="","Sem prazo definido",IF(NOW()&gt;G172,"Prazo encerrado – sem resposta","Aguardando"))))</f>
        <v/>
      </c>
      <c r="N172" s="16">
        <f>IF(B172="","",IF(COUNTIF(B173:B$302,B172)=0,B172,""))</f>
        <v/>
      </c>
    </row>
    <row r="173">
      <c r="A173" s="15" t="n"/>
      <c r="B173" s="15" t="n"/>
      <c r="C173" s="15" t="n"/>
      <c r="D173" s="15" t="n"/>
      <c r="E173" s="20" t="n"/>
      <c r="F173" s="15" t="n"/>
      <c r="G173" s="25">
        <f>IF(OR(E173="",F173=""),"",E173+F173/24)</f>
        <v/>
      </c>
      <c r="H173" s="15" t="n"/>
      <c r="I173" s="20" t="n"/>
      <c r="J173" s="15" t="n"/>
      <c r="K173" s="15" t="n"/>
      <c r="L173" s="15" t="n"/>
      <c r="M173" s="16">
        <f>IF(A173="","",IF(I173&lt;&gt;"","Respondido",IF(G173="","Sem prazo definido",IF(NOW()&gt;G173,"Prazo encerrado – sem resposta","Aguardando"))))</f>
        <v/>
      </c>
      <c r="N173" s="16">
        <f>IF(B173="","",IF(COUNTIF(B174:B$302,B173)=0,B173,""))</f>
        <v/>
      </c>
    </row>
    <row r="174">
      <c r="A174" s="15" t="n"/>
      <c r="B174" s="15" t="n"/>
      <c r="C174" s="15" t="n"/>
      <c r="D174" s="15" t="n"/>
      <c r="E174" s="20" t="n"/>
      <c r="F174" s="15" t="n"/>
      <c r="G174" s="25">
        <f>IF(OR(E174="",F174=""),"",E174+F174/24)</f>
        <v/>
      </c>
      <c r="H174" s="15" t="n"/>
      <c r="I174" s="20" t="n"/>
      <c r="J174" s="15" t="n"/>
      <c r="K174" s="15" t="n"/>
      <c r="L174" s="15" t="n"/>
      <c r="M174" s="16">
        <f>IF(A174="","",IF(I174&lt;&gt;"","Respondido",IF(G174="","Sem prazo definido",IF(NOW()&gt;G174,"Prazo encerrado – sem resposta","Aguardando"))))</f>
        <v/>
      </c>
      <c r="N174" s="16">
        <f>IF(B174="","",IF(COUNTIF(B175:B$302,B174)=0,B174,""))</f>
        <v/>
      </c>
    </row>
    <row r="175">
      <c r="A175" s="15" t="n"/>
      <c r="B175" s="15" t="n"/>
      <c r="C175" s="15" t="n"/>
      <c r="D175" s="15" t="n"/>
      <c r="E175" s="20" t="n"/>
      <c r="F175" s="15" t="n"/>
      <c r="G175" s="25">
        <f>IF(OR(E175="",F175=""),"",E175+F175/24)</f>
        <v/>
      </c>
      <c r="H175" s="15" t="n"/>
      <c r="I175" s="20" t="n"/>
      <c r="J175" s="15" t="n"/>
      <c r="K175" s="15" t="n"/>
      <c r="L175" s="15" t="n"/>
      <c r="M175" s="16">
        <f>IF(A175="","",IF(I175&lt;&gt;"","Respondido",IF(G175="","Sem prazo definido",IF(NOW()&gt;G175,"Prazo encerrado – sem resposta","Aguardando"))))</f>
        <v/>
      </c>
      <c r="N175" s="16">
        <f>IF(B175="","",IF(COUNTIF(B176:B$302,B175)=0,B175,""))</f>
        <v/>
      </c>
    </row>
    <row r="176">
      <c r="A176" s="15" t="n"/>
      <c r="B176" s="15" t="n"/>
      <c r="C176" s="15" t="n"/>
      <c r="D176" s="15" t="n"/>
      <c r="E176" s="20" t="n"/>
      <c r="F176" s="15" t="n"/>
      <c r="G176" s="25">
        <f>IF(OR(E176="",F176=""),"",E176+F176/24)</f>
        <v/>
      </c>
      <c r="H176" s="15" t="n"/>
      <c r="I176" s="20" t="n"/>
      <c r="J176" s="15" t="n"/>
      <c r="K176" s="15" t="n"/>
      <c r="L176" s="15" t="n"/>
      <c r="M176" s="16">
        <f>IF(A176="","",IF(I176&lt;&gt;"","Respondido",IF(G176="","Sem prazo definido",IF(NOW()&gt;G176,"Prazo encerrado – sem resposta","Aguardando"))))</f>
        <v/>
      </c>
      <c r="N176" s="16">
        <f>IF(B176="","",IF(COUNTIF(B177:B$302,B176)=0,B176,""))</f>
        <v/>
      </c>
    </row>
    <row r="177">
      <c r="A177" s="15" t="n"/>
      <c r="B177" s="15" t="n"/>
      <c r="C177" s="15" t="n"/>
      <c r="D177" s="15" t="n"/>
      <c r="E177" s="20" t="n"/>
      <c r="F177" s="15" t="n"/>
      <c r="G177" s="25">
        <f>IF(OR(E177="",F177=""),"",E177+F177/24)</f>
        <v/>
      </c>
      <c r="H177" s="15" t="n"/>
      <c r="I177" s="20" t="n"/>
      <c r="J177" s="15" t="n"/>
      <c r="K177" s="15" t="n"/>
      <c r="L177" s="15" t="n"/>
      <c r="M177" s="16">
        <f>IF(A177="","",IF(I177&lt;&gt;"","Respondido",IF(G177="","Sem prazo definido",IF(NOW()&gt;G177,"Prazo encerrado – sem resposta","Aguardando"))))</f>
        <v/>
      </c>
      <c r="N177" s="16">
        <f>IF(B177="","",IF(COUNTIF(B178:B$302,B177)=0,B177,""))</f>
        <v/>
      </c>
    </row>
    <row r="178">
      <c r="A178" s="15" t="n"/>
      <c r="B178" s="15" t="n"/>
      <c r="C178" s="15" t="n"/>
      <c r="D178" s="15" t="n"/>
      <c r="E178" s="20" t="n"/>
      <c r="F178" s="15" t="n"/>
      <c r="G178" s="25">
        <f>IF(OR(E178="",F178=""),"",E178+F178/24)</f>
        <v/>
      </c>
      <c r="H178" s="15" t="n"/>
      <c r="I178" s="20" t="n"/>
      <c r="J178" s="15" t="n"/>
      <c r="K178" s="15" t="n"/>
      <c r="L178" s="15" t="n"/>
      <c r="M178" s="16">
        <f>IF(A178="","",IF(I178&lt;&gt;"","Respondido",IF(G178="","Sem prazo definido",IF(NOW()&gt;G178,"Prazo encerrado – sem resposta","Aguardando"))))</f>
        <v/>
      </c>
      <c r="N178" s="16">
        <f>IF(B178="","",IF(COUNTIF(B179:B$302,B178)=0,B178,""))</f>
        <v/>
      </c>
    </row>
    <row r="179">
      <c r="A179" s="15" t="n"/>
      <c r="B179" s="15" t="n"/>
      <c r="C179" s="15" t="n"/>
      <c r="D179" s="15" t="n"/>
      <c r="E179" s="20" t="n"/>
      <c r="F179" s="15" t="n"/>
      <c r="G179" s="25">
        <f>IF(OR(E179="",F179=""),"",E179+F179/24)</f>
        <v/>
      </c>
      <c r="H179" s="15" t="n"/>
      <c r="I179" s="20" t="n"/>
      <c r="J179" s="15" t="n"/>
      <c r="K179" s="15" t="n"/>
      <c r="L179" s="15" t="n"/>
      <c r="M179" s="16">
        <f>IF(A179="","",IF(I179&lt;&gt;"","Respondido",IF(G179="","Sem prazo definido",IF(NOW()&gt;G179,"Prazo encerrado – sem resposta","Aguardando"))))</f>
        <v/>
      </c>
      <c r="N179" s="16">
        <f>IF(B179="","",IF(COUNTIF(B180:B$302,B179)=0,B179,""))</f>
        <v/>
      </c>
    </row>
    <row r="180">
      <c r="A180" s="15" t="n"/>
      <c r="B180" s="15" t="n"/>
      <c r="C180" s="15" t="n"/>
      <c r="D180" s="15" t="n"/>
      <c r="E180" s="20" t="n"/>
      <c r="F180" s="15" t="n"/>
      <c r="G180" s="25">
        <f>IF(OR(E180="",F180=""),"",E180+F180/24)</f>
        <v/>
      </c>
      <c r="H180" s="15" t="n"/>
      <c r="I180" s="20" t="n"/>
      <c r="J180" s="15" t="n"/>
      <c r="K180" s="15" t="n"/>
      <c r="L180" s="15" t="n"/>
      <c r="M180" s="16">
        <f>IF(A180="","",IF(I180&lt;&gt;"","Respondido",IF(G180="","Sem prazo definido",IF(NOW()&gt;G180,"Prazo encerrado – sem resposta","Aguardando"))))</f>
        <v/>
      </c>
      <c r="N180" s="16">
        <f>IF(B180="","",IF(COUNTIF(B181:B$302,B180)=0,B180,""))</f>
        <v/>
      </c>
    </row>
    <row r="181">
      <c r="A181" s="15" t="n"/>
      <c r="B181" s="15" t="n"/>
      <c r="C181" s="15" t="n"/>
      <c r="D181" s="15" t="n"/>
      <c r="E181" s="20" t="n"/>
      <c r="F181" s="15" t="n"/>
      <c r="G181" s="25">
        <f>IF(OR(E181="",F181=""),"",E181+F181/24)</f>
        <v/>
      </c>
      <c r="H181" s="15" t="n"/>
      <c r="I181" s="20" t="n"/>
      <c r="J181" s="15" t="n"/>
      <c r="K181" s="15" t="n"/>
      <c r="L181" s="15" t="n"/>
      <c r="M181" s="16">
        <f>IF(A181="","",IF(I181&lt;&gt;"","Respondido",IF(G181="","Sem prazo definido",IF(NOW()&gt;G181,"Prazo encerrado – sem resposta","Aguardando"))))</f>
        <v/>
      </c>
      <c r="N181" s="16">
        <f>IF(B181="","",IF(COUNTIF(B182:B$302,B181)=0,B181,""))</f>
        <v/>
      </c>
    </row>
    <row r="182">
      <c r="A182" s="15" t="n"/>
      <c r="B182" s="15" t="n"/>
      <c r="C182" s="15" t="n"/>
      <c r="D182" s="15" t="n"/>
      <c r="E182" s="20" t="n"/>
      <c r="F182" s="15" t="n"/>
      <c r="G182" s="25">
        <f>IF(OR(E182="",F182=""),"",E182+F182/24)</f>
        <v/>
      </c>
      <c r="H182" s="15" t="n"/>
      <c r="I182" s="20" t="n"/>
      <c r="J182" s="15" t="n"/>
      <c r="K182" s="15" t="n"/>
      <c r="L182" s="15" t="n"/>
      <c r="M182" s="16">
        <f>IF(A182="","",IF(I182&lt;&gt;"","Respondido",IF(G182="","Sem prazo definido",IF(NOW()&gt;G182,"Prazo encerrado – sem resposta","Aguardando"))))</f>
        <v/>
      </c>
      <c r="N182" s="16">
        <f>IF(B182="","",IF(COUNTIF(B183:B$302,B182)=0,B182,""))</f>
        <v/>
      </c>
    </row>
    <row r="183">
      <c r="A183" s="15" t="n"/>
      <c r="B183" s="15" t="n"/>
      <c r="C183" s="15" t="n"/>
      <c r="D183" s="15" t="n"/>
      <c r="E183" s="20" t="n"/>
      <c r="F183" s="15" t="n"/>
      <c r="G183" s="25">
        <f>IF(OR(E183="",F183=""),"",E183+F183/24)</f>
        <v/>
      </c>
      <c r="H183" s="15" t="n"/>
      <c r="I183" s="20" t="n"/>
      <c r="J183" s="15" t="n"/>
      <c r="K183" s="15" t="n"/>
      <c r="L183" s="15" t="n"/>
      <c r="M183" s="16">
        <f>IF(A183="","",IF(I183&lt;&gt;"","Respondido",IF(G183="","Sem prazo definido",IF(NOW()&gt;G183,"Prazo encerrado – sem resposta","Aguardando"))))</f>
        <v/>
      </c>
      <c r="N183" s="16">
        <f>IF(B183="","",IF(COUNTIF(B184:B$302,B183)=0,B183,""))</f>
        <v/>
      </c>
    </row>
    <row r="184">
      <c r="A184" s="15" t="n"/>
      <c r="B184" s="15" t="n"/>
      <c r="C184" s="15" t="n"/>
      <c r="D184" s="15" t="n"/>
      <c r="E184" s="20" t="n"/>
      <c r="F184" s="15" t="n"/>
      <c r="G184" s="25">
        <f>IF(OR(E184="",F184=""),"",E184+F184/24)</f>
        <v/>
      </c>
      <c r="H184" s="15" t="n"/>
      <c r="I184" s="20" t="n"/>
      <c r="J184" s="15" t="n"/>
      <c r="K184" s="15" t="n"/>
      <c r="L184" s="15" t="n"/>
      <c r="M184" s="16">
        <f>IF(A184="","",IF(I184&lt;&gt;"","Respondido",IF(G184="","Sem prazo definido",IF(NOW()&gt;G184,"Prazo encerrado – sem resposta","Aguardando"))))</f>
        <v/>
      </c>
      <c r="N184" s="16">
        <f>IF(B184="","",IF(COUNTIF(B185:B$302,B184)=0,B184,""))</f>
        <v/>
      </c>
    </row>
    <row r="185">
      <c r="A185" s="15" t="n"/>
      <c r="B185" s="15" t="n"/>
      <c r="C185" s="15" t="n"/>
      <c r="D185" s="15" t="n"/>
      <c r="E185" s="20" t="n"/>
      <c r="F185" s="15" t="n"/>
      <c r="G185" s="25">
        <f>IF(OR(E185="",F185=""),"",E185+F185/24)</f>
        <v/>
      </c>
      <c r="H185" s="15" t="n"/>
      <c r="I185" s="20" t="n"/>
      <c r="J185" s="15" t="n"/>
      <c r="K185" s="15" t="n"/>
      <c r="L185" s="15" t="n"/>
      <c r="M185" s="16">
        <f>IF(A185="","",IF(I185&lt;&gt;"","Respondido",IF(G185="","Sem prazo definido",IF(NOW()&gt;G185,"Prazo encerrado – sem resposta","Aguardando"))))</f>
        <v/>
      </c>
      <c r="N185" s="16">
        <f>IF(B185="","",IF(COUNTIF(B186:B$302,B185)=0,B185,""))</f>
        <v/>
      </c>
    </row>
    <row r="186">
      <c r="A186" s="15" t="n"/>
      <c r="B186" s="15" t="n"/>
      <c r="C186" s="15" t="n"/>
      <c r="D186" s="15" t="n"/>
      <c r="E186" s="20" t="n"/>
      <c r="F186" s="15" t="n"/>
      <c r="G186" s="25">
        <f>IF(OR(E186="",F186=""),"",E186+F186/24)</f>
        <v/>
      </c>
      <c r="H186" s="15" t="n"/>
      <c r="I186" s="20" t="n"/>
      <c r="J186" s="15" t="n"/>
      <c r="K186" s="15" t="n"/>
      <c r="L186" s="15" t="n"/>
      <c r="M186" s="16">
        <f>IF(A186="","",IF(I186&lt;&gt;"","Respondido",IF(G186="","Sem prazo definido",IF(NOW()&gt;G186,"Prazo encerrado – sem resposta","Aguardando"))))</f>
        <v/>
      </c>
      <c r="N186" s="16">
        <f>IF(B186="","",IF(COUNTIF(B187:B$302,B186)=0,B186,""))</f>
        <v/>
      </c>
    </row>
    <row r="187">
      <c r="A187" s="15" t="n"/>
      <c r="B187" s="15" t="n"/>
      <c r="C187" s="15" t="n"/>
      <c r="D187" s="15" t="n"/>
      <c r="E187" s="20" t="n"/>
      <c r="F187" s="15" t="n"/>
      <c r="G187" s="25">
        <f>IF(OR(E187="",F187=""),"",E187+F187/24)</f>
        <v/>
      </c>
      <c r="H187" s="15" t="n"/>
      <c r="I187" s="20" t="n"/>
      <c r="J187" s="15" t="n"/>
      <c r="K187" s="15" t="n"/>
      <c r="L187" s="15" t="n"/>
      <c r="M187" s="16">
        <f>IF(A187="","",IF(I187&lt;&gt;"","Respondido",IF(G187="","Sem prazo definido",IF(NOW()&gt;G187,"Prazo encerrado – sem resposta","Aguardando"))))</f>
        <v/>
      </c>
      <c r="N187" s="16">
        <f>IF(B187="","",IF(COUNTIF(B188:B$302,B187)=0,B187,""))</f>
        <v/>
      </c>
    </row>
    <row r="188">
      <c r="A188" s="15" t="n"/>
      <c r="B188" s="15" t="n"/>
      <c r="C188" s="15" t="n"/>
      <c r="D188" s="15" t="n"/>
      <c r="E188" s="20" t="n"/>
      <c r="F188" s="15" t="n"/>
      <c r="G188" s="25">
        <f>IF(OR(E188="",F188=""),"",E188+F188/24)</f>
        <v/>
      </c>
      <c r="H188" s="15" t="n"/>
      <c r="I188" s="20" t="n"/>
      <c r="J188" s="15" t="n"/>
      <c r="K188" s="15" t="n"/>
      <c r="L188" s="15" t="n"/>
      <c r="M188" s="16">
        <f>IF(A188="","",IF(I188&lt;&gt;"","Respondido",IF(G188="","Sem prazo definido",IF(NOW()&gt;G188,"Prazo encerrado – sem resposta","Aguardando"))))</f>
        <v/>
      </c>
      <c r="N188" s="16">
        <f>IF(B188="","",IF(COUNTIF(B189:B$302,B188)=0,B188,""))</f>
        <v/>
      </c>
    </row>
    <row r="189">
      <c r="A189" s="15" t="n"/>
      <c r="B189" s="15" t="n"/>
      <c r="C189" s="15" t="n"/>
      <c r="D189" s="15" t="n"/>
      <c r="E189" s="20" t="n"/>
      <c r="F189" s="15" t="n"/>
      <c r="G189" s="25">
        <f>IF(OR(E189="",F189=""),"",E189+F189/24)</f>
        <v/>
      </c>
      <c r="H189" s="15" t="n"/>
      <c r="I189" s="20" t="n"/>
      <c r="J189" s="15" t="n"/>
      <c r="K189" s="15" t="n"/>
      <c r="L189" s="15" t="n"/>
      <c r="M189" s="16">
        <f>IF(A189="","",IF(I189&lt;&gt;"","Respondido",IF(G189="","Sem prazo definido",IF(NOW()&gt;G189,"Prazo encerrado – sem resposta","Aguardando"))))</f>
        <v/>
      </c>
      <c r="N189" s="16">
        <f>IF(B189="","",IF(COUNTIF(B190:B$302,B189)=0,B189,""))</f>
        <v/>
      </c>
    </row>
    <row r="190">
      <c r="A190" s="15" t="n"/>
      <c r="B190" s="15" t="n"/>
      <c r="C190" s="15" t="n"/>
      <c r="D190" s="15" t="n"/>
      <c r="E190" s="20" t="n"/>
      <c r="F190" s="15" t="n"/>
      <c r="G190" s="25">
        <f>IF(OR(E190="",F190=""),"",E190+F190/24)</f>
        <v/>
      </c>
      <c r="H190" s="15" t="n"/>
      <c r="I190" s="20" t="n"/>
      <c r="J190" s="15" t="n"/>
      <c r="K190" s="15" t="n"/>
      <c r="L190" s="15" t="n"/>
      <c r="M190" s="16">
        <f>IF(A190="","",IF(I190&lt;&gt;"","Respondido",IF(G190="","Sem prazo definido",IF(NOW()&gt;G190,"Prazo encerrado – sem resposta","Aguardando"))))</f>
        <v/>
      </c>
      <c r="N190" s="16">
        <f>IF(B190="","",IF(COUNTIF(B191:B$302,B190)=0,B190,""))</f>
        <v/>
      </c>
    </row>
    <row r="191">
      <c r="A191" s="15" t="n"/>
      <c r="B191" s="15" t="n"/>
      <c r="C191" s="15" t="n"/>
      <c r="D191" s="15" t="n"/>
      <c r="E191" s="20" t="n"/>
      <c r="F191" s="15" t="n"/>
      <c r="G191" s="25">
        <f>IF(OR(E191="",F191=""),"",E191+F191/24)</f>
        <v/>
      </c>
      <c r="H191" s="15" t="n"/>
      <c r="I191" s="20" t="n"/>
      <c r="J191" s="15" t="n"/>
      <c r="K191" s="15" t="n"/>
      <c r="L191" s="15" t="n"/>
      <c r="M191" s="16">
        <f>IF(A191="","",IF(I191&lt;&gt;"","Respondido",IF(G191="","Sem prazo definido",IF(NOW()&gt;G191,"Prazo encerrado – sem resposta","Aguardando"))))</f>
        <v/>
      </c>
      <c r="N191" s="16">
        <f>IF(B191="","",IF(COUNTIF(B192:B$302,B191)=0,B191,""))</f>
        <v/>
      </c>
    </row>
    <row r="192">
      <c r="A192" s="15" t="n"/>
      <c r="B192" s="15" t="n"/>
      <c r="C192" s="15" t="n"/>
      <c r="D192" s="15" t="n"/>
      <c r="E192" s="20" t="n"/>
      <c r="F192" s="15" t="n"/>
      <c r="G192" s="25">
        <f>IF(OR(E192="",F192=""),"",E192+F192/24)</f>
        <v/>
      </c>
      <c r="H192" s="15" t="n"/>
      <c r="I192" s="20" t="n"/>
      <c r="J192" s="15" t="n"/>
      <c r="K192" s="15" t="n"/>
      <c r="L192" s="15" t="n"/>
      <c r="M192" s="16">
        <f>IF(A192="","",IF(I192&lt;&gt;"","Respondido",IF(G192="","Sem prazo definido",IF(NOW()&gt;G192,"Prazo encerrado – sem resposta","Aguardando"))))</f>
        <v/>
      </c>
      <c r="N192" s="16">
        <f>IF(B192="","",IF(COUNTIF(B193:B$302,B192)=0,B192,""))</f>
        <v/>
      </c>
    </row>
    <row r="193">
      <c r="A193" s="15" t="n"/>
      <c r="B193" s="15" t="n"/>
      <c r="C193" s="15" t="n"/>
      <c r="D193" s="15" t="n"/>
      <c r="E193" s="20" t="n"/>
      <c r="F193" s="15" t="n"/>
      <c r="G193" s="25">
        <f>IF(OR(E193="",F193=""),"",E193+F193/24)</f>
        <v/>
      </c>
      <c r="H193" s="15" t="n"/>
      <c r="I193" s="20" t="n"/>
      <c r="J193" s="15" t="n"/>
      <c r="K193" s="15" t="n"/>
      <c r="L193" s="15" t="n"/>
      <c r="M193" s="16">
        <f>IF(A193="","",IF(I193&lt;&gt;"","Respondido",IF(G193="","Sem prazo definido",IF(NOW()&gt;G193,"Prazo encerrado – sem resposta","Aguardando"))))</f>
        <v/>
      </c>
      <c r="N193" s="16">
        <f>IF(B193="","",IF(COUNTIF(B194:B$302,B193)=0,B193,""))</f>
        <v/>
      </c>
    </row>
    <row r="194">
      <c r="A194" s="15" t="n"/>
      <c r="B194" s="15" t="n"/>
      <c r="C194" s="15" t="n"/>
      <c r="D194" s="15" t="n"/>
      <c r="E194" s="20" t="n"/>
      <c r="F194" s="15" t="n"/>
      <c r="G194" s="25">
        <f>IF(OR(E194="",F194=""),"",E194+F194/24)</f>
        <v/>
      </c>
      <c r="H194" s="15" t="n"/>
      <c r="I194" s="20" t="n"/>
      <c r="J194" s="15" t="n"/>
      <c r="K194" s="15" t="n"/>
      <c r="L194" s="15" t="n"/>
      <c r="M194" s="16">
        <f>IF(A194="","",IF(I194&lt;&gt;"","Respondido",IF(G194="","Sem prazo definido",IF(NOW()&gt;G194,"Prazo encerrado – sem resposta","Aguardando"))))</f>
        <v/>
      </c>
      <c r="N194" s="16">
        <f>IF(B194="","",IF(COUNTIF(B195:B$302,B194)=0,B194,""))</f>
        <v/>
      </c>
    </row>
    <row r="195">
      <c r="A195" s="15" t="n"/>
      <c r="B195" s="15" t="n"/>
      <c r="C195" s="15" t="n"/>
      <c r="D195" s="15" t="n"/>
      <c r="E195" s="20" t="n"/>
      <c r="F195" s="15" t="n"/>
      <c r="G195" s="25">
        <f>IF(OR(E195="",F195=""),"",E195+F195/24)</f>
        <v/>
      </c>
      <c r="H195" s="15" t="n"/>
      <c r="I195" s="20" t="n"/>
      <c r="J195" s="15" t="n"/>
      <c r="K195" s="15" t="n"/>
      <c r="L195" s="15" t="n"/>
      <c r="M195" s="16">
        <f>IF(A195="","",IF(I195&lt;&gt;"","Respondido",IF(G195="","Sem prazo definido",IF(NOW()&gt;G195,"Prazo encerrado – sem resposta","Aguardando"))))</f>
        <v/>
      </c>
      <c r="N195" s="16">
        <f>IF(B195="","",IF(COUNTIF(B196:B$302,B195)=0,B195,""))</f>
        <v/>
      </c>
    </row>
    <row r="196">
      <c r="A196" s="15" t="n"/>
      <c r="B196" s="15" t="n"/>
      <c r="C196" s="15" t="n"/>
      <c r="D196" s="15" t="n"/>
      <c r="E196" s="20" t="n"/>
      <c r="F196" s="15" t="n"/>
      <c r="G196" s="25">
        <f>IF(OR(E196="",F196=""),"",E196+F196/24)</f>
        <v/>
      </c>
      <c r="H196" s="15" t="n"/>
      <c r="I196" s="20" t="n"/>
      <c r="J196" s="15" t="n"/>
      <c r="K196" s="15" t="n"/>
      <c r="L196" s="15" t="n"/>
      <c r="M196" s="16">
        <f>IF(A196="","",IF(I196&lt;&gt;"","Respondido",IF(G196="","Sem prazo definido",IF(NOW()&gt;G196,"Prazo encerrado – sem resposta","Aguardando"))))</f>
        <v/>
      </c>
      <c r="N196" s="16">
        <f>IF(B196="","",IF(COUNTIF(B197:B$302,B196)=0,B196,""))</f>
        <v/>
      </c>
    </row>
    <row r="197">
      <c r="A197" s="15" t="n"/>
      <c r="B197" s="15" t="n"/>
      <c r="C197" s="15" t="n"/>
      <c r="D197" s="15" t="n"/>
      <c r="E197" s="20" t="n"/>
      <c r="F197" s="15" t="n"/>
      <c r="G197" s="25">
        <f>IF(OR(E197="",F197=""),"",E197+F197/24)</f>
        <v/>
      </c>
      <c r="H197" s="15" t="n"/>
      <c r="I197" s="20" t="n"/>
      <c r="J197" s="15" t="n"/>
      <c r="K197" s="15" t="n"/>
      <c r="L197" s="15" t="n"/>
      <c r="M197" s="16">
        <f>IF(A197="","",IF(I197&lt;&gt;"","Respondido",IF(G197="","Sem prazo definido",IF(NOW()&gt;G197,"Prazo encerrado – sem resposta","Aguardando"))))</f>
        <v/>
      </c>
      <c r="N197" s="16">
        <f>IF(B197="","",IF(COUNTIF(B198:B$302,B197)=0,B197,""))</f>
        <v/>
      </c>
    </row>
    <row r="198">
      <c r="A198" s="15" t="n"/>
      <c r="B198" s="15" t="n"/>
      <c r="C198" s="15" t="n"/>
      <c r="D198" s="15" t="n"/>
      <c r="E198" s="20" t="n"/>
      <c r="F198" s="15" t="n"/>
      <c r="G198" s="25">
        <f>IF(OR(E198="",F198=""),"",E198+F198/24)</f>
        <v/>
      </c>
      <c r="H198" s="15" t="n"/>
      <c r="I198" s="20" t="n"/>
      <c r="J198" s="15" t="n"/>
      <c r="K198" s="15" t="n"/>
      <c r="L198" s="15" t="n"/>
      <c r="M198" s="16">
        <f>IF(A198="","",IF(I198&lt;&gt;"","Respondido",IF(G198="","Sem prazo definido",IF(NOW()&gt;G198,"Prazo encerrado – sem resposta","Aguardando"))))</f>
        <v/>
      </c>
      <c r="N198" s="16">
        <f>IF(B198="","",IF(COUNTIF(B199:B$302,B198)=0,B198,""))</f>
        <v/>
      </c>
    </row>
    <row r="199">
      <c r="A199" s="15" t="n"/>
      <c r="B199" s="15" t="n"/>
      <c r="C199" s="15" t="n"/>
      <c r="D199" s="15" t="n"/>
      <c r="E199" s="20" t="n"/>
      <c r="F199" s="15" t="n"/>
      <c r="G199" s="25">
        <f>IF(OR(E199="",F199=""),"",E199+F199/24)</f>
        <v/>
      </c>
      <c r="H199" s="15" t="n"/>
      <c r="I199" s="20" t="n"/>
      <c r="J199" s="15" t="n"/>
      <c r="K199" s="15" t="n"/>
      <c r="L199" s="15" t="n"/>
      <c r="M199" s="16">
        <f>IF(A199="","",IF(I199&lt;&gt;"","Respondido",IF(G199="","Sem prazo definido",IF(NOW()&gt;G199,"Prazo encerrado – sem resposta","Aguardando"))))</f>
        <v/>
      </c>
      <c r="N199" s="16">
        <f>IF(B199="","",IF(COUNTIF(B200:B$302,B199)=0,B199,""))</f>
        <v/>
      </c>
    </row>
    <row r="200">
      <c r="A200" s="15" t="n"/>
      <c r="B200" s="15" t="n"/>
      <c r="C200" s="15" t="n"/>
      <c r="D200" s="15" t="n"/>
      <c r="E200" s="20" t="n"/>
      <c r="F200" s="15" t="n"/>
      <c r="G200" s="25">
        <f>IF(OR(E200="",F200=""),"",E200+F200/24)</f>
        <v/>
      </c>
      <c r="H200" s="15" t="n"/>
      <c r="I200" s="20" t="n"/>
      <c r="J200" s="15" t="n"/>
      <c r="K200" s="15" t="n"/>
      <c r="L200" s="15" t="n"/>
      <c r="M200" s="16">
        <f>IF(A200="","",IF(I200&lt;&gt;"","Respondido",IF(G200="","Sem prazo definido",IF(NOW()&gt;G200,"Prazo encerrado – sem resposta","Aguardando"))))</f>
        <v/>
      </c>
      <c r="N200" s="16">
        <f>IF(B200="","",IF(COUNTIF(B201:B$302,B200)=0,B200,""))</f>
        <v/>
      </c>
    </row>
    <row r="201">
      <c r="A201" s="15" t="n"/>
      <c r="B201" s="15" t="n"/>
      <c r="C201" s="15" t="n"/>
      <c r="D201" s="15" t="n"/>
      <c r="E201" s="20" t="n"/>
      <c r="F201" s="15" t="n"/>
      <c r="G201" s="25">
        <f>IF(OR(E201="",F201=""),"",E201+F201/24)</f>
        <v/>
      </c>
      <c r="H201" s="15" t="n"/>
      <c r="I201" s="20" t="n"/>
      <c r="J201" s="15" t="n"/>
      <c r="K201" s="15" t="n"/>
      <c r="L201" s="15" t="n"/>
      <c r="M201" s="16">
        <f>IF(A201="","",IF(I201&lt;&gt;"","Respondido",IF(G201="","Sem prazo definido",IF(NOW()&gt;G201,"Prazo encerrado – sem resposta","Aguardando"))))</f>
        <v/>
      </c>
      <c r="N201" s="16">
        <f>IF(B201="","",IF(COUNTIF(B202:B$302,B201)=0,B201,""))</f>
        <v/>
      </c>
    </row>
    <row r="202">
      <c r="A202" s="15" t="n"/>
      <c r="B202" s="15" t="n"/>
      <c r="C202" s="15" t="n"/>
      <c r="D202" s="15" t="n"/>
      <c r="E202" s="20" t="n"/>
      <c r="F202" s="15" t="n"/>
      <c r="G202" s="25">
        <f>IF(OR(E202="",F202=""),"",E202+F202/24)</f>
        <v/>
      </c>
      <c r="H202" s="15" t="n"/>
      <c r="I202" s="20" t="n"/>
      <c r="J202" s="15" t="n"/>
      <c r="K202" s="15" t="n"/>
      <c r="L202" s="15" t="n"/>
      <c r="M202" s="16">
        <f>IF(A202="","",IF(I202&lt;&gt;"","Respondido",IF(G202="","Sem prazo definido",IF(NOW()&gt;G202,"Prazo encerrado – sem resposta","Aguardando"))))</f>
        <v/>
      </c>
      <c r="N202" s="16">
        <f>IF(B202="","",IF(COUNTIF(B203:B$302,B202)=0,B202,""))</f>
        <v/>
      </c>
    </row>
    <row r="203">
      <c r="A203" s="15" t="n"/>
      <c r="B203" s="15" t="n"/>
      <c r="C203" s="15" t="n"/>
      <c r="D203" s="15" t="n"/>
      <c r="E203" s="20" t="n"/>
      <c r="F203" s="15" t="n"/>
      <c r="G203" s="25">
        <f>IF(OR(E203="",F203=""),"",E203+F203/24)</f>
        <v/>
      </c>
      <c r="H203" s="15" t="n"/>
      <c r="I203" s="20" t="n"/>
      <c r="J203" s="15" t="n"/>
      <c r="K203" s="15" t="n"/>
      <c r="L203" s="15" t="n"/>
      <c r="M203" s="16">
        <f>IF(A203="","",IF(I203&lt;&gt;"","Respondido",IF(G203="","Sem prazo definido",IF(NOW()&gt;G203,"Prazo encerrado – sem resposta","Aguardando"))))</f>
        <v/>
      </c>
      <c r="N203" s="16">
        <f>IF(B203="","",IF(COUNTIF(B204:B$302,B203)=0,B203,""))</f>
        <v/>
      </c>
    </row>
    <row r="204">
      <c r="A204" s="15" t="n"/>
      <c r="B204" s="15" t="n"/>
      <c r="C204" s="15" t="n"/>
      <c r="D204" s="15" t="n"/>
      <c r="E204" s="20" t="n"/>
      <c r="F204" s="15" t="n"/>
      <c r="G204" s="25">
        <f>IF(OR(E204="",F204=""),"",E204+F204/24)</f>
        <v/>
      </c>
      <c r="H204" s="15" t="n"/>
      <c r="I204" s="20" t="n"/>
      <c r="J204" s="15" t="n"/>
      <c r="K204" s="15" t="n"/>
      <c r="L204" s="15" t="n"/>
      <c r="M204" s="16">
        <f>IF(A204="","",IF(I204&lt;&gt;"","Respondido",IF(G204="","Sem prazo definido",IF(NOW()&gt;G204,"Prazo encerrado – sem resposta","Aguardando"))))</f>
        <v/>
      </c>
      <c r="N204" s="16">
        <f>IF(B204="","",IF(COUNTIF(B205:B$302,B204)=0,B204,""))</f>
        <v/>
      </c>
    </row>
    <row r="205">
      <c r="A205" s="15" t="n"/>
      <c r="B205" s="15" t="n"/>
      <c r="C205" s="15" t="n"/>
      <c r="D205" s="15" t="n"/>
      <c r="E205" s="20" t="n"/>
      <c r="F205" s="15" t="n"/>
      <c r="G205" s="25">
        <f>IF(OR(E205="",F205=""),"",E205+F205/24)</f>
        <v/>
      </c>
      <c r="H205" s="15" t="n"/>
      <c r="I205" s="20" t="n"/>
      <c r="J205" s="15" t="n"/>
      <c r="K205" s="15" t="n"/>
      <c r="L205" s="15" t="n"/>
      <c r="M205" s="16">
        <f>IF(A205="","",IF(I205&lt;&gt;"","Respondido",IF(G205="","Sem prazo definido",IF(NOW()&gt;G205,"Prazo encerrado – sem resposta","Aguardando"))))</f>
        <v/>
      </c>
      <c r="N205" s="16">
        <f>IF(B205="","",IF(COUNTIF(B206:B$302,B205)=0,B205,""))</f>
        <v/>
      </c>
    </row>
    <row r="206">
      <c r="A206" s="15" t="n"/>
      <c r="B206" s="15" t="n"/>
      <c r="C206" s="15" t="n"/>
      <c r="D206" s="15" t="n"/>
      <c r="E206" s="20" t="n"/>
      <c r="F206" s="15" t="n"/>
      <c r="G206" s="25">
        <f>IF(OR(E206="",F206=""),"",E206+F206/24)</f>
        <v/>
      </c>
      <c r="H206" s="15" t="n"/>
      <c r="I206" s="20" t="n"/>
      <c r="J206" s="15" t="n"/>
      <c r="K206" s="15" t="n"/>
      <c r="L206" s="15" t="n"/>
      <c r="M206" s="16">
        <f>IF(A206="","",IF(I206&lt;&gt;"","Respondido",IF(G206="","Sem prazo definido",IF(NOW()&gt;G206,"Prazo encerrado – sem resposta","Aguardando"))))</f>
        <v/>
      </c>
      <c r="N206" s="16">
        <f>IF(B206="","",IF(COUNTIF(B207:B$302,B206)=0,B206,""))</f>
        <v/>
      </c>
    </row>
    <row r="207">
      <c r="A207" s="15" t="n"/>
      <c r="B207" s="15" t="n"/>
      <c r="C207" s="15" t="n"/>
      <c r="D207" s="15" t="n"/>
      <c r="E207" s="20" t="n"/>
      <c r="F207" s="15" t="n"/>
      <c r="G207" s="25">
        <f>IF(OR(E207="",F207=""),"",E207+F207/24)</f>
        <v/>
      </c>
      <c r="H207" s="15" t="n"/>
      <c r="I207" s="20" t="n"/>
      <c r="J207" s="15" t="n"/>
      <c r="K207" s="15" t="n"/>
      <c r="L207" s="15" t="n"/>
      <c r="M207" s="16">
        <f>IF(A207="","",IF(I207&lt;&gt;"","Respondido",IF(G207="","Sem prazo definido",IF(NOW()&gt;G207,"Prazo encerrado – sem resposta","Aguardando"))))</f>
        <v/>
      </c>
      <c r="N207" s="16">
        <f>IF(B207="","",IF(COUNTIF(B208:B$302,B207)=0,B207,""))</f>
        <v/>
      </c>
    </row>
    <row r="208">
      <c r="A208" s="15" t="n"/>
      <c r="B208" s="15" t="n"/>
      <c r="C208" s="15" t="n"/>
      <c r="D208" s="15" t="n"/>
      <c r="E208" s="20" t="n"/>
      <c r="F208" s="15" t="n"/>
      <c r="G208" s="25">
        <f>IF(OR(E208="",F208=""),"",E208+F208/24)</f>
        <v/>
      </c>
      <c r="H208" s="15" t="n"/>
      <c r="I208" s="20" t="n"/>
      <c r="J208" s="15" t="n"/>
      <c r="K208" s="15" t="n"/>
      <c r="L208" s="15" t="n"/>
      <c r="M208" s="16">
        <f>IF(A208="","",IF(I208&lt;&gt;"","Respondido",IF(G208="","Sem prazo definido",IF(NOW()&gt;G208,"Prazo encerrado – sem resposta","Aguardando"))))</f>
        <v/>
      </c>
      <c r="N208" s="16">
        <f>IF(B208="","",IF(COUNTIF(B209:B$302,B208)=0,B208,""))</f>
        <v/>
      </c>
    </row>
    <row r="209">
      <c r="A209" s="15" t="n"/>
      <c r="B209" s="15" t="n"/>
      <c r="C209" s="15" t="n"/>
      <c r="D209" s="15" t="n"/>
      <c r="E209" s="20" t="n"/>
      <c r="F209" s="15" t="n"/>
      <c r="G209" s="25">
        <f>IF(OR(E209="",F209=""),"",E209+F209/24)</f>
        <v/>
      </c>
      <c r="H209" s="15" t="n"/>
      <c r="I209" s="20" t="n"/>
      <c r="J209" s="15" t="n"/>
      <c r="K209" s="15" t="n"/>
      <c r="L209" s="15" t="n"/>
      <c r="M209" s="16">
        <f>IF(A209="","",IF(I209&lt;&gt;"","Respondido",IF(G209="","Sem prazo definido",IF(NOW()&gt;G209,"Prazo encerrado – sem resposta","Aguardando"))))</f>
        <v/>
      </c>
      <c r="N209" s="16">
        <f>IF(B209="","",IF(COUNTIF(B210:B$302,B209)=0,B209,""))</f>
        <v/>
      </c>
    </row>
    <row r="210">
      <c r="A210" s="15" t="n"/>
      <c r="B210" s="15" t="n"/>
      <c r="C210" s="15" t="n"/>
      <c r="D210" s="15" t="n"/>
      <c r="E210" s="20" t="n"/>
      <c r="F210" s="15" t="n"/>
      <c r="G210" s="25">
        <f>IF(OR(E210="",F210=""),"",E210+F210/24)</f>
        <v/>
      </c>
      <c r="H210" s="15" t="n"/>
      <c r="I210" s="20" t="n"/>
      <c r="J210" s="15" t="n"/>
      <c r="K210" s="15" t="n"/>
      <c r="L210" s="15" t="n"/>
      <c r="M210" s="16">
        <f>IF(A210="","",IF(I210&lt;&gt;"","Respondido",IF(G210="","Sem prazo definido",IF(NOW()&gt;G210,"Prazo encerrado – sem resposta","Aguardando"))))</f>
        <v/>
      </c>
      <c r="N210" s="16">
        <f>IF(B210="","",IF(COUNTIF(B211:B$302,B210)=0,B210,""))</f>
        <v/>
      </c>
    </row>
    <row r="211">
      <c r="A211" s="15" t="n"/>
      <c r="B211" s="15" t="n"/>
      <c r="C211" s="15" t="n"/>
      <c r="D211" s="15" t="n"/>
      <c r="E211" s="20" t="n"/>
      <c r="F211" s="15" t="n"/>
      <c r="G211" s="25">
        <f>IF(OR(E211="",F211=""),"",E211+F211/24)</f>
        <v/>
      </c>
      <c r="H211" s="15" t="n"/>
      <c r="I211" s="20" t="n"/>
      <c r="J211" s="15" t="n"/>
      <c r="K211" s="15" t="n"/>
      <c r="L211" s="15" t="n"/>
      <c r="M211" s="16">
        <f>IF(A211="","",IF(I211&lt;&gt;"","Respondido",IF(G211="","Sem prazo definido",IF(NOW()&gt;G211,"Prazo encerrado – sem resposta","Aguardando"))))</f>
        <v/>
      </c>
      <c r="N211" s="16">
        <f>IF(B211="","",IF(COUNTIF(B212:B$302,B211)=0,B211,""))</f>
        <v/>
      </c>
    </row>
    <row r="212">
      <c r="A212" s="15" t="n"/>
      <c r="B212" s="15" t="n"/>
      <c r="C212" s="15" t="n"/>
      <c r="D212" s="15" t="n"/>
      <c r="E212" s="20" t="n"/>
      <c r="F212" s="15" t="n"/>
      <c r="G212" s="25">
        <f>IF(OR(E212="",F212=""),"",E212+F212/24)</f>
        <v/>
      </c>
      <c r="H212" s="15" t="n"/>
      <c r="I212" s="20" t="n"/>
      <c r="J212" s="15" t="n"/>
      <c r="K212" s="15" t="n"/>
      <c r="L212" s="15" t="n"/>
      <c r="M212" s="16">
        <f>IF(A212="","",IF(I212&lt;&gt;"","Respondido",IF(G212="","Sem prazo definido",IF(NOW()&gt;G212,"Prazo encerrado – sem resposta","Aguardando"))))</f>
        <v/>
      </c>
      <c r="N212" s="16">
        <f>IF(B212="","",IF(COUNTIF(B213:B$302,B212)=0,B212,""))</f>
        <v/>
      </c>
    </row>
    <row r="213">
      <c r="A213" s="15" t="n"/>
      <c r="B213" s="15" t="n"/>
      <c r="C213" s="15" t="n"/>
      <c r="D213" s="15" t="n"/>
      <c r="E213" s="20" t="n"/>
      <c r="F213" s="15" t="n"/>
      <c r="G213" s="25">
        <f>IF(OR(E213="",F213=""),"",E213+F213/24)</f>
        <v/>
      </c>
      <c r="H213" s="15" t="n"/>
      <c r="I213" s="20" t="n"/>
      <c r="J213" s="15" t="n"/>
      <c r="K213" s="15" t="n"/>
      <c r="L213" s="15" t="n"/>
      <c r="M213" s="16">
        <f>IF(A213="","",IF(I213&lt;&gt;"","Respondido",IF(G213="","Sem prazo definido",IF(NOW()&gt;G213,"Prazo encerrado – sem resposta","Aguardando"))))</f>
        <v/>
      </c>
      <c r="N213" s="16">
        <f>IF(B213="","",IF(COUNTIF(B214:B$302,B213)=0,B213,""))</f>
        <v/>
      </c>
    </row>
    <row r="214">
      <c r="A214" s="15" t="n"/>
      <c r="B214" s="15" t="n"/>
      <c r="C214" s="15" t="n"/>
      <c r="D214" s="15" t="n"/>
      <c r="E214" s="20" t="n"/>
      <c r="F214" s="15" t="n"/>
      <c r="G214" s="25">
        <f>IF(OR(E214="",F214=""),"",E214+F214/24)</f>
        <v/>
      </c>
      <c r="H214" s="15" t="n"/>
      <c r="I214" s="20" t="n"/>
      <c r="J214" s="15" t="n"/>
      <c r="K214" s="15" t="n"/>
      <c r="L214" s="15" t="n"/>
      <c r="M214" s="16">
        <f>IF(A214="","",IF(I214&lt;&gt;"","Respondido",IF(G214="","Sem prazo definido",IF(NOW()&gt;G214,"Prazo encerrado – sem resposta","Aguardando"))))</f>
        <v/>
      </c>
      <c r="N214" s="16">
        <f>IF(B214="","",IF(COUNTIF(B215:B$302,B214)=0,B214,""))</f>
        <v/>
      </c>
    </row>
    <row r="215">
      <c r="A215" s="15" t="n"/>
      <c r="B215" s="15" t="n"/>
      <c r="C215" s="15" t="n"/>
      <c r="D215" s="15" t="n"/>
      <c r="E215" s="20" t="n"/>
      <c r="F215" s="15" t="n"/>
      <c r="G215" s="25">
        <f>IF(OR(E215="",F215=""),"",E215+F215/24)</f>
        <v/>
      </c>
      <c r="H215" s="15" t="n"/>
      <c r="I215" s="20" t="n"/>
      <c r="J215" s="15" t="n"/>
      <c r="K215" s="15" t="n"/>
      <c r="L215" s="15" t="n"/>
      <c r="M215" s="16">
        <f>IF(A215="","",IF(I215&lt;&gt;"","Respondido",IF(G215="","Sem prazo definido",IF(NOW()&gt;G215,"Prazo encerrado – sem resposta","Aguardando"))))</f>
        <v/>
      </c>
      <c r="N215" s="16">
        <f>IF(B215="","",IF(COUNTIF(B216:B$302,B215)=0,B215,""))</f>
        <v/>
      </c>
    </row>
    <row r="216">
      <c r="A216" s="15" t="n"/>
      <c r="B216" s="15" t="n"/>
      <c r="C216" s="15" t="n"/>
      <c r="D216" s="15" t="n"/>
      <c r="E216" s="20" t="n"/>
      <c r="F216" s="15" t="n"/>
      <c r="G216" s="25">
        <f>IF(OR(E216="",F216=""),"",E216+F216/24)</f>
        <v/>
      </c>
      <c r="H216" s="15" t="n"/>
      <c r="I216" s="20" t="n"/>
      <c r="J216" s="15" t="n"/>
      <c r="K216" s="15" t="n"/>
      <c r="L216" s="15" t="n"/>
      <c r="M216" s="16">
        <f>IF(A216="","",IF(I216&lt;&gt;"","Respondido",IF(G216="","Sem prazo definido",IF(NOW()&gt;G216,"Prazo encerrado – sem resposta","Aguardando"))))</f>
        <v/>
      </c>
      <c r="N216" s="16">
        <f>IF(B216="","",IF(COUNTIF(B217:B$302,B216)=0,B216,""))</f>
        <v/>
      </c>
    </row>
    <row r="217">
      <c r="A217" s="15" t="n"/>
      <c r="B217" s="15" t="n"/>
      <c r="C217" s="15" t="n"/>
      <c r="D217" s="15" t="n"/>
      <c r="E217" s="20" t="n"/>
      <c r="F217" s="15" t="n"/>
      <c r="G217" s="25">
        <f>IF(OR(E217="",F217=""),"",E217+F217/24)</f>
        <v/>
      </c>
      <c r="H217" s="15" t="n"/>
      <c r="I217" s="20" t="n"/>
      <c r="J217" s="15" t="n"/>
      <c r="K217" s="15" t="n"/>
      <c r="L217" s="15" t="n"/>
      <c r="M217" s="16">
        <f>IF(A217="","",IF(I217&lt;&gt;"","Respondido",IF(G217="","Sem prazo definido",IF(NOW()&gt;G217,"Prazo encerrado – sem resposta","Aguardando"))))</f>
        <v/>
      </c>
      <c r="N217" s="16">
        <f>IF(B217="","",IF(COUNTIF(B218:B$302,B217)=0,B217,""))</f>
        <v/>
      </c>
    </row>
    <row r="218">
      <c r="A218" s="15" t="n"/>
      <c r="B218" s="15" t="n"/>
      <c r="C218" s="15" t="n"/>
      <c r="D218" s="15" t="n"/>
      <c r="E218" s="20" t="n"/>
      <c r="F218" s="15" t="n"/>
      <c r="G218" s="25">
        <f>IF(OR(E218="",F218=""),"",E218+F218/24)</f>
        <v/>
      </c>
      <c r="H218" s="15" t="n"/>
      <c r="I218" s="20" t="n"/>
      <c r="J218" s="15" t="n"/>
      <c r="K218" s="15" t="n"/>
      <c r="L218" s="15" t="n"/>
      <c r="M218" s="16">
        <f>IF(A218="","",IF(I218&lt;&gt;"","Respondido",IF(G218="","Sem prazo definido",IF(NOW()&gt;G218,"Prazo encerrado – sem resposta","Aguardando"))))</f>
        <v/>
      </c>
      <c r="N218" s="16">
        <f>IF(B218="","",IF(COUNTIF(B219:B$302,B218)=0,B218,""))</f>
        <v/>
      </c>
    </row>
    <row r="219">
      <c r="A219" s="15" t="n"/>
      <c r="B219" s="15" t="n"/>
      <c r="C219" s="15" t="n"/>
      <c r="D219" s="15" t="n"/>
      <c r="E219" s="20" t="n"/>
      <c r="F219" s="15" t="n"/>
      <c r="G219" s="25">
        <f>IF(OR(E219="",F219=""),"",E219+F219/24)</f>
        <v/>
      </c>
      <c r="H219" s="15" t="n"/>
      <c r="I219" s="20" t="n"/>
      <c r="J219" s="15" t="n"/>
      <c r="K219" s="15" t="n"/>
      <c r="L219" s="15" t="n"/>
      <c r="M219" s="16">
        <f>IF(A219="","",IF(I219&lt;&gt;"","Respondido",IF(G219="","Sem prazo definido",IF(NOW()&gt;G219,"Prazo encerrado – sem resposta","Aguardando"))))</f>
        <v/>
      </c>
      <c r="N219" s="16">
        <f>IF(B219="","",IF(COUNTIF(B220:B$302,B219)=0,B219,""))</f>
        <v/>
      </c>
    </row>
    <row r="220">
      <c r="A220" s="15" t="n"/>
      <c r="B220" s="15" t="n"/>
      <c r="C220" s="15" t="n"/>
      <c r="D220" s="15" t="n"/>
      <c r="E220" s="20" t="n"/>
      <c r="F220" s="15" t="n"/>
      <c r="G220" s="25">
        <f>IF(OR(E220="",F220=""),"",E220+F220/24)</f>
        <v/>
      </c>
      <c r="H220" s="15" t="n"/>
      <c r="I220" s="20" t="n"/>
      <c r="J220" s="15" t="n"/>
      <c r="K220" s="15" t="n"/>
      <c r="L220" s="15" t="n"/>
      <c r="M220" s="16">
        <f>IF(A220="","",IF(I220&lt;&gt;"","Respondido",IF(G220="","Sem prazo definido",IF(NOW()&gt;G220,"Prazo encerrado – sem resposta","Aguardando"))))</f>
        <v/>
      </c>
      <c r="N220" s="16">
        <f>IF(B220="","",IF(COUNTIF(B221:B$302,B220)=0,B220,""))</f>
        <v/>
      </c>
    </row>
    <row r="221">
      <c r="A221" s="15" t="n"/>
      <c r="B221" s="15" t="n"/>
      <c r="C221" s="15" t="n"/>
      <c r="D221" s="15" t="n"/>
      <c r="E221" s="20" t="n"/>
      <c r="F221" s="15" t="n"/>
      <c r="G221" s="25">
        <f>IF(OR(E221="",F221=""),"",E221+F221/24)</f>
        <v/>
      </c>
      <c r="H221" s="15" t="n"/>
      <c r="I221" s="20" t="n"/>
      <c r="J221" s="15" t="n"/>
      <c r="K221" s="15" t="n"/>
      <c r="L221" s="15" t="n"/>
      <c r="M221" s="16">
        <f>IF(A221="","",IF(I221&lt;&gt;"","Respondido",IF(G221="","Sem prazo definido",IF(NOW()&gt;G221,"Prazo encerrado – sem resposta","Aguardando"))))</f>
        <v/>
      </c>
      <c r="N221" s="16">
        <f>IF(B221="","",IF(COUNTIF(B222:B$302,B221)=0,B221,""))</f>
        <v/>
      </c>
    </row>
    <row r="222">
      <c r="A222" s="15" t="n"/>
      <c r="B222" s="15" t="n"/>
      <c r="C222" s="15" t="n"/>
      <c r="D222" s="15" t="n"/>
      <c r="E222" s="20" t="n"/>
      <c r="F222" s="15" t="n"/>
      <c r="G222" s="25">
        <f>IF(OR(E222="",F222=""),"",E222+F222/24)</f>
        <v/>
      </c>
      <c r="H222" s="15" t="n"/>
      <c r="I222" s="20" t="n"/>
      <c r="J222" s="15" t="n"/>
      <c r="K222" s="15" t="n"/>
      <c r="L222" s="15" t="n"/>
      <c r="M222" s="16">
        <f>IF(A222="","",IF(I222&lt;&gt;"","Respondido",IF(G222="","Sem prazo definido",IF(NOW()&gt;G222,"Prazo encerrado – sem resposta","Aguardando"))))</f>
        <v/>
      </c>
      <c r="N222" s="16">
        <f>IF(B222="","",IF(COUNTIF(B223:B$302,B222)=0,B222,""))</f>
        <v/>
      </c>
    </row>
    <row r="223">
      <c r="A223" s="15" t="n"/>
      <c r="B223" s="15" t="n"/>
      <c r="C223" s="15" t="n"/>
      <c r="D223" s="15" t="n"/>
      <c r="E223" s="20" t="n"/>
      <c r="F223" s="15" t="n"/>
      <c r="G223" s="25">
        <f>IF(OR(E223="",F223=""),"",E223+F223/24)</f>
        <v/>
      </c>
      <c r="H223" s="15" t="n"/>
      <c r="I223" s="20" t="n"/>
      <c r="J223" s="15" t="n"/>
      <c r="K223" s="15" t="n"/>
      <c r="L223" s="15" t="n"/>
      <c r="M223" s="16">
        <f>IF(A223="","",IF(I223&lt;&gt;"","Respondido",IF(G223="","Sem prazo definido",IF(NOW()&gt;G223,"Prazo encerrado – sem resposta","Aguardando"))))</f>
        <v/>
      </c>
      <c r="N223" s="16">
        <f>IF(B223="","",IF(COUNTIF(B224:B$302,B223)=0,B223,""))</f>
        <v/>
      </c>
    </row>
    <row r="224">
      <c r="A224" s="15" t="n"/>
      <c r="B224" s="15" t="n"/>
      <c r="C224" s="15" t="n"/>
      <c r="D224" s="15" t="n"/>
      <c r="E224" s="20" t="n"/>
      <c r="F224" s="15" t="n"/>
      <c r="G224" s="25">
        <f>IF(OR(E224="",F224=""),"",E224+F224/24)</f>
        <v/>
      </c>
      <c r="H224" s="15" t="n"/>
      <c r="I224" s="20" t="n"/>
      <c r="J224" s="15" t="n"/>
      <c r="K224" s="15" t="n"/>
      <c r="L224" s="15" t="n"/>
      <c r="M224" s="16">
        <f>IF(A224="","",IF(I224&lt;&gt;"","Respondido",IF(G224="","Sem prazo definido",IF(NOW()&gt;G224,"Prazo encerrado – sem resposta","Aguardando"))))</f>
        <v/>
      </c>
      <c r="N224" s="16">
        <f>IF(B224="","",IF(COUNTIF(B225:B$302,B224)=0,B224,""))</f>
        <v/>
      </c>
    </row>
    <row r="225">
      <c r="A225" s="15" t="n"/>
      <c r="B225" s="15" t="n"/>
      <c r="C225" s="15" t="n"/>
      <c r="D225" s="15" t="n"/>
      <c r="E225" s="20" t="n"/>
      <c r="F225" s="15" t="n"/>
      <c r="G225" s="25">
        <f>IF(OR(E225="",F225=""),"",E225+F225/24)</f>
        <v/>
      </c>
      <c r="H225" s="15" t="n"/>
      <c r="I225" s="20" t="n"/>
      <c r="J225" s="15" t="n"/>
      <c r="K225" s="15" t="n"/>
      <c r="L225" s="15" t="n"/>
      <c r="M225" s="16">
        <f>IF(A225="","",IF(I225&lt;&gt;"","Respondido",IF(G225="","Sem prazo definido",IF(NOW()&gt;G225,"Prazo encerrado – sem resposta","Aguardando"))))</f>
        <v/>
      </c>
      <c r="N225" s="16">
        <f>IF(B225="","",IF(COUNTIF(B226:B$302,B225)=0,B225,""))</f>
        <v/>
      </c>
    </row>
    <row r="226">
      <c r="A226" s="15" t="n"/>
      <c r="B226" s="15" t="n"/>
      <c r="C226" s="15" t="n"/>
      <c r="D226" s="15" t="n"/>
      <c r="E226" s="20" t="n"/>
      <c r="F226" s="15" t="n"/>
      <c r="G226" s="25">
        <f>IF(OR(E226="",F226=""),"",E226+F226/24)</f>
        <v/>
      </c>
      <c r="H226" s="15" t="n"/>
      <c r="I226" s="20" t="n"/>
      <c r="J226" s="15" t="n"/>
      <c r="K226" s="15" t="n"/>
      <c r="L226" s="15" t="n"/>
      <c r="M226" s="16">
        <f>IF(A226="","",IF(I226&lt;&gt;"","Respondido",IF(G226="","Sem prazo definido",IF(NOW()&gt;G226,"Prazo encerrado – sem resposta","Aguardando"))))</f>
        <v/>
      </c>
      <c r="N226" s="16">
        <f>IF(B226="","",IF(COUNTIF(B227:B$302,B226)=0,B226,""))</f>
        <v/>
      </c>
    </row>
    <row r="227">
      <c r="A227" s="15" t="n"/>
      <c r="B227" s="15" t="n"/>
      <c r="C227" s="15" t="n"/>
      <c r="D227" s="15" t="n"/>
      <c r="E227" s="20" t="n"/>
      <c r="F227" s="15" t="n"/>
      <c r="G227" s="25">
        <f>IF(OR(E227="",F227=""),"",E227+F227/24)</f>
        <v/>
      </c>
      <c r="H227" s="15" t="n"/>
      <c r="I227" s="20" t="n"/>
      <c r="J227" s="15" t="n"/>
      <c r="K227" s="15" t="n"/>
      <c r="L227" s="15" t="n"/>
      <c r="M227" s="16">
        <f>IF(A227="","",IF(I227&lt;&gt;"","Respondido",IF(G227="","Sem prazo definido",IF(NOW()&gt;G227,"Prazo encerrado – sem resposta","Aguardando"))))</f>
        <v/>
      </c>
      <c r="N227" s="16">
        <f>IF(B227="","",IF(COUNTIF(B228:B$302,B227)=0,B227,""))</f>
        <v/>
      </c>
    </row>
    <row r="228">
      <c r="A228" s="15" t="n"/>
      <c r="B228" s="15" t="n"/>
      <c r="C228" s="15" t="n"/>
      <c r="D228" s="15" t="n"/>
      <c r="E228" s="20" t="n"/>
      <c r="F228" s="15" t="n"/>
      <c r="G228" s="25">
        <f>IF(OR(E228="",F228=""),"",E228+F228/24)</f>
        <v/>
      </c>
      <c r="H228" s="15" t="n"/>
      <c r="I228" s="20" t="n"/>
      <c r="J228" s="15" t="n"/>
      <c r="K228" s="15" t="n"/>
      <c r="L228" s="15" t="n"/>
      <c r="M228" s="16">
        <f>IF(A228="","",IF(I228&lt;&gt;"","Respondido",IF(G228="","Sem prazo definido",IF(NOW()&gt;G228,"Prazo encerrado – sem resposta","Aguardando"))))</f>
        <v/>
      </c>
      <c r="N228" s="16">
        <f>IF(B228="","",IF(COUNTIF(B229:B$302,B228)=0,B228,""))</f>
        <v/>
      </c>
    </row>
    <row r="229">
      <c r="A229" s="15" t="n"/>
      <c r="B229" s="15" t="n"/>
      <c r="C229" s="15" t="n"/>
      <c r="D229" s="15" t="n"/>
      <c r="E229" s="20" t="n"/>
      <c r="F229" s="15" t="n"/>
      <c r="G229" s="25">
        <f>IF(OR(E229="",F229=""),"",E229+F229/24)</f>
        <v/>
      </c>
      <c r="H229" s="15" t="n"/>
      <c r="I229" s="20" t="n"/>
      <c r="J229" s="15" t="n"/>
      <c r="K229" s="15" t="n"/>
      <c r="L229" s="15" t="n"/>
      <c r="M229" s="16">
        <f>IF(A229="","",IF(I229&lt;&gt;"","Respondido",IF(G229="","Sem prazo definido",IF(NOW()&gt;G229,"Prazo encerrado – sem resposta","Aguardando"))))</f>
        <v/>
      </c>
      <c r="N229" s="16">
        <f>IF(B229="","",IF(COUNTIF(B230:B$302,B229)=0,B229,""))</f>
        <v/>
      </c>
    </row>
    <row r="230">
      <c r="A230" s="15" t="n"/>
      <c r="B230" s="15" t="n"/>
      <c r="C230" s="15" t="n"/>
      <c r="D230" s="15" t="n"/>
      <c r="E230" s="20" t="n"/>
      <c r="F230" s="15" t="n"/>
      <c r="G230" s="25">
        <f>IF(OR(E230="",F230=""),"",E230+F230/24)</f>
        <v/>
      </c>
      <c r="H230" s="15" t="n"/>
      <c r="I230" s="20" t="n"/>
      <c r="J230" s="15" t="n"/>
      <c r="K230" s="15" t="n"/>
      <c r="L230" s="15" t="n"/>
      <c r="M230" s="16">
        <f>IF(A230="","",IF(I230&lt;&gt;"","Respondido",IF(G230="","Sem prazo definido",IF(NOW()&gt;G230,"Prazo encerrado – sem resposta","Aguardando"))))</f>
        <v/>
      </c>
      <c r="N230" s="16">
        <f>IF(B230="","",IF(COUNTIF(B231:B$302,B230)=0,B230,""))</f>
        <v/>
      </c>
    </row>
    <row r="231">
      <c r="A231" s="15" t="n"/>
      <c r="B231" s="15" t="n"/>
      <c r="C231" s="15" t="n"/>
      <c r="D231" s="15" t="n"/>
      <c r="E231" s="20" t="n"/>
      <c r="F231" s="15" t="n"/>
      <c r="G231" s="25">
        <f>IF(OR(E231="",F231=""),"",E231+F231/24)</f>
        <v/>
      </c>
      <c r="H231" s="15" t="n"/>
      <c r="I231" s="20" t="n"/>
      <c r="J231" s="15" t="n"/>
      <c r="K231" s="15" t="n"/>
      <c r="L231" s="15" t="n"/>
      <c r="M231" s="16">
        <f>IF(A231="","",IF(I231&lt;&gt;"","Respondido",IF(G231="","Sem prazo definido",IF(NOW()&gt;G231,"Prazo encerrado – sem resposta","Aguardando"))))</f>
        <v/>
      </c>
      <c r="N231" s="16">
        <f>IF(B231="","",IF(COUNTIF(B232:B$302,B231)=0,B231,""))</f>
        <v/>
      </c>
    </row>
    <row r="232">
      <c r="A232" s="15" t="n"/>
      <c r="B232" s="15" t="n"/>
      <c r="C232" s="15" t="n"/>
      <c r="D232" s="15" t="n"/>
      <c r="E232" s="20" t="n"/>
      <c r="F232" s="15" t="n"/>
      <c r="G232" s="25">
        <f>IF(OR(E232="",F232=""),"",E232+F232/24)</f>
        <v/>
      </c>
      <c r="H232" s="15" t="n"/>
      <c r="I232" s="20" t="n"/>
      <c r="J232" s="15" t="n"/>
      <c r="K232" s="15" t="n"/>
      <c r="L232" s="15" t="n"/>
      <c r="M232" s="16">
        <f>IF(A232="","",IF(I232&lt;&gt;"","Respondido",IF(G232="","Sem prazo definido",IF(NOW()&gt;G232,"Prazo encerrado – sem resposta","Aguardando"))))</f>
        <v/>
      </c>
      <c r="N232" s="16">
        <f>IF(B232="","",IF(COUNTIF(B233:B$302,B232)=0,B232,""))</f>
        <v/>
      </c>
    </row>
    <row r="233">
      <c r="A233" s="15" t="n"/>
      <c r="B233" s="15" t="n"/>
      <c r="C233" s="15" t="n"/>
      <c r="D233" s="15" t="n"/>
      <c r="E233" s="20" t="n"/>
      <c r="F233" s="15" t="n"/>
      <c r="G233" s="25">
        <f>IF(OR(E233="",F233=""),"",E233+F233/24)</f>
        <v/>
      </c>
      <c r="H233" s="15" t="n"/>
      <c r="I233" s="20" t="n"/>
      <c r="J233" s="15" t="n"/>
      <c r="K233" s="15" t="n"/>
      <c r="L233" s="15" t="n"/>
      <c r="M233" s="16">
        <f>IF(A233="","",IF(I233&lt;&gt;"","Respondido",IF(G233="","Sem prazo definido",IF(NOW()&gt;G233,"Prazo encerrado – sem resposta","Aguardando"))))</f>
        <v/>
      </c>
      <c r="N233" s="16">
        <f>IF(B233="","",IF(COUNTIF(B234:B$302,B233)=0,B233,""))</f>
        <v/>
      </c>
    </row>
    <row r="234">
      <c r="A234" s="15" t="n"/>
      <c r="B234" s="15" t="n"/>
      <c r="C234" s="15" t="n"/>
      <c r="D234" s="15" t="n"/>
      <c r="E234" s="20" t="n"/>
      <c r="F234" s="15" t="n"/>
      <c r="G234" s="25">
        <f>IF(OR(E234="",F234=""),"",E234+F234/24)</f>
        <v/>
      </c>
      <c r="H234" s="15" t="n"/>
      <c r="I234" s="20" t="n"/>
      <c r="J234" s="15" t="n"/>
      <c r="K234" s="15" t="n"/>
      <c r="L234" s="15" t="n"/>
      <c r="M234" s="16">
        <f>IF(A234="","",IF(I234&lt;&gt;"","Respondido",IF(G234="","Sem prazo definido",IF(NOW()&gt;G234,"Prazo encerrado – sem resposta","Aguardando"))))</f>
        <v/>
      </c>
      <c r="N234" s="16">
        <f>IF(B234="","",IF(COUNTIF(B235:B$302,B234)=0,B234,""))</f>
        <v/>
      </c>
    </row>
    <row r="235">
      <c r="A235" s="15" t="n"/>
      <c r="B235" s="15" t="n"/>
      <c r="C235" s="15" t="n"/>
      <c r="D235" s="15" t="n"/>
      <c r="E235" s="20" t="n"/>
      <c r="F235" s="15" t="n"/>
      <c r="G235" s="25">
        <f>IF(OR(E235="",F235=""),"",E235+F235/24)</f>
        <v/>
      </c>
      <c r="H235" s="15" t="n"/>
      <c r="I235" s="20" t="n"/>
      <c r="J235" s="15" t="n"/>
      <c r="K235" s="15" t="n"/>
      <c r="L235" s="15" t="n"/>
      <c r="M235" s="16">
        <f>IF(A235="","",IF(I235&lt;&gt;"","Respondido",IF(G235="","Sem prazo definido",IF(NOW()&gt;G235,"Prazo encerrado – sem resposta","Aguardando"))))</f>
        <v/>
      </c>
      <c r="N235" s="16">
        <f>IF(B235="","",IF(COUNTIF(B236:B$302,B235)=0,B235,""))</f>
        <v/>
      </c>
    </row>
    <row r="236">
      <c r="A236" s="15" t="n"/>
      <c r="B236" s="15" t="n"/>
      <c r="C236" s="15" t="n"/>
      <c r="D236" s="15" t="n"/>
      <c r="E236" s="20" t="n"/>
      <c r="F236" s="15" t="n"/>
      <c r="G236" s="25">
        <f>IF(OR(E236="",F236=""),"",E236+F236/24)</f>
        <v/>
      </c>
      <c r="H236" s="15" t="n"/>
      <c r="I236" s="20" t="n"/>
      <c r="J236" s="15" t="n"/>
      <c r="K236" s="15" t="n"/>
      <c r="L236" s="15" t="n"/>
      <c r="M236" s="16">
        <f>IF(A236="","",IF(I236&lt;&gt;"","Respondido",IF(G236="","Sem prazo definido",IF(NOW()&gt;G236,"Prazo encerrado – sem resposta","Aguardando"))))</f>
        <v/>
      </c>
      <c r="N236" s="16">
        <f>IF(B236="","",IF(COUNTIF(B237:B$302,B236)=0,B236,""))</f>
        <v/>
      </c>
    </row>
    <row r="237">
      <c r="A237" s="15" t="n"/>
      <c r="B237" s="15" t="n"/>
      <c r="C237" s="15" t="n"/>
      <c r="D237" s="15" t="n"/>
      <c r="E237" s="20" t="n"/>
      <c r="F237" s="15" t="n"/>
      <c r="G237" s="25">
        <f>IF(OR(E237="",F237=""),"",E237+F237/24)</f>
        <v/>
      </c>
      <c r="H237" s="15" t="n"/>
      <c r="I237" s="20" t="n"/>
      <c r="J237" s="15" t="n"/>
      <c r="K237" s="15" t="n"/>
      <c r="L237" s="15" t="n"/>
      <c r="M237" s="16">
        <f>IF(A237="","",IF(I237&lt;&gt;"","Respondido",IF(G237="","Sem prazo definido",IF(NOW()&gt;G237,"Prazo encerrado – sem resposta","Aguardando"))))</f>
        <v/>
      </c>
      <c r="N237" s="16">
        <f>IF(B237="","",IF(COUNTIF(B238:B$302,B237)=0,B237,""))</f>
        <v/>
      </c>
    </row>
    <row r="238">
      <c r="A238" s="15" t="n"/>
      <c r="B238" s="15" t="n"/>
      <c r="C238" s="15" t="n"/>
      <c r="D238" s="15" t="n"/>
      <c r="E238" s="20" t="n"/>
      <c r="F238" s="15" t="n"/>
      <c r="G238" s="25">
        <f>IF(OR(E238="",F238=""),"",E238+F238/24)</f>
        <v/>
      </c>
      <c r="H238" s="15" t="n"/>
      <c r="I238" s="20" t="n"/>
      <c r="J238" s="15" t="n"/>
      <c r="K238" s="15" t="n"/>
      <c r="L238" s="15" t="n"/>
      <c r="M238" s="16">
        <f>IF(A238="","",IF(I238&lt;&gt;"","Respondido",IF(G238="","Sem prazo definido",IF(NOW()&gt;G238,"Prazo encerrado – sem resposta","Aguardando"))))</f>
        <v/>
      </c>
      <c r="N238" s="16">
        <f>IF(B238="","",IF(COUNTIF(B239:B$302,B238)=0,B238,""))</f>
        <v/>
      </c>
    </row>
    <row r="239">
      <c r="A239" s="15" t="n"/>
      <c r="B239" s="15" t="n"/>
      <c r="C239" s="15" t="n"/>
      <c r="D239" s="15" t="n"/>
      <c r="E239" s="20" t="n"/>
      <c r="F239" s="15" t="n"/>
      <c r="G239" s="25">
        <f>IF(OR(E239="",F239=""),"",E239+F239/24)</f>
        <v/>
      </c>
      <c r="H239" s="15" t="n"/>
      <c r="I239" s="20" t="n"/>
      <c r="J239" s="15" t="n"/>
      <c r="K239" s="15" t="n"/>
      <c r="L239" s="15" t="n"/>
      <c r="M239" s="16">
        <f>IF(A239="","",IF(I239&lt;&gt;"","Respondido",IF(G239="","Sem prazo definido",IF(NOW()&gt;G239,"Prazo encerrado – sem resposta","Aguardando"))))</f>
        <v/>
      </c>
      <c r="N239" s="16">
        <f>IF(B239="","",IF(COUNTIF(B240:B$302,B239)=0,B239,""))</f>
        <v/>
      </c>
    </row>
    <row r="240">
      <c r="A240" s="15" t="n"/>
      <c r="B240" s="15" t="n"/>
      <c r="C240" s="15" t="n"/>
      <c r="D240" s="15" t="n"/>
      <c r="E240" s="20" t="n"/>
      <c r="F240" s="15" t="n"/>
      <c r="G240" s="25">
        <f>IF(OR(E240="",F240=""),"",E240+F240/24)</f>
        <v/>
      </c>
      <c r="H240" s="15" t="n"/>
      <c r="I240" s="20" t="n"/>
      <c r="J240" s="15" t="n"/>
      <c r="K240" s="15" t="n"/>
      <c r="L240" s="15" t="n"/>
      <c r="M240" s="16">
        <f>IF(A240="","",IF(I240&lt;&gt;"","Respondido",IF(G240="","Sem prazo definido",IF(NOW()&gt;G240,"Prazo encerrado – sem resposta","Aguardando"))))</f>
        <v/>
      </c>
      <c r="N240" s="16">
        <f>IF(B240="","",IF(COUNTIF(B241:B$302,B240)=0,B240,""))</f>
        <v/>
      </c>
    </row>
    <row r="241">
      <c r="A241" s="15" t="n"/>
      <c r="B241" s="15" t="n"/>
      <c r="C241" s="15" t="n"/>
      <c r="D241" s="15" t="n"/>
      <c r="E241" s="20" t="n"/>
      <c r="F241" s="15" t="n"/>
      <c r="G241" s="25">
        <f>IF(OR(E241="",F241=""),"",E241+F241/24)</f>
        <v/>
      </c>
      <c r="H241" s="15" t="n"/>
      <c r="I241" s="20" t="n"/>
      <c r="J241" s="15" t="n"/>
      <c r="K241" s="15" t="n"/>
      <c r="L241" s="15" t="n"/>
      <c r="M241" s="16">
        <f>IF(A241="","",IF(I241&lt;&gt;"","Respondido",IF(G241="","Sem prazo definido",IF(NOW()&gt;G241,"Prazo encerrado – sem resposta","Aguardando"))))</f>
        <v/>
      </c>
      <c r="N241" s="16">
        <f>IF(B241="","",IF(COUNTIF(B242:B$302,B241)=0,B241,""))</f>
        <v/>
      </c>
    </row>
    <row r="242">
      <c r="A242" s="15" t="n"/>
      <c r="B242" s="15" t="n"/>
      <c r="C242" s="15" t="n"/>
      <c r="D242" s="15" t="n"/>
      <c r="E242" s="20" t="n"/>
      <c r="F242" s="15" t="n"/>
      <c r="G242" s="25">
        <f>IF(OR(E242="",F242=""),"",E242+F242/24)</f>
        <v/>
      </c>
      <c r="H242" s="15" t="n"/>
      <c r="I242" s="20" t="n"/>
      <c r="J242" s="15" t="n"/>
      <c r="K242" s="15" t="n"/>
      <c r="L242" s="15" t="n"/>
      <c r="M242" s="16">
        <f>IF(A242="","",IF(I242&lt;&gt;"","Respondido",IF(G242="","Sem prazo definido",IF(NOW()&gt;G242,"Prazo encerrado – sem resposta","Aguardando"))))</f>
        <v/>
      </c>
      <c r="N242" s="16">
        <f>IF(B242="","",IF(COUNTIF(B243:B$302,B242)=0,B242,""))</f>
        <v/>
      </c>
    </row>
    <row r="243">
      <c r="A243" s="15" t="n"/>
      <c r="B243" s="15" t="n"/>
      <c r="C243" s="15" t="n"/>
      <c r="D243" s="15" t="n"/>
      <c r="E243" s="20" t="n"/>
      <c r="F243" s="15" t="n"/>
      <c r="G243" s="25">
        <f>IF(OR(E243="",F243=""),"",E243+F243/24)</f>
        <v/>
      </c>
      <c r="H243" s="15" t="n"/>
      <c r="I243" s="20" t="n"/>
      <c r="J243" s="15" t="n"/>
      <c r="K243" s="15" t="n"/>
      <c r="L243" s="15" t="n"/>
      <c r="M243" s="16">
        <f>IF(A243="","",IF(I243&lt;&gt;"","Respondido",IF(G243="","Sem prazo definido",IF(NOW()&gt;G243,"Prazo encerrado – sem resposta","Aguardando"))))</f>
        <v/>
      </c>
      <c r="N243" s="16">
        <f>IF(B243="","",IF(COUNTIF(B244:B$302,B243)=0,B243,""))</f>
        <v/>
      </c>
    </row>
    <row r="244">
      <c r="A244" s="15" t="n"/>
      <c r="B244" s="15" t="n"/>
      <c r="C244" s="15" t="n"/>
      <c r="D244" s="15" t="n"/>
      <c r="E244" s="20" t="n"/>
      <c r="F244" s="15" t="n"/>
      <c r="G244" s="25">
        <f>IF(OR(E244="",F244=""),"",E244+F244/24)</f>
        <v/>
      </c>
      <c r="H244" s="15" t="n"/>
      <c r="I244" s="20" t="n"/>
      <c r="J244" s="15" t="n"/>
      <c r="K244" s="15" t="n"/>
      <c r="L244" s="15" t="n"/>
      <c r="M244" s="16">
        <f>IF(A244="","",IF(I244&lt;&gt;"","Respondido",IF(G244="","Sem prazo definido",IF(NOW()&gt;G244,"Prazo encerrado – sem resposta","Aguardando"))))</f>
        <v/>
      </c>
      <c r="N244" s="16">
        <f>IF(B244="","",IF(COUNTIF(B245:B$302,B244)=0,B244,""))</f>
        <v/>
      </c>
    </row>
    <row r="245">
      <c r="A245" s="15" t="n"/>
      <c r="B245" s="15" t="n"/>
      <c r="C245" s="15" t="n"/>
      <c r="D245" s="15" t="n"/>
      <c r="E245" s="20" t="n"/>
      <c r="F245" s="15" t="n"/>
      <c r="G245" s="25">
        <f>IF(OR(E245="",F245=""),"",E245+F245/24)</f>
        <v/>
      </c>
      <c r="H245" s="15" t="n"/>
      <c r="I245" s="20" t="n"/>
      <c r="J245" s="15" t="n"/>
      <c r="K245" s="15" t="n"/>
      <c r="L245" s="15" t="n"/>
      <c r="M245" s="16">
        <f>IF(A245="","",IF(I245&lt;&gt;"","Respondido",IF(G245="","Sem prazo definido",IF(NOW()&gt;G245,"Prazo encerrado – sem resposta","Aguardando"))))</f>
        <v/>
      </c>
      <c r="N245" s="16">
        <f>IF(B245="","",IF(COUNTIF(B246:B$302,B245)=0,B245,""))</f>
        <v/>
      </c>
    </row>
    <row r="246">
      <c r="A246" s="15" t="n"/>
      <c r="B246" s="15" t="n"/>
      <c r="C246" s="15" t="n"/>
      <c r="D246" s="15" t="n"/>
      <c r="E246" s="20" t="n"/>
      <c r="F246" s="15" t="n"/>
      <c r="G246" s="25">
        <f>IF(OR(E246="",F246=""),"",E246+F246/24)</f>
        <v/>
      </c>
      <c r="H246" s="15" t="n"/>
      <c r="I246" s="20" t="n"/>
      <c r="J246" s="15" t="n"/>
      <c r="K246" s="15" t="n"/>
      <c r="L246" s="15" t="n"/>
      <c r="M246" s="16">
        <f>IF(A246="","",IF(I246&lt;&gt;"","Respondido",IF(G246="","Sem prazo definido",IF(NOW()&gt;G246,"Prazo encerrado – sem resposta","Aguardando"))))</f>
        <v/>
      </c>
      <c r="N246" s="16">
        <f>IF(B246="","",IF(COUNTIF(B247:B$302,B246)=0,B246,""))</f>
        <v/>
      </c>
    </row>
    <row r="247">
      <c r="A247" s="15" t="n"/>
      <c r="B247" s="15" t="n"/>
      <c r="C247" s="15" t="n"/>
      <c r="D247" s="15" t="n"/>
      <c r="E247" s="20" t="n"/>
      <c r="F247" s="15" t="n"/>
      <c r="G247" s="25">
        <f>IF(OR(E247="",F247=""),"",E247+F247/24)</f>
        <v/>
      </c>
      <c r="H247" s="15" t="n"/>
      <c r="I247" s="20" t="n"/>
      <c r="J247" s="15" t="n"/>
      <c r="K247" s="15" t="n"/>
      <c r="L247" s="15" t="n"/>
      <c r="M247" s="16">
        <f>IF(A247="","",IF(I247&lt;&gt;"","Respondido",IF(G247="","Sem prazo definido",IF(NOW()&gt;G247,"Prazo encerrado – sem resposta","Aguardando"))))</f>
        <v/>
      </c>
      <c r="N247" s="16">
        <f>IF(B247="","",IF(COUNTIF(B248:B$302,B247)=0,B247,""))</f>
        <v/>
      </c>
    </row>
    <row r="248">
      <c r="A248" s="15" t="n"/>
      <c r="B248" s="15" t="n"/>
      <c r="C248" s="15" t="n"/>
      <c r="D248" s="15" t="n"/>
      <c r="E248" s="20" t="n"/>
      <c r="F248" s="15" t="n"/>
      <c r="G248" s="25">
        <f>IF(OR(E248="",F248=""),"",E248+F248/24)</f>
        <v/>
      </c>
      <c r="H248" s="15" t="n"/>
      <c r="I248" s="20" t="n"/>
      <c r="J248" s="15" t="n"/>
      <c r="K248" s="15" t="n"/>
      <c r="L248" s="15" t="n"/>
      <c r="M248" s="16">
        <f>IF(A248="","",IF(I248&lt;&gt;"","Respondido",IF(G248="","Sem prazo definido",IF(NOW()&gt;G248,"Prazo encerrado – sem resposta","Aguardando"))))</f>
        <v/>
      </c>
      <c r="N248" s="16">
        <f>IF(B248="","",IF(COUNTIF(B249:B$302,B248)=0,B248,""))</f>
        <v/>
      </c>
    </row>
    <row r="249">
      <c r="A249" s="15" t="n"/>
      <c r="B249" s="15" t="n"/>
      <c r="C249" s="15" t="n"/>
      <c r="D249" s="15" t="n"/>
      <c r="E249" s="20" t="n"/>
      <c r="F249" s="15" t="n"/>
      <c r="G249" s="25">
        <f>IF(OR(E249="",F249=""),"",E249+F249/24)</f>
        <v/>
      </c>
      <c r="H249" s="15" t="n"/>
      <c r="I249" s="20" t="n"/>
      <c r="J249" s="15" t="n"/>
      <c r="K249" s="15" t="n"/>
      <c r="L249" s="15" t="n"/>
      <c r="M249" s="16">
        <f>IF(A249="","",IF(I249&lt;&gt;"","Respondido",IF(G249="","Sem prazo definido",IF(NOW()&gt;G249,"Prazo encerrado – sem resposta","Aguardando"))))</f>
        <v/>
      </c>
      <c r="N249" s="16">
        <f>IF(B249="","",IF(COUNTIF(B250:B$302,B249)=0,B249,""))</f>
        <v/>
      </c>
    </row>
    <row r="250">
      <c r="A250" s="15" t="n"/>
      <c r="B250" s="15" t="n"/>
      <c r="C250" s="15" t="n"/>
      <c r="D250" s="15" t="n"/>
      <c r="E250" s="20" t="n"/>
      <c r="F250" s="15" t="n"/>
      <c r="G250" s="25">
        <f>IF(OR(E250="",F250=""),"",E250+F250/24)</f>
        <v/>
      </c>
      <c r="H250" s="15" t="n"/>
      <c r="I250" s="20" t="n"/>
      <c r="J250" s="15" t="n"/>
      <c r="K250" s="15" t="n"/>
      <c r="L250" s="15" t="n"/>
      <c r="M250" s="16">
        <f>IF(A250="","",IF(I250&lt;&gt;"","Respondido",IF(G250="","Sem prazo definido",IF(NOW()&gt;G250,"Prazo encerrado – sem resposta","Aguardando"))))</f>
        <v/>
      </c>
      <c r="N250" s="16">
        <f>IF(B250="","",IF(COUNTIF(B251:B$302,B250)=0,B250,""))</f>
        <v/>
      </c>
    </row>
    <row r="251">
      <c r="A251" s="15" t="n"/>
      <c r="B251" s="15" t="n"/>
      <c r="C251" s="15" t="n"/>
      <c r="D251" s="15" t="n"/>
      <c r="E251" s="20" t="n"/>
      <c r="F251" s="15" t="n"/>
      <c r="G251" s="25">
        <f>IF(OR(E251="",F251=""),"",E251+F251/24)</f>
        <v/>
      </c>
      <c r="H251" s="15" t="n"/>
      <c r="I251" s="20" t="n"/>
      <c r="J251" s="15" t="n"/>
      <c r="K251" s="15" t="n"/>
      <c r="L251" s="15" t="n"/>
      <c r="M251" s="16">
        <f>IF(A251="","",IF(I251&lt;&gt;"","Respondido",IF(G251="","Sem prazo definido",IF(NOW()&gt;G251,"Prazo encerrado – sem resposta","Aguardando"))))</f>
        <v/>
      </c>
      <c r="N251" s="16">
        <f>IF(B251="","",IF(COUNTIF(B252:B$302,B251)=0,B251,""))</f>
        <v/>
      </c>
    </row>
    <row r="252">
      <c r="A252" s="15" t="n"/>
      <c r="B252" s="15" t="n"/>
      <c r="C252" s="15" t="n"/>
      <c r="D252" s="15" t="n"/>
      <c r="E252" s="20" t="n"/>
      <c r="F252" s="15" t="n"/>
      <c r="G252" s="25">
        <f>IF(OR(E252="",F252=""),"",E252+F252/24)</f>
        <v/>
      </c>
      <c r="H252" s="15" t="n"/>
      <c r="I252" s="20" t="n"/>
      <c r="J252" s="15" t="n"/>
      <c r="K252" s="15" t="n"/>
      <c r="L252" s="15" t="n"/>
      <c r="M252" s="16">
        <f>IF(A252="","",IF(I252&lt;&gt;"","Respondido",IF(G252="","Sem prazo definido",IF(NOW()&gt;G252,"Prazo encerrado – sem resposta","Aguardando"))))</f>
        <v/>
      </c>
      <c r="N252" s="16">
        <f>IF(B252="","",IF(COUNTIF(B253:B$302,B252)=0,B252,""))</f>
        <v/>
      </c>
    </row>
    <row r="253">
      <c r="A253" s="15" t="n"/>
      <c r="B253" s="15" t="n"/>
      <c r="C253" s="15" t="n"/>
      <c r="D253" s="15" t="n"/>
      <c r="E253" s="20" t="n"/>
      <c r="F253" s="15" t="n"/>
      <c r="G253" s="25">
        <f>IF(OR(E253="",F253=""),"",E253+F253/24)</f>
        <v/>
      </c>
      <c r="H253" s="15" t="n"/>
      <c r="I253" s="20" t="n"/>
      <c r="J253" s="15" t="n"/>
      <c r="K253" s="15" t="n"/>
      <c r="L253" s="15" t="n"/>
      <c r="M253" s="16">
        <f>IF(A253="","",IF(I253&lt;&gt;"","Respondido",IF(G253="","Sem prazo definido",IF(NOW()&gt;G253,"Prazo encerrado – sem resposta","Aguardando"))))</f>
        <v/>
      </c>
      <c r="N253" s="16">
        <f>IF(B253="","",IF(COUNTIF(B254:B$302,B253)=0,B253,""))</f>
        <v/>
      </c>
    </row>
    <row r="254">
      <c r="A254" s="15" t="n"/>
      <c r="B254" s="15" t="n"/>
      <c r="C254" s="15" t="n"/>
      <c r="D254" s="15" t="n"/>
      <c r="E254" s="20" t="n"/>
      <c r="F254" s="15" t="n"/>
      <c r="G254" s="25">
        <f>IF(OR(E254="",F254=""),"",E254+F254/24)</f>
        <v/>
      </c>
      <c r="H254" s="15" t="n"/>
      <c r="I254" s="20" t="n"/>
      <c r="J254" s="15" t="n"/>
      <c r="K254" s="15" t="n"/>
      <c r="L254" s="15" t="n"/>
      <c r="M254" s="16">
        <f>IF(A254="","",IF(I254&lt;&gt;"","Respondido",IF(G254="","Sem prazo definido",IF(NOW()&gt;G254,"Prazo encerrado – sem resposta","Aguardando"))))</f>
        <v/>
      </c>
      <c r="N254" s="16">
        <f>IF(B254="","",IF(COUNTIF(B255:B$302,B254)=0,B254,""))</f>
        <v/>
      </c>
    </row>
    <row r="255">
      <c r="A255" s="15" t="n"/>
      <c r="B255" s="15" t="n"/>
      <c r="C255" s="15" t="n"/>
      <c r="D255" s="15" t="n"/>
      <c r="E255" s="20" t="n"/>
      <c r="F255" s="15" t="n"/>
      <c r="G255" s="25">
        <f>IF(OR(E255="",F255=""),"",E255+F255/24)</f>
        <v/>
      </c>
      <c r="H255" s="15" t="n"/>
      <c r="I255" s="20" t="n"/>
      <c r="J255" s="15" t="n"/>
      <c r="K255" s="15" t="n"/>
      <c r="L255" s="15" t="n"/>
      <c r="M255" s="16">
        <f>IF(A255="","",IF(I255&lt;&gt;"","Respondido",IF(G255="","Sem prazo definido",IF(NOW()&gt;G255,"Prazo encerrado – sem resposta","Aguardando"))))</f>
        <v/>
      </c>
      <c r="N255" s="16">
        <f>IF(B255="","",IF(COUNTIF(B256:B$302,B255)=0,B255,""))</f>
        <v/>
      </c>
    </row>
    <row r="256">
      <c r="A256" s="15" t="n"/>
      <c r="B256" s="15" t="n"/>
      <c r="C256" s="15" t="n"/>
      <c r="D256" s="15" t="n"/>
      <c r="E256" s="20" t="n"/>
      <c r="F256" s="15" t="n"/>
      <c r="G256" s="25">
        <f>IF(OR(E256="",F256=""),"",E256+F256/24)</f>
        <v/>
      </c>
      <c r="H256" s="15" t="n"/>
      <c r="I256" s="20" t="n"/>
      <c r="J256" s="15" t="n"/>
      <c r="K256" s="15" t="n"/>
      <c r="L256" s="15" t="n"/>
      <c r="M256" s="16">
        <f>IF(A256="","",IF(I256&lt;&gt;"","Respondido",IF(G256="","Sem prazo definido",IF(NOW()&gt;G256,"Prazo encerrado – sem resposta","Aguardando"))))</f>
        <v/>
      </c>
      <c r="N256" s="16">
        <f>IF(B256="","",IF(COUNTIF(B257:B$302,B256)=0,B256,""))</f>
        <v/>
      </c>
    </row>
    <row r="257">
      <c r="A257" s="15" t="n"/>
      <c r="B257" s="15" t="n"/>
      <c r="C257" s="15" t="n"/>
      <c r="D257" s="15" t="n"/>
      <c r="E257" s="20" t="n"/>
      <c r="F257" s="15" t="n"/>
      <c r="G257" s="25">
        <f>IF(OR(E257="",F257=""),"",E257+F257/24)</f>
        <v/>
      </c>
      <c r="H257" s="15" t="n"/>
      <c r="I257" s="20" t="n"/>
      <c r="J257" s="15" t="n"/>
      <c r="K257" s="15" t="n"/>
      <c r="L257" s="15" t="n"/>
      <c r="M257" s="16">
        <f>IF(A257="","",IF(I257&lt;&gt;"","Respondido",IF(G257="","Sem prazo definido",IF(NOW()&gt;G257,"Prazo encerrado – sem resposta","Aguardando"))))</f>
        <v/>
      </c>
      <c r="N257" s="16">
        <f>IF(B257="","",IF(COUNTIF(B258:B$302,B257)=0,B257,""))</f>
        <v/>
      </c>
    </row>
    <row r="258">
      <c r="A258" s="15" t="n"/>
      <c r="B258" s="15" t="n"/>
      <c r="C258" s="15" t="n"/>
      <c r="D258" s="15" t="n"/>
      <c r="E258" s="20" t="n"/>
      <c r="F258" s="15" t="n"/>
      <c r="G258" s="25">
        <f>IF(OR(E258="",F258=""),"",E258+F258/24)</f>
        <v/>
      </c>
      <c r="H258" s="15" t="n"/>
      <c r="I258" s="20" t="n"/>
      <c r="J258" s="15" t="n"/>
      <c r="K258" s="15" t="n"/>
      <c r="L258" s="15" t="n"/>
      <c r="M258" s="16">
        <f>IF(A258="","",IF(I258&lt;&gt;"","Respondido",IF(G258="","Sem prazo definido",IF(NOW()&gt;G258,"Prazo encerrado – sem resposta","Aguardando"))))</f>
        <v/>
      </c>
      <c r="N258" s="16">
        <f>IF(B258="","",IF(COUNTIF(B259:B$302,B258)=0,B258,""))</f>
        <v/>
      </c>
    </row>
    <row r="259">
      <c r="A259" s="15" t="n"/>
      <c r="B259" s="15" t="n"/>
      <c r="C259" s="15" t="n"/>
      <c r="D259" s="15" t="n"/>
      <c r="E259" s="20" t="n"/>
      <c r="F259" s="15" t="n"/>
      <c r="G259" s="25">
        <f>IF(OR(E259="",F259=""),"",E259+F259/24)</f>
        <v/>
      </c>
      <c r="H259" s="15" t="n"/>
      <c r="I259" s="20" t="n"/>
      <c r="J259" s="15" t="n"/>
      <c r="K259" s="15" t="n"/>
      <c r="L259" s="15" t="n"/>
      <c r="M259" s="16">
        <f>IF(A259="","",IF(I259&lt;&gt;"","Respondido",IF(G259="","Sem prazo definido",IF(NOW()&gt;G259,"Prazo encerrado – sem resposta","Aguardando"))))</f>
        <v/>
      </c>
      <c r="N259" s="16">
        <f>IF(B259="","",IF(COUNTIF(B260:B$302,B259)=0,B259,""))</f>
        <v/>
      </c>
    </row>
    <row r="260">
      <c r="A260" s="15" t="n"/>
      <c r="B260" s="15" t="n"/>
      <c r="C260" s="15" t="n"/>
      <c r="D260" s="15" t="n"/>
      <c r="E260" s="20" t="n"/>
      <c r="F260" s="15" t="n"/>
      <c r="G260" s="25">
        <f>IF(OR(E260="",F260=""),"",E260+F260/24)</f>
        <v/>
      </c>
      <c r="H260" s="15" t="n"/>
      <c r="I260" s="20" t="n"/>
      <c r="J260" s="15" t="n"/>
      <c r="K260" s="15" t="n"/>
      <c r="L260" s="15" t="n"/>
      <c r="M260" s="16">
        <f>IF(A260="","",IF(I260&lt;&gt;"","Respondido",IF(G260="","Sem prazo definido",IF(NOW()&gt;G260,"Prazo encerrado – sem resposta","Aguardando"))))</f>
        <v/>
      </c>
      <c r="N260" s="16">
        <f>IF(B260="","",IF(COUNTIF(B261:B$302,B260)=0,B260,""))</f>
        <v/>
      </c>
    </row>
    <row r="261">
      <c r="A261" s="15" t="n"/>
      <c r="B261" s="15" t="n"/>
      <c r="C261" s="15" t="n"/>
      <c r="D261" s="15" t="n"/>
      <c r="E261" s="20" t="n"/>
      <c r="F261" s="15" t="n"/>
      <c r="G261" s="25">
        <f>IF(OR(E261="",F261=""),"",E261+F261/24)</f>
        <v/>
      </c>
      <c r="H261" s="15" t="n"/>
      <c r="I261" s="20" t="n"/>
      <c r="J261" s="15" t="n"/>
      <c r="K261" s="15" t="n"/>
      <c r="L261" s="15" t="n"/>
      <c r="M261" s="16">
        <f>IF(A261="","",IF(I261&lt;&gt;"","Respondido",IF(G261="","Sem prazo definido",IF(NOW()&gt;G261,"Prazo encerrado – sem resposta","Aguardando"))))</f>
        <v/>
      </c>
      <c r="N261" s="16">
        <f>IF(B261="","",IF(COUNTIF(B262:B$302,B261)=0,B261,""))</f>
        <v/>
      </c>
    </row>
    <row r="262">
      <c r="A262" s="15" t="n"/>
      <c r="B262" s="15" t="n"/>
      <c r="C262" s="15" t="n"/>
      <c r="D262" s="15" t="n"/>
      <c r="E262" s="20" t="n"/>
      <c r="F262" s="15" t="n"/>
      <c r="G262" s="25">
        <f>IF(OR(E262="",F262=""),"",E262+F262/24)</f>
        <v/>
      </c>
      <c r="H262" s="15" t="n"/>
      <c r="I262" s="20" t="n"/>
      <c r="J262" s="15" t="n"/>
      <c r="K262" s="15" t="n"/>
      <c r="L262" s="15" t="n"/>
      <c r="M262" s="16">
        <f>IF(A262="","",IF(I262&lt;&gt;"","Respondido",IF(G262="","Sem prazo definido",IF(NOW()&gt;G262,"Prazo encerrado – sem resposta","Aguardando"))))</f>
        <v/>
      </c>
      <c r="N262" s="16">
        <f>IF(B262="","",IF(COUNTIF(B263:B$302,B262)=0,B262,""))</f>
        <v/>
      </c>
    </row>
    <row r="263">
      <c r="A263" s="15" t="n"/>
      <c r="B263" s="15" t="n"/>
      <c r="C263" s="15" t="n"/>
      <c r="D263" s="15" t="n"/>
      <c r="E263" s="20" t="n"/>
      <c r="F263" s="15" t="n"/>
      <c r="G263" s="25">
        <f>IF(OR(E263="",F263=""),"",E263+F263/24)</f>
        <v/>
      </c>
      <c r="H263" s="15" t="n"/>
      <c r="I263" s="20" t="n"/>
      <c r="J263" s="15" t="n"/>
      <c r="K263" s="15" t="n"/>
      <c r="L263" s="15" t="n"/>
      <c r="M263" s="16">
        <f>IF(A263="","",IF(I263&lt;&gt;"","Respondido",IF(G263="","Sem prazo definido",IF(NOW()&gt;G263,"Prazo encerrado – sem resposta","Aguardando"))))</f>
        <v/>
      </c>
      <c r="N263" s="16">
        <f>IF(B263="","",IF(COUNTIF(B264:B$302,B263)=0,B263,""))</f>
        <v/>
      </c>
    </row>
    <row r="264">
      <c r="A264" s="15" t="n"/>
      <c r="B264" s="15" t="n"/>
      <c r="C264" s="15" t="n"/>
      <c r="D264" s="15" t="n"/>
      <c r="E264" s="20" t="n"/>
      <c r="F264" s="15" t="n"/>
      <c r="G264" s="25">
        <f>IF(OR(E264="",F264=""),"",E264+F264/24)</f>
        <v/>
      </c>
      <c r="H264" s="15" t="n"/>
      <c r="I264" s="20" t="n"/>
      <c r="J264" s="15" t="n"/>
      <c r="K264" s="15" t="n"/>
      <c r="L264" s="15" t="n"/>
      <c r="M264" s="16">
        <f>IF(A264="","",IF(I264&lt;&gt;"","Respondido",IF(G264="","Sem prazo definido",IF(NOW()&gt;G264,"Prazo encerrado – sem resposta","Aguardando"))))</f>
        <v/>
      </c>
      <c r="N264" s="16">
        <f>IF(B264="","",IF(COUNTIF(B265:B$302,B264)=0,B264,""))</f>
        <v/>
      </c>
    </row>
    <row r="265">
      <c r="A265" s="15" t="n"/>
      <c r="B265" s="15" t="n"/>
      <c r="C265" s="15" t="n"/>
      <c r="D265" s="15" t="n"/>
      <c r="E265" s="20" t="n"/>
      <c r="F265" s="15" t="n"/>
      <c r="G265" s="25">
        <f>IF(OR(E265="",F265=""),"",E265+F265/24)</f>
        <v/>
      </c>
      <c r="H265" s="15" t="n"/>
      <c r="I265" s="20" t="n"/>
      <c r="J265" s="15" t="n"/>
      <c r="K265" s="15" t="n"/>
      <c r="L265" s="15" t="n"/>
      <c r="M265" s="16">
        <f>IF(A265="","",IF(I265&lt;&gt;"","Respondido",IF(G265="","Sem prazo definido",IF(NOW()&gt;G265,"Prazo encerrado – sem resposta","Aguardando"))))</f>
        <v/>
      </c>
      <c r="N265" s="16">
        <f>IF(B265="","",IF(COUNTIF(B266:B$302,B265)=0,B265,""))</f>
        <v/>
      </c>
    </row>
    <row r="266">
      <c r="A266" s="15" t="n"/>
      <c r="B266" s="15" t="n"/>
      <c r="C266" s="15" t="n"/>
      <c r="D266" s="15" t="n"/>
      <c r="E266" s="20" t="n"/>
      <c r="F266" s="15" t="n"/>
      <c r="G266" s="25">
        <f>IF(OR(E266="",F266=""),"",E266+F266/24)</f>
        <v/>
      </c>
      <c r="H266" s="15" t="n"/>
      <c r="I266" s="20" t="n"/>
      <c r="J266" s="15" t="n"/>
      <c r="K266" s="15" t="n"/>
      <c r="L266" s="15" t="n"/>
      <c r="M266" s="16">
        <f>IF(A266="","",IF(I266&lt;&gt;"","Respondido",IF(G266="","Sem prazo definido",IF(NOW()&gt;G266,"Prazo encerrado – sem resposta","Aguardando"))))</f>
        <v/>
      </c>
      <c r="N266" s="16">
        <f>IF(B266="","",IF(COUNTIF(B267:B$302,B266)=0,B266,""))</f>
        <v/>
      </c>
    </row>
    <row r="267">
      <c r="A267" s="15" t="n"/>
      <c r="B267" s="15" t="n"/>
      <c r="C267" s="15" t="n"/>
      <c r="D267" s="15" t="n"/>
      <c r="E267" s="20" t="n"/>
      <c r="F267" s="15" t="n"/>
      <c r="G267" s="25">
        <f>IF(OR(E267="",F267=""),"",E267+F267/24)</f>
        <v/>
      </c>
      <c r="H267" s="15" t="n"/>
      <c r="I267" s="20" t="n"/>
      <c r="J267" s="15" t="n"/>
      <c r="K267" s="15" t="n"/>
      <c r="L267" s="15" t="n"/>
      <c r="M267" s="16">
        <f>IF(A267="","",IF(I267&lt;&gt;"","Respondido",IF(G267="","Sem prazo definido",IF(NOW()&gt;G267,"Prazo encerrado – sem resposta","Aguardando"))))</f>
        <v/>
      </c>
      <c r="N267" s="16">
        <f>IF(B267="","",IF(COUNTIF(B268:B$302,B267)=0,B267,""))</f>
        <v/>
      </c>
    </row>
    <row r="268">
      <c r="A268" s="15" t="n"/>
      <c r="B268" s="15" t="n"/>
      <c r="C268" s="15" t="n"/>
      <c r="D268" s="15" t="n"/>
      <c r="E268" s="20" t="n"/>
      <c r="F268" s="15" t="n"/>
      <c r="G268" s="25">
        <f>IF(OR(E268="",F268=""),"",E268+F268/24)</f>
        <v/>
      </c>
      <c r="H268" s="15" t="n"/>
      <c r="I268" s="20" t="n"/>
      <c r="J268" s="15" t="n"/>
      <c r="K268" s="15" t="n"/>
      <c r="L268" s="15" t="n"/>
      <c r="M268" s="16">
        <f>IF(A268="","",IF(I268&lt;&gt;"","Respondido",IF(G268="","Sem prazo definido",IF(NOW()&gt;G268,"Prazo encerrado – sem resposta","Aguardando"))))</f>
        <v/>
      </c>
      <c r="N268" s="16">
        <f>IF(B268="","",IF(COUNTIF(B269:B$302,B268)=0,B268,""))</f>
        <v/>
      </c>
    </row>
    <row r="269">
      <c r="A269" s="15" t="n"/>
      <c r="B269" s="15" t="n"/>
      <c r="C269" s="15" t="n"/>
      <c r="D269" s="15" t="n"/>
      <c r="E269" s="20" t="n"/>
      <c r="F269" s="15" t="n"/>
      <c r="G269" s="25">
        <f>IF(OR(E269="",F269=""),"",E269+F269/24)</f>
        <v/>
      </c>
      <c r="H269" s="15" t="n"/>
      <c r="I269" s="20" t="n"/>
      <c r="J269" s="15" t="n"/>
      <c r="K269" s="15" t="n"/>
      <c r="L269" s="15" t="n"/>
      <c r="M269" s="16">
        <f>IF(A269="","",IF(I269&lt;&gt;"","Respondido",IF(G269="","Sem prazo definido",IF(NOW()&gt;G269,"Prazo encerrado – sem resposta","Aguardando"))))</f>
        <v/>
      </c>
      <c r="N269" s="16">
        <f>IF(B269="","",IF(COUNTIF(B270:B$302,B269)=0,B269,""))</f>
        <v/>
      </c>
    </row>
    <row r="270">
      <c r="A270" s="15" t="n"/>
      <c r="B270" s="15" t="n"/>
      <c r="C270" s="15" t="n"/>
      <c r="D270" s="15" t="n"/>
      <c r="E270" s="20" t="n"/>
      <c r="F270" s="15" t="n"/>
      <c r="G270" s="25">
        <f>IF(OR(E270="",F270=""),"",E270+F270/24)</f>
        <v/>
      </c>
      <c r="H270" s="15" t="n"/>
      <c r="I270" s="20" t="n"/>
      <c r="J270" s="15" t="n"/>
      <c r="K270" s="15" t="n"/>
      <c r="L270" s="15" t="n"/>
      <c r="M270" s="16">
        <f>IF(A270="","",IF(I270&lt;&gt;"","Respondido",IF(G270="","Sem prazo definido",IF(NOW()&gt;G270,"Prazo encerrado – sem resposta","Aguardando"))))</f>
        <v/>
      </c>
      <c r="N270" s="16">
        <f>IF(B270="","",IF(COUNTIF(B271:B$302,B270)=0,B270,""))</f>
        <v/>
      </c>
    </row>
    <row r="271">
      <c r="A271" s="15" t="n"/>
      <c r="B271" s="15" t="n"/>
      <c r="C271" s="15" t="n"/>
      <c r="D271" s="15" t="n"/>
      <c r="E271" s="20" t="n"/>
      <c r="F271" s="15" t="n"/>
      <c r="G271" s="25">
        <f>IF(OR(E271="",F271=""),"",E271+F271/24)</f>
        <v/>
      </c>
      <c r="H271" s="15" t="n"/>
      <c r="I271" s="20" t="n"/>
      <c r="J271" s="15" t="n"/>
      <c r="K271" s="15" t="n"/>
      <c r="L271" s="15" t="n"/>
      <c r="M271" s="16">
        <f>IF(A271="","",IF(I271&lt;&gt;"","Respondido",IF(G271="","Sem prazo definido",IF(NOW()&gt;G271,"Prazo encerrado – sem resposta","Aguardando"))))</f>
        <v/>
      </c>
      <c r="N271" s="16">
        <f>IF(B271="","",IF(COUNTIF(B272:B$302,B271)=0,B271,""))</f>
        <v/>
      </c>
    </row>
    <row r="272">
      <c r="A272" s="15" t="n"/>
      <c r="B272" s="15" t="n"/>
      <c r="C272" s="15" t="n"/>
      <c r="D272" s="15" t="n"/>
      <c r="E272" s="20" t="n"/>
      <c r="F272" s="15" t="n"/>
      <c r="G272" s="25">
        <f>IF(OR(E272="",F272=""),"",E272+F272/24)</f>
        <v/>
      </c>
      <c r="H272" s="15" t="n"/>
      <c r="I272" s="20" t="n"/>
      <c r="J272" s="15" t="n"/>
      <c r="K272" s="15" t="n"/>
      <c r="L272" s="15" t="n"/>
      <c r="M272" s="16">
        <f>IF(A272="","",IF(I272&lt;&gt;"","Respondido",IF(G272="","Sem prazo definido",IF(NOW()&gt;G272,"Prazo encerrado – sem resposta","Aguardando"))))</f>
        <v/>
      </c>
      <c r="N272" s="16">
        <f>IF(B272="","",IF(COUNTIF(B273:B$302,B272)=0,B272,""))</f>
        <v/>
      </c>
    </row>
    <row r="273">
      <c r="A273" s="15" t="n"/>
      <c r="B273" s="15" t="n"/>
      <c r="C273" s="15" t="n"/>
      <c r="D273" s="15" t="n"/>
      <c r="E273" s="20" t="n"/>
      <c r="F273" s="15" t="n"/>
      <c r="G273" s="25">
        <f>IF(OR(E273="",F273=""),"",E273+F273/24)</f>
        <v/>
      </c>
      <c r="H273" s="15" t="n"/>
      <c r="I273" s="20" t="n"/>
      <c r="J273" s="15" t="n"/>
      <c r="K273" s="15" t="n"/>
      <c r="L273" s="15" t="n"/>
      <c r="M273" s="16">
        <f>IF(A273="","",IF(I273&lt;&gt;"","Respondido",IF(G273="","Sem prazo definido",IF(NOW()&gt;G273,"Prazo encerrado – sem resposta","Aguardando"))))</f>
        <v/>
      </c>
      <c r="N273" s="16">
        <f>IF(B273="","",IF(COUNTIF(B274:B$302,B273)=0,B273,""))</f>
        <v/>
      </c>
    </row>
    <row r="274">
      <c r="A274" s="15" t="n"/>
      <c r="B274" s="15" t="n"/>
      <c r="C274" s="15" t="n"/>
      <c r="D274" s="15" t="n"/>
      <c r="E274" s="20" t="n"/>
      <c r="F274" s="15" t="n"/>
      <c r="G274" s="25">
        <f>IF(OR(E274="",F274=""),"",E274+F274/24)</f>
        <v/>
      </c>
      <c r="H274" s="15" t="n"/>
      <c r="I274" s="20" t="n"/>
      <c r="J274" s="15" t="n"/>
      <c r="K274" s="15" t="n"/>
      <c r="L274" s="15" t="n"/>
      <c r="M274" s="16">
        <f>IF(A274="","",IF(I274&lt;&gt;"","Respondido",IF(G274="","Sem prazo definido",IF(NOW()&gt;G274,"Prazo encerrado – sem resposta","Aguardando"))))</f>
        <v/>
      </c>
      <c r="N274" s="16">
        <f>IF(B274="","",IF(COUNTIF(B275:B$302,B274)=0,B274,""))</f>
        <v/>
      </c>
    </row>
    <row r="275">
      <c r="A275" s="15" t="n"/>
      <c r="B275" s="15" t="n"/>
      <c r="C275" s="15" t="n"/>
      <c r="D275" s="15" t="n"/>
      <c r="E275" s="20" t="n"/>
      <c r="F275" s="15" t="n"/>
      <c r="G275" s="25">
        <f>IF(OR(E275="",F275=""),"",E275+F275/24)</f>
        <v/>
      </c>
      <c r="H275" s="15" t="n"/>
      <c r="I275" s="20" t="n"/>
      <c r="J275" s="15" t="n"/>
      <c r="K275" s="15" t="n"/>
      <c r="L275" s="15" t="n"/>
      <c r="M275" s="16">
        <f>IF(A275="","",IF(I275&lt;&gt;"","Respondido",IF(G275="","Sem prazo definido",IF(NOW()&gt;G275,"Prazo encerrado – sem resposta","Aguardando"))))</f>
        <v/>
      </c>
      <c r="N275" s="16">
        <f>IF(B275="","",IF(COUNTIF(B276:B$302,B275)=0,B275,""))</f>
        <v/>
      </c>
    </row>
    <row r="276">
      <c r="A276" s="15" t="n"/>
      <c r="B276" s="15" t="n"/>
      <c r="C276" s="15" t="n"/>
      <c r="D276" s="15" t="n"/>
      <c r="E276" s="20" t="n"/>
      <c r="F276" s="15" t="n"/>
      <c r="G276" s="25">
        <f>IF(OR(E276="",F276=""),"",E276+F276/24)</f>
        <v/>
      </c>
      <c r="H276" s="15" t="n"/>
      <c r="I276" s="20" t="n"/>
      <c r="J276" s="15" t="n"/>
      <c r="K276" s="15" t="n"/>
      <c r="L276" s="15" t="n"/>
      <c r="M276" s="16">
        <f>IF(A276="","",IF(I276&lt;&gt;"","Respondido",IF(G276="","Sem prazo definido",IF(NOW()&gt;G276,"Prazo encerrado – sem resposta","Aguardando"))))</f>
        <v/>
      </c>
      <c r="N276" s="16">
        <f>IF(B276="","",IF(COUNTIF(B277:B$302,B276)=0,B276,""))</f>
        <v/>
      </c>
    </row>
    <row r="277">
      <c r="A277" s="15" t="n"/>
      <c r="B277" s="15" t="n"/>
      <c r="C277" s="15" t="n"/>
      <c r="D277" s="15" t="n"/>
      <c r="E277" s="20" t="n"/>
      <c r="F277" s="15" t="n"/>
      <c r="G277" s="25">
        <f>IF(OR(E277="",F277=""),"",E277+F277/24)</f>
        <v/>
      </c>
      <c r="H277" s="15" t="n"/>
      <c r="I277" s="20" t="n"/>
      <c r="J277" s="15" t="n"/>
      <c r="K277" s="15" t="n"/>
      <c r="L277" s="15" t="n"/>
      <c r="M277" s="16">
        <f>IF(A277="","",IF(I277&lt;&gt;"","Respondido",IF(G277="","Sem prazo definido",IF(NOW()&gt;G277,"Prazo encerrado – sem resposta","Aguardando"))))</f>
        <v/>
      </c>
      <c r="N277" s="16">
        <f>IF(B277="","",IF(COUNTIF(B278:B$302,B277)=0,B277,""))</f>
        <v/>
      </c>
    </row>
    <row r="278">
      <c r="A278" s="15" t="n"/>
      <c r="B278" s="15" t="n"/>
      <c r="C278" s="15" t="n"/>
      <c r="D278" s="15" t="n"/>
      <c r="E278" s="20" t="n"/>
      <c r="F278" s="15" t="n"/>
      <c r="G278" s="25">
        <f>IF(OR(E278="",F278=""),"",E278+F278/24)</f>
        <v/>
      </c>
      <c r="H278" s="15" t="n"/>
      <c r="I278" s="20" t="n"/>
      <c r="J278" s="15" t="n"/>
      <c r="K278" s="15" t="n"/>
      <c r="L278" s="15" t="n"/>
      <c r="M278" s="16">
        <f>IF(A278="","",IF(I278&lt;&gt;"","Respondido",IF(G278="","Sem prazo definido",IF(NOW()&gt;G278,"Prazo encerrado – sem resposta","Aguardando"))))</f>
        <v/>
      </c>
      <c r="N278" s="16">
        <f>IF(B278="","",IF(COUNTIF(B279:B$302,B278)=0,B278,""))</f>
        <v/>
      </c>
    </row>
    <row r="279">
      <c r="A279" s="15" t="n"/>
      <c r="B279" s="15" t="n"/>
      <c r="C279" s="15" t="n"/>
      <c r="D279" s="15" t="n"/>
      <c r="E279" s="20" t="n"/>
      <c r="F279" s="15" t="n"/>
      <c r="G279" s="25">
        <f>IF(OR(E279="",F279=""),"",E279+F279/24)</f>
        <v/>
      </c>
      <c r="H279" s="15" t="n"/>
      <c r="I279" s="20" t="n"/>
      <c r="J279" s="15" t="n"/>
      <c r="K279" s="15" t="n"/>
      <c r="L279" s="15" t="n"/>
      <c r="M279" s="16">
        <f>IF(A279="","",IF(I279&lt;&gt;"","Respondido",IF(G279="","Sem prazo definido",IF(NOW()&gt;G279,"Prazo encerrado – sem resposta","Aguardando"))))</f>
        <v/>
      </c>
      <c r="N279" s="16">
        <f>IF(B279="","",IF(COUNTIF(B280:B$302,B279)=0,B279,""))</f>
        <v/>
      </c>
    </row>
    <row r="280">
      <c r="A280" s="15" t="n"/>
      <c r="B280" s="15" t="n"/>
      <c r="C280" s="15" t="n"/>
      <c r="D280" s="15" t="n"/>
      <c r="E280" s="20" t="n"/>
      <c r="F280" s="15" t="n"/>
      <c r="G280" s="25">
        <f>IF(OR(E280="",F280=""),"",E280+F280/24)</f>
        <v/>
      </c>
      <c r="H280" s="15" t="n"/>
      <c r="I280" s="20" t="n"/>
      <c r="J280" s="15" t="n"/>
      <c r="K280" s="15" t="n"/>
      <c r="L280" s="15" t="n"/>
      <c r="M280" s="16">
        <f>IF(A280="","",IF(I280&lt;&gt;"","Respondido",IF(G280="","Sem prazo definido",IF(NOW()&gt;G280,"Prazo encerrado – sem resposta","Aguardando"))))</f>
        <v/>
      </c>
      <c r="N280" s="16">
        <f>IF(B280="","",IF(COUNTIF(B281:B$302,B280)=0,B280,""))</f>
        <v/>
      </c>
    </row>
    <row r="281">
      <c r="A281" s="15" t="n"/>
      <c r="B281" s="15" t="n"/>
      <c r="C281" s="15" t="n"/>
      <c r="D281" s="15" t="n"/>
      <c r="E281" s="20" t="n"/>
      <c r="F281" s="15" t="n"/>
      <c r="G281" s="25">
        <f>IF(OR(E281="",F281=""),"",E281+F281/24)</f>
        <v/>
      </c>
      <c r="H281" s="15" t="n"/>
      <c r="I281" s="20" t="n"/>
      <c r="J281" s="15" t="n"/>
      <c r="K281" s="15" t="n"/>
      <c r="L281" s="15" t="n"/>
      <c r="M281" s="16">
        <f>IF(A281="","",IF(I281&lt;&gt;"","Respondido",IF(G281="","Sem prazo definido",IF(NOW()&gt;G281,"Prazo encerrado – sem resposta","Aguardando"))))</f>
        <v/>
      </c>
      <c r="N281" s="16">
        <f>IF(B281="","",IF(COUNTIF(B282:B$302,B281)=0,B281,""))</f>
        <v/>
      </c>
    </row>
    <row r="282">
      <c r="A282" s="15" t="n"/>
      <c r="B282" s="15" t="n"/>
      <c r="C282" s="15" t="n"/>
      <c r="D282" s="15" t="n"/>
      <c r="E282" s="20" t="n"/>
      <c r="F282" s="15" t="n"/>
      <c r="G282" s="25">
        <f>IF(OR(E282="",F282=""),"",E282+F282/24)</f>
        <v/>
      </c>
      <c r="H282" s="15" t="n"/>
      <c r="I282" s="20" t="n"/>
      <c r="J282" s="15" t="n"/>
      <c r="K282" s="15" t="n"/>
      <c r="L282" s="15" t="n"/>
      <c r="M282" s="16">
        <f>IF(A282="","",IF(I282&lt;&gt;"","Respondido",IF(G282="","Sem prazo definido",IF(NOW()&gt;G282,"Prazo encerrado – sem resposta","Aguardando"))))</f>
        <v/>
      </c>
      <c r="N282" s="16">
        <f>IF(B282="","",IF(COUNTIF(B283:B$302,B282)=0,B282,""))</f>
        <v/>
      </c>
    </row>
    <row r="283">
      <c r="A283" s="15" t="n"/>
      <c r="B283" s="15" t="n"/>
      <c r="C283" s="15" t="n"/>
      <c r="D283" s="15" t="n"/>
      <c r="E283" s="20" t="n"/>
      <c r="F283" s="15" t="n"/>
      <c r="G283" s="25">
        <f>IF(OR(E283="",F283=""),"",E283+F283/24)</f>
        <v/>
      </c>
      <c r="H283" s="15" t="n"/>
      <c r="I283" s="20" t="n"/>
      <c r="J283" s="15" t="n"/>
      <c r="K283" s="15" t="n"/>
      <c r="L283" s="15" t="n"/>
      <c r="M283" s="16">
        <f>IF(A283="","",IF(I283&lt;&gt;"","Respondido",IF(G283="","Sem prazo definido",IF(NOW()&gt;G283,"Prazo encerrado – sem resposta","Aguardando"))))</f>
        <v/>
      </c>
      <c r="N283" s="16">
        <f>IF(B283="","",IF(COUNTIF(B284:B$302,B283)=0,B283,""))</f>
        <v/>
      </c>
    </row>
    <row r="284">
      <c r="A284" s="15" t="n"/>
      <c r="B284" s="15" t="n"/>
      <c r="C284" s="15" t="n"/>
      <c r="D284" s="15" t="n"/>
      <c r="E284" s="20" t="n"/>
      <c r="F284" s="15" t="n"/>
      <c r="G284" s="25">
        <f>IF(OR(E284="",F284=""),"",E284+F284/24)</f>
        <v/>
      </c>
      <c r="H284" s="15" t="n"/>
      <c r="I284" s="20" t="n"/>
      <c r="J284" s="15" t="n"/>
      <c r="K284" s="15" t="n"/>
      <c r="L284" s="15" t="n"/>
      <c r="M284" s="16">
        <f>IF(A284="","",IF(I284&lt;&gt;"","Respondido",IF(G284="","Sem prazo definido",IF(NOW()&gt;G284,"Prazo encerrado – sem resposta","Aguardando"))))</f>
        <v/>
      </c>
      <c r="N284" s="16">
        <f>IF(B284="","",IF(COUNTIF(B285:B$302,B284)=0,B284,""))</f>
        <v/>
      </c>
    </row>
    <row r="285">
      <c r="A285" s="15" t="n"/>
      <c r="B285" s="15" t="n"/>
      <c r="C285" s="15" t="n"/>
      <c r="D285" s="15" t="n"/>
      <c r="E285" s="20" t="n"/>
      <c r="F285" s="15" t="n"/>
      <c r="G285" s="25">
        <f>IF(OR(E285="",F285=""),"",E285+F285/24)</f>
        <v/>
      </c>
      <c r="H285" s="15" t="n"/>
      <c r="I285" s="20" t="n"/>
      <c r="J285" s="15" t="n"/>
      <c r="K285" s="15" t="n"/>
      <c r="L285" s="15" t="n"/>
      <c r="M285" s="16">
        <f>IF(A285="","",IF(I285&lt;&gt;"","Respondido",IF(G285="","Sem prazo definido",IF(NOW()&gt;G285,"Prazo encerrado – sem resposta","Aguardando"))))</f>
        <v/>
      </c>
      <c r="N285" s="16">
        <f>IF(B285="","",IF(COUNTIF(B286:B$302,B285)=0,B285,""))</f>
        <v/>
      </c>
    </row>
    <row r="286">
      <c r="A286" s="15" t="n"/>
      <c r="B286" s="15" t="n"/>
      <c r="C286" s="15" t="n"/>
      <c r="D286" s="15" t="n"/>
      <c r="E286" s="20" t="n"/>
      <c r="F286" s="15" t="n"/>
      <c r="G286" s="25">
        <f>IF(OR(E286="",F286=""),"",E286+F286/24)</f>
        <v/>
      </c>
      <c r="H286" s="15" t="n"/>
      <c r="I286" s="20" t="n"/>
      <c r="J286" s="15" t="n"/>
      <c r="K286" s="15" t="n"/>
      <c r="L286" s="15" t="n"/>
      <c r="M286" s="16">
        <f>IF(A286="","",IF(I286&lt;&gt;"","Respondido",IF(G286="","Sem prazo definido",IF(NOW()&gt;G286,"Prazo encerrado – sem resposta","Aguardando"))))</f>
        <v/>
      </c>
      <c r="N286" s="16">
        <f>IF(B286="","",IF(COUNTIF(B287:B$302,B286)=0,B286,""))</f>
        <v/>
      </c>
    </row>
    <row r="287">
      <c r="A287" s="15" t="n"/>
      <c r="B287" s="15" t="n"/>
      <c r="C287" s="15" t="n"/>
      <c r="D287" s="15" t="n"/>
      <c r="E287" s="20" t="n"/>
      <c r="F287" s="15" t="n"/>
      <c r="G287" s="25">
        <f>IF(OR(E287="",F287=""),"",E287+F287/24)</f>
        <v/>
      </c>
      <c r="H287" s="15" t="n"/>
      <c r="I287" s="20" t="n"/>
      <c r="J287" s="15" t="n"/>
      <c r="K287" s="15" t="n"/>
      <c r="L287" s="15" t="n"/>
      <c r="M287" s="16">
        <f>IF(A287="","",IF(I287&lt;&gt;"","Respondido",IF(G287="","Sem prazo definido",IF(NOW()&gt;G287,"Prazo encerrado – sem resposta","Aguardando"))))</f>
        <v/>
      </c>
      <c r="N287" s="16">
        <f>IF(B287="","",IF(COUNTIF(B288:B$302,B287)=0,B287,""))</f>
        <v/>
      </c>
    </row>
    <row r="288">
      <c r="A288" s="15" t="n"/>
      <c r="B288" s="15" t="n"/>
      <c r="C288" s="15" t="n"/>
      <c r="D288" s="15" t="n"/>
      <c r="E288" s="20" t="n"/>
      <c r="F288" s="15" t="n"/>
      <c r="G288" s="25">
        <f>IF(OR(E288="",F288=""),"",E288+F288/24)</f>
        <v/>
      </c>
      <c r="H288" s="15" t="n"/>
      <c r="I288" s="20" t="n"/>
      <c r="J288" s="15" t="n"/>
      <c r="K288" s="15" t="n"/>
      <c r="L288" s="15" t="n"/>
      <c r="M288" s="16">
        <f>IF(A288="","",IF(I288&lt;&gt;"","Respondido",IF(G288="","Sem prazo definido",IF(NOW()&gt;G288,"Prazo encerrado – sem resposta","Aguardando"))))</f>
        <v/>
      </c>
      <c r="N288" s="16">
        <f>IF(B288="","",IF(COUNTIF(B289:B$302,B288)=0,B288,""))</f>
        <v/>
      </c>
    </row>
    <row r="289">
      <c r="A289" s="15" t="n"/>
      <c r="B289" s="15" t="n"/>
      <c r="C289" s="15" t="n"/>
      <c r="D289" s="15" t="n"/>
      <c r="E289" s="20" t="n"/>
      <c r="F289" s="15" t="n"/>
      <c r="G289" s="25">
        <f>IF(OR(E289="",F289=""),"",E289+F289/24)</f>
        <v/>
      </c>
      <c r="H289" s="15" t="n"/>
      <c r="I289" s="20" t="n"/>
      <c r="J289" s="15" t="n"/>
      <c r="K289" s="15" t="n"/>
      <c r="L289" s="15" t="n"/>
      <c r="M289" s="16">
        <f>IF(A289="","",IF(I289&lt;&gt;"","Respondido",IF(G289="","Sem prazo definido",IF(NOW()&gt;G289,"Prazo encerrado – sem resposta","Aguardando"))))</f>
        <v/>
      </c>
      <c r="N289" s="16">
        <f>IF(B289="","",IF(COUNTIF(B290:B$302,B289)=0,B289,""))</f>
        <v/>
      </c>
    </row>
    <row r="290">
      <c r="A290" s="15" t="n"/>
      <c r="B290" s="15" t="n"/>
      <c r="C290" s="15" t="n"/>
      <c r="D290" s="15" t="n"/>
      <c r="E290" s="20" t="n"/>
      <c r="F290" s="15" t="n"/>
      <c r="G290" s="25">
        <f>IF(OR(E290="",F290=""),"",E290+F290/24)</f>
        <v/>
      </c>
      <c r="H290" s="15" t="n"/>
      <c r="I290" s="20" t="n"/>
      <c r="J290" s="15" t="n"/>
      <c r="K290" s="15" t="n"/>
      <c r="L290" s="15" t="n"/>
      <c r="M290" s="16">
        <f>IF(A290="","",IF(I290&lt;&gt;"","Respondido",IF(G290="","Sem prazo definido",IF(NOW()&gt;G290,"Prazo encerrado – sem resposta","Aguardando"))))</f>
        <v/>
      </c>
      <c r="N290" s="16">
        <f>IF(B290="","",IF(COUNTIF(B291:B$302,B290)=0,B290,""))</f>
        <v/>
      </c>
    </row>
    <row r="291">
      <c r="A291" s="15" t="n"/>
      <c r="B291" s="15" t="n"/>
      <c r="C291" s="15" t="n"/>
      <c r="D291" s="15" t="n"/>
      <c r="E291" s="20" t="n"/>
      <c r="F291" s="15" t="n"/>
      <c r="G291" s="25">
        <f>IF(OR(E291="",F291=""),"",E291+F291/24)</f>
        <v/>
      </c>
      <c r="H291" s="15" t="n"/>
      <c r="I291" s="20" t="n"/>
      <c r="J291" s="15" t="n"/>
      <c r="K291" s="15" t="n"/>
      <c r="L291" s="15" t="n"/>
      <c r="M291" s="16">
        <f>IF(A291="","",IF(I291&lt;&gt;"","Respondido",IF(G291="","Sem prazo definido",IF(NOW()&gt;G291,"Prazo encerrado – sem resposta","Aguardando"))))</f>
        <v/>
      </c>
      <c r="N291" s="16">
        <f>IF(B291="","",IF(COUNTIF(B292:B$302,B291)=0,B291,""))</f>
        <v/>
      </c>
    </row>
    <row r="292">
      <c r="A292" s="15" t="n"/>
      <c r="B292" s="15" t="n"/>
      <c r="C292" s="15" t="n"/>
      <c r="D292" s="15" t="n"/>
      <c r="E292" s="20" t="n"/>
      <c r="F292" s="15" t="n"/>
      <c r="G292" s="25">
        <f>IF(OR(E292="",F292=""),"",E292+F292/24)</f>
        <v/>
      </c>
      <c r="H292" s="15" t="n"/>
      <c r="I292" s="20" t="n"/>
      <c r="J292" s="15" t="n"/>
      <c r="K292" s="15" t="n"/>
      <c r="L292" s="15" t="n"/>
      <c r="M292" s="16">
        <f>IF(A292="","",IF(I292&lt;&gt;"","Respondido",IF(G292="","Sem prazo definido",IF(NOW()&gt;G292,"Prazo encerrado – sem resposta","Aguardando"))))</f>
        <v/>
      </c>
      <c r="N292" s="16">
        <f>IF(B292="","",IF(COUNTIF(B293:B$302,B292)=0,B292,""))</f>
        <v/>
      </c>
    </row>
    <row r="293">
      <c r="A293" s="15" t="n"/>
      <c r="B293" s="15" t="n"/>
      <c r="C293" s="15" t="n"/>
      <c r="D293" s="15" t="n"/>
      <c r="E293" s="20" t="n"/>
      <c r="F293" s="15" t="n"/>
      <c r="G293" s="25">
        <f>IF(OR(E293="",F293=""),"",E293+F293/24)</f>
        <v/>
      </c>
      <c r="H293" s="15" t="n"/>
      <c r="I293" s="20" t="n"/>
      <c r="J293" s="15" t="n"/>
      <c r="K293" s="15" t="n"/>
      <c r="L293" s="15" t="n"/>
      <c r="M293" s="16">
        <f>IF(A293="","",IF(I293&lt;&gt;"","Respondido",IF(G293="","Sem prazo definido",IF(NOW()&gt;G293,"Prazo encerrado – sem resposta","Aguardando"))))</f>
        <v/>
      </c>
      <c r="N293" s="16">
        <f>IF(B293="","",IF(COUNTIF(B294:B$302,B293)=0,B293,""))</f>
        <v/>
      </c>
    </row>
    <row r="294">
      <c r="A294" s="15" t="n"/>
      <c r="B294" s="15" t="n"/>
      <c r="C294" s="15" t="n"/>
      <c r="D294" s="15" t="n"/>
      <c r="E294" s="20" t="n"/>
      <c r="F294" s="15" t="n"/>
      <c r="G294" s="25">
        <f>IF(OR(E294="",F294=""),"",E294+F294/24)</f>
        <v/>
      </c>
      <c r="H294" s="15" t="n"/>
      <c r="I294" s="20" t="n"/>
      <c r="J294" s="15" t="n"/>
      <c r="K294" s="15" t="n"/>
      <c r="L294" s="15" t="n"/>
      <c r="M294" s="16">
        <f>IF(A294="","",IF(I294&lt;&gt;"","Respondido",IF(G294="","Sem prazo definido",IF(NOW()&gt;G294,"Prazo encerrado – sem resposta","Aguardando"))))</f>
        <v/>
      </c>
      <c r="N294" s="16">
        <f>IF(B294="","",IF(COUNTIF(B295:B$302,B294)=0,B294,""))</f>
        <v/>
      </c>
    </row>
    <row r="295">
      <c r="A295" s="15" t="n"/>
      <c r="B295" s="15" t="n"/>
      <c r="C295" s="15" t="n"/>
      <c r="D295" s="15" t="n"/>
      <c r="E295" s="20" t="n"/>
      <c r="F295" s="15" t="n"/>
      <c r="G295" s="25">
        <f>IF(OR(E295="",F295=""),"",E295+F295/24)</f>
        <v/>
      </c>
      <c r="H295" s="15" t="n"/>
      <c r="I295" s="20" t="n"/>
      <c r="J295" s="15" t="n"/>
      <c r="K295" s="15" t="n"/>
      <c r="L295" s="15" t="n"/>
      <c r="M295" s="16">
        <f>IF(A295="","",IF(I295&lt;&gt;"","Respondido",IF(G295="","Sem prazo definido",IF(NOW()&gt;G295,"Prazo encerrado – sem resposta","Aguardando"))))</f>
        <v/>
      </c>
      <c r="N295" s="16">
        <f>IF(B295="","",IF(COUNTIF(B296:B$302,B295)=0,B295,""))</f>
        <v/>
      </c>
    </row>
    <row r="296">
      <c r="A296" s="15" t="n"/>
      <c r="B296" s="15" t="n"/>
      <c r="C296" s="15" t="n"/>
      <c r="D296" s="15" t="n"/>
      <c r="E296" s="20" t="n"/>
      <c r="F296" s="15" t="n"/>
      <c r="G296" s="25">
        <f>IF(OR(E296="",F296=""),"",E296+F296/24)</f>
        <v/>
      </c>
      <c r="H296" s="15" t="n"/>
      <c r="I296" s="20" t="n"/>
      <c r="J296" s="15" t="n"/>
      <c r="K296" s="15" t="n"/>
      <c r="L296" s="15" t="n"/>
      <c r="M296" s="16">
        <f>IF(A296="","",IF(I296&lt;&gt;"","Respondido",IF(G296="","Sem prazo definido",IF(NOW()&gt;G296,"Prazo encerrado – sem resposta","Aguardando"))))</f>
        <v/>
      </c>
      <c r="N296" s="16">
        <f>IF(B296="","",IF(COUNTIF(B297:B$302,B296)=0,B296,""))</f>
        <v/>
      </c>
    </row>
    <row r="297">
      <c r="A297" s="15" t="n"/>
      <c r="B297" s="15" t="n"/>
      <c r="C297" s="15" t="n"/>
      <c r="D297" s="15" t="n"/>
      <c r="E297" s="20" t="n"/>
      <c r="F297" s="15" t="n"/>
      <c r="G297" s="25">
        <f>IF(OR(E297="",F297=""),"",E297+F297/24)</f>
        <v/>
      </c>
      <c r="H297" s="15" t="n"/>
      <c r="I297" s="20" t="n"/>
      <c r="J297" s="15" t="n"/>
      <c r="K297" s="15" t="n"/>
      <c r="L297" s="15" t="n"/>
      <c r="M297" s="16">
        <f>IF(A297="","",IF(I297&lt;&gt;"","Respondido",IF(G297="","Sem prazo definido",IF(NOW()&gt;G297,"Prazo encerrado – sem resposta","Aguardando"))))</f>
        <v/>
      </c>
      <c r="N297" s="16">
        <f>IF(B297="","",IF(COUNTIF(B298:B$302,B297)=0,B297,""))</f>
        <v/>
      </c>
    </row>
    <row r="298">
      <c r="A298" s="15" t="n"/>
      <c r="B298" s="15" t="n"/>
      <c r="C298" s="15" t="n"/>
      <c r="D298" s="15" t="n"/>
      <c r="E298" s="20" t="n"/>
      <c r="F298" s="15" t="n"/>
      <c r="G298" s="25">
        <f>IF(OR(E298="",F298=""),"",E298+F298/24)</f>
        <v/>
      </c>
      <c r="H298" s="15" t="n"/>
      <c r="I298" s="20" t="n"/>
      <c r="J298" s="15" t="n"/>
      <c r="K298" s="15" t="n"/>
      <c r="L298" s="15" t="n"/>
      <c r="M298" s="16">
        <f>IF(A298="","",IF(I298&lt;&gt;"","Respondido",IF(G298="","Sem prazo definido",IF(NOW()&gt;G298,"Prazo encerrado – sem resposta","Aguardando"))))</f>
        <v/>
      </c>
      <c r="N298" s="16">
        <f>IF(B298="","",IF(COUNTIF(B299:B$302,B298)=0,B298,""))</f>
        <v/>
      </c>
    </row>
    <row r="299">
      <c r="A299" s="15" t="n"/>
      <c r="B299" s="15" t="n"/>
      <c r="C299" s="15" t="n"/>
      <c r="D299" s="15" t="n"/>
      <c r="E299" s="20" t="n"/>
      <c r="F299" s="15" t="n"/>
      <c r="G299" s="25">
        <f>IF(OR(E299="",F299=""),"",E299+F299/24)</f>
        <v/>
      </c>
      <c r="H299" s="15" t="n"/>
      <c r="I299" s="20" t="n"/>
      <c r="J299" s="15" t="n"/>
      <c r="K299" s="15" t="n"/>
      <c r="L299" s="15" t="n"/>
      <c r="M299" s="16">
        <f>IF(A299="","",IF(I299&lt;&gt;"","Respondido",IF(G299="","Sem prazo definido",IF(NOW()&gt;G299,"Prazo encerrado – sem resposta","Aguardando"))))</f>
        <v/>
      </c>
      <c r="N299" s="16">
        <f>IF(B299="","",IF(COUNTIF(B300:B$302,B299)=0,B299,""))</f>
        <v/>
      </c>
    </row>
    <row r="300">
      <c r="A300" s="15" t="n"/>
      <c r="B300" s="15" t="n"/>
      <c r="C300" s="15" t="n"/>
      <c r="D300" s="15" t="n"/>
      <c r="E300" s="20" t="n"/>
      <c r="F300" s="15" t="n"/>
      <c r="G300" s="25">
        <f>IF(OR(E300="",F300=""),"",E300+F300/24)</f>
        <v/>
      </c>
      <c r="H300" s="15" t="n"/>
      <c r="I300" s="20" t="n"/>
      <c r="J300" s="15" t="n"/>
      <c r="K300" s="15" t="n"/>
      <c r="L300" s="15" t="n"/>
      <c r="M300" s="16">
        <f>IF(A300="","",IF(I300&lt;&gt;"","Respondido",IF(G300="","Sem prazo definido",IF(NOW()&gt;G300,"Prazo encerrado – sem resposta","Aguardando"))))</f>
        <v/>
      </c>
      <c r="N300" s="16">
        <f>IF(B300="","",IF(COUNTIF(B301:B$302,B300)=0,B300,""))</f>
        <v/>
      </c>
    </row>
    <row r="301">
      <c r="A301" s="15" t="n"/>
      <c r="B301" s="15" t="n"/>
      <c r="C301" s="15" t="n"/>
      <c r="D301" s="15" t="n"/>
      <c r="E301" s="20" t="n"/>
      <c r="F301" s="15" t="n"/>
      <c r="G301" s="25">
        <f>IF(OR(E301="",F301=""),"",E301+F301/24)</f>
        <v/>
      </c>
      <c r="H301" s="15" t="n"/>
      <c r="I301" s="20" t="n"/>
      <c r="J301" s="15" t="n"/>
      <c r="K301" s="15" t="n"/>
      <c r="L301" s="15" t="n"/>
      <c r="M301" s="16">
        <f>IF(A301="","",IF(I301&lt;&gt;"","Respondido",IF(G301="","Sem prazo definido",IF(NOW()&gt;G301,"Prazo encerrado – sem resposta","Aguardando"))))</f>
        <v/>
      </c>
      <c r="N301" s="16">
        <f>IF(B301="","",IF(COUNTIF(B302:B$302,B301)=0,B301,""))</f>
        <v/>
      </c>
    </row>
  </sheetData>
  <autoFilter ref="A1:N301"/>
  <dataValidations count="2">
    <dataValidation sqref="K2:K301" showDropDown="0" showInputMessage="0" showErrorMessage="0" allowBlank="1" errorTitle="Valor inválido" error="Escolha um valor da lista." type="list">
      <formula1>Listas!$B$2:$B$3</formula1>
    </dataValidation>
    <dataValidation sqref="L2:L301" showDropDown="0" showInputMessage="0" showErrorMessage="0" allowBlank="1" errorTitle="Valor inválido" error="Escolha um valor da lista." type="list">
      <formula1>Listas!$B$2:$B$3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30" customWidth="1" min="3" max="3"/>
    <col width="13" customWidth="1" min="4" max="4"/>
    <col width="46" customWidth="1" min="5" max="5"/>
    <col width="12" customWidth="1" min="6" max="6"/>
    <col width="12" customWidth="1" min="7" max="7"/>
    <col width="30" customWidth="1" min="8" max="8"/>
    <col width="18" customWidth="1" min="9" max="9"/>
    <col width="10" customWidth="1" min="10" max="10"/>
    <col width="10" customWidth="1" min="11" max="11"/>
    <col width="11" customWidth="1" min="12" max="12"/>
    <col width="24" customWidth="1" min="13" max="13"/>
  </cols>
  <sheetData>
    <row r="1" ht="36" customHeight="1">
      <c r="A1" s="10" t="inlineStr">
        <is>
          <t>Teste</t>
        </is>
      </c>
      <c r="B1" s="10" t="inlineStr">
        <is>
          <t>Conjunto</t>
        </is>
      </c>
      <c r="C1" s="10" t="inlineStr">
        <is>
          <t>Item</t>
        </is>
      </c>
      <c r="D1" s="10" t="inlineStr">
        <is>
          <t>Situação (módulo F5)</t>
        </is>
      </c>
      <c r="E1" s="10" t="inlineStr">
        <is>
          <t>Detalhe</t>
        </is>
      </c>
      <c r="F1" s="10" t="inlineStr">
        <is>
          <t>ID conjunto</t>
        </is>
      </c>
      <c r="G1" s="10" t="inlineStr">
        <is>
          <t>Explicação documentada?</t>
        </is>
      </c>
      <c r="H1" s="10" t="inlineStr">
        <is>
          <t>Tipo de explicação</t>
        </is>
      </c>
      <c r="I1" s="10" t="inlineStr">
        <is>
          <t>Referência da explicação (fls.)</t>
        </is>
      </c>
      <c r="J1" s="10" t="inlineStr">
        <is>
          <t>Analista</t>
        </is>
      </c>
      <c r="K1" s="10" t="inlineStr">
        <is>
          <t>Revisor cego</t>
        </is>
      </c>
      <c r="L1" s="10" t="inlineStr">
        <is>
          <t>Revisor ≠ analista?</t>
        </is>
      </c>
      <c r="M1" s="10" t="inlineStr">
        <is>
          <t>Status</t>
        </is>
      </c>
    </row>
    <row r="2">
      <c r="A2" s="14" t="inlineStr">
        <is>
          <t>C1 contas declaradas</t>
        </is>
      </c>
      <c r="B2" s="14" t="inlineStr">
        <is>
          <t>bancário</t>
        </is>
      </c>
      <c r="C2" s="14" t="inlineStr">
        <is>
          <t>conta 237|3000|555 (IR 2023, EXEMPLO – substituir)</t>
        </is>
      </c>
      <c r="D2" s="14" t="inlineStr">
        <is>
          <t>lacuna</t>
        </is>
      </c>
      <c r="E2" s="14" t="inlineStr">
        <is>
          <t>conta declarada no IR, dentro do escopo, sem extrato entregue (verificar L2/L3)</t>
        </is>
      </c>
      <c r="F2" s="14" t="inlineStr">
        <is>
          <t>CONJ-01</t>
        </is>
      </c>
      <c r="G2" s="14" t="inlineStr">
        <is>
          <t>Não</t>
        </is>
      </c>
      <c r="H2" s="14" t="inlineStr">
        <is>
          <t>Nenhuma explicação documentada</t>
        </is>
      </c>
      <c r="I2" s="15" t="n"/>
      <c r="J2" s="14" t="inlineStr">
        <is>
          <t>M04</t>
        </is>
      </c>
      <c r="K2" s="14" t="inlineStr">
        <is>
          <t>M05</t>
        </is>
      </c>
      <c r="L2" s="16">
        <f>IF(K2="","",IF(K2&lt;&gt;J2,"Sim","NÃO"))</f>
        <v/>
      </c>
      <c r="M2" s="16">
        <f>IF(A2="","",IF(AND(D2&lt;&gt;"lacuna",D2&lt;&gt;"verificar"),"Sem pendência",IF(OR(G2="",H2="",K2=""),"Aguarda análise/revisão",IF(L2&lt;&gt;"Sim","NÃO – revisor = analista",IF(H2="Sem lacuna (verificado)","Sem lacuna (verificado)",IF(AND(G2="Sim",LEFT(H2,1)="L"),"Lacuna explicada","Lacuna não explicada"))))))</f>
        <v/>
      </c>
    </row>
    <row r="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6">
        <f>IF(K3="","",IF(K3&lt;&gt;J3,"Sim","NÃO"))</f>
        <v/>
      </c>
      <c r="M3" s="16">
        <f>IF(A3="","",IF(AND(D3&lt;&gt;"lacuna",D3&lt;&gt;"verificar"),"Sem pendência",IF(OR(G3="",H3="",K3=""),"Aguarda análise/revisão",IF(L3&lt;&gt;"Sim","NÃO – revisor = analista",IF(H3="Sem lacuna (verificado)","Sem lacuna (verificado)",IF(AND(G3="Sim",LEFT(H3,1)="L"),"Lacuna explicada","Lacuna não explicada"))))))</f>
        <v/>
      </c>
    </row>
    <row r="4">
      <c r="A4" s="15" t="n"/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6">
        <f>IF(K4="","",IF(K4&lt;&gt;J4,"Sim","NÃO"))</f>
        <v/>
      </c>
      <c r="M4" s="16">
        <f>IF(A4="","",IF(AND(D4&lt;&gt;"lacuna",D4&lt;&gt;"verificar"),"Sem pendência",IF(OR(G4="",H4="",K4=""),"Aguarda análise/revisão",IF(L4&lt;&gt;"Sim","NÃO – revisor = analista",IF(H4="Sem lacuna (verificado)","Sem lacuna (verificado)",IF(AND(G4="Sim",LEFT(H4,1)="L"),"Lacuna explicada","Lacuna não explicada"))))))</f>
        <v/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6">
        <f>IF(K5="","",IF(K5&lt;&gt;J5,"Sim","NÃO"))</f>
        <v/>
      </c>
      <c r="M5" s="16">
        <f>IF(A5="","",IF(AND(D5&lt;&gt;"lacuna",D5&lt;&gt;"verificar"),"Sem pendência",IF(OR(G5="",H5="",K5=""),"Aguarda análise/revisão",IF(L5&lt;&gt;"Sim","NÃO – revisor = analista",IF(H5="Sem lacuna (verificado)","Sem lacuna (verificado)",IF(AND(G5="Sim",LEFT(H5,1)="L"),"Lacuna explicada","Lacuna não explicada"))))))</f>
        <v/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6">
        <f>IF(K6="","",IF(K6&lt;&gt;J6,"Sim","NÃO"))</f>
        <v/>
      </c>
      <c r="M6" s="16">
        <f>IF(A6="","",IF(AND(D6&lt;&gt;"lacuna",D6&lt;&gt;"verificar"),"Sem pendência",IF(OR(G6="",H6="",K6=""),"Aguarda análise/revisão",IF(L6&lt;&gt;"Sim","NÃO – revisor = analista",IF(H6="Sem lacuna (verificado)","Sem lacuna (verificado)",IF(AND(G6="Sim",LEFT(H6,1)="L"),"Lacuna explicada","Lacuna não explicada"))))))</f>
        <v/>
      </c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6">
        <f>IF(K7="","",IF(K7&lt;&gt;J7,"Sim","NÃO"))</f>
        <v/>
      </c>
      <c r="M7" s="16">
        <f>IF(A7="","",IF(AND(D7&lt;&gt;"lacuna",D7&lt;&gt;"verificar"),"Sem pendência",IF(OR(G7="",H7="",K7=""),"Aguarda análise/revisão",IF(L7&lt;&gt;"Sim","NÃO – revisor = analista",IF(H7="Sem lacuna (verificado)","Sem lacuna (verificado)",IF(AND(G7="Sim",LEFT(H7,1)="L"),"Lacuna explicada","Lacuna não explicada"))))))</f>
        <v/>
      </c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6">
        <f>IF(K8="","",IF(K8&lt;&gt;J8,"Sim","NÃO"))</f>
        <v/>
      </c>
      <c r="M8" s="16">
        <f>IF(A8="","",IF(AND(D8&lt;&gt;"lacuna",D8&lt;&gt;"verificar"),"Sem pendência",IF(OR(G8="",H8="",K8=""),"Aguarda análise/revisão",IF(L8&lt;&gt;"Sim","NÃO – revisor = analista",IF(H8="Sem lacuna (verificado)","Sem lacuna (verificado)",IF(AND(G8="Sim",LEFT(H8,1)="L"),"Lacuna explicada","Lacuna não explicada"))))))</f>
        <v/>
      </c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6">
        <f>IF(K9="","",IF(K9&lt;&gt;J9,"Sim","NÃO"))</f>
        <v/>
      </c>
      <c r="M9" s="16">
        <f>IF(A9="","",IF(AND(D9&lt;&gt;"lacuna",D9&lt;&gt;"verificar"),"Sem pendência",IF(OR(G9="",H9="",K9=""),"Aguarda análise/revisão",IF(L9&lt;&gt;"Sim","NÃO – revisor = analista",IF(H9="Sem lacuna (verificado)","Sem lacuna (verificado)",IF(AND(G9="Sim",LEFT(H9,1)="L"),"Lacuna explicada","Lacuna não explicada"))))))</f>
        <v/>
      </c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6">
        <f>IF(K10="","",IF(K10&lt;&gt;J10,"Sim","NÃO"))</f>
        <v/>
      </c>
      <c r="M10" s="16">
        <f>IF(A10="","",IF(AND(D10&lt;&gt;"lacuna",D10&lt;&gt;"verificar"),"Sem pendência",IF(OR(G10="",H10="",K10=""),"Aguarda análise/revisão",IF(L10&lt;&gt;"Sim","NÃO – revisor = analista",IF(H10="Sem lacuna (verificado)","Sem lacuna (verificado)",IF(AND(G10="Sim",LEFT(H10,1)="L"),"Lacuna explicada","Lacuna não explicada"))))))</f>
        <v/>
      </c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6">
        <f>IF(K11="","",IF(K11&lt;&gt;J11,"Sim","NÃO"))</f>
        <v/>
      </c>
      <c r="M11" s="16">
        <f>IF(A11="","",IF(AND(D11&lt;&gt;"lacuna",D11&lt;&gt;"verificar"),"Sem pendência",IF(OR(G11="",H11="",K11=""),"Aguarda análise/revisão",IF(L11&lt;&gt;"Sim","NÃO – revisor = analista",IF(H11="Sem lacuna (verificado)","Sem lacuna (verificado)",IF(AND(G11="Sim",LEFT(H11,1)="L"),"Lacuna explicada","Lacuna não explicada"))))))</f>
        <v/>
      </c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6">
        <f>IF(K12="","",IF(K12&lt;&gt;J12,"Sim","NÃO"))</f>
        <v/>
      </c>
      <c r="M12" s="16">
        <f>IF(A12="","",IF(AND(D12&lt;&gt;"lacuna",D12&lt;&gt;"verificar"),"Sem pendência",IF(OR(G12="",H12="",K12=""),"Aguarda análise/revisão",IF(L12&lt;&gt;"Sim","NÃO – revisor = analista",IF(H12="Sem lacuna (verificado)","Sem lacuna (verificado)",IF(AND(G12="Sim",LEFT(H12,1)="L"),"Lacuna explicada","Lacuna não explicada"))))))</f>
        <v/>
      </c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6">
        <f>IF(K13="","",IF(K13&lt;&gt;J13,"Sim","NÃO"))</f>
        <v/>
      </c>
      <c r="M13" s="16">
        <f>IF(A13="","",IF(AND(D13&lt;&gt;"lacuna",D13&lt;&gt;"verificar"),"Sem pendência",IF(OR(G13="",H13="",K13=""),"Aguarda análise/revisão",IF(L13&lt;&gt;"Sim","NÃO – revisor = analista",IF(H13="Sem lacuna (verificado)","Sem lacuna (verificado)",IF(AND(G13="Sim",LEFT(H13,1)="L"),"Lacuna explicada","Lacuna não explicada"))))))</f>
        <v/>
      </c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6">
        <f>IF(K14="","",IF(K14&lt;&gt;J14,"Sim","NÃO"))</f>
        <v/>
      </c>
      <c r="M14" s="16">
        <f>IF(A14="","",IF(AND(D14&lt;&gt;"lacuna",D14&lt;&gt;"verificar"),"Sem pendência",IF(OR(G14="",H14="",K14=""),"Aguarda análise/revisão",IF(L14&lt;&gt;"Sim","NÃO – revisor = analista",IF(H14="Sem lacuna (verificado)","Sem lacuna (verificado)",IF(AND(G14="Sim",LEFT(H14,1)="L"),"Lacuna explicada","Lacuna não explicada"))))))</f>
        <v/>
      </c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6">
        <f>IF(K15="","",IF(K15&lt;&gt;J15,"Sim","NÃO"))</f>
        <v/>
      </c>
      <c r="M15" s="16">
        <f>IF(A15="","",IF(AND(D15&lt;&gt;"lacuna",D15&lt;&gt;"verificar"),"Sem pendência",IF(OR(G15="",H15="",K15=""),"Aguarda análise/revisão",IF(L15&lt;&gt;"Sim","NÃO – revisor = analista",IF(H15="Sem lacuna (verificado)","Sem lacuna (verificado)",IF(AND(G15="Sim",LEFT(H15,1)="L"),"Lacuna explicada","Lacuna não explicada"))))))</f>
        <v/>
      </c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6">
        <f>IF(K16="","",IF(K16&lt;&gt;J16,"Sim","NÃO"))</f>
        <v/>
      </c>
      <c r="M16" s="16">
        <f>IF(A16="","",IF(AND(D16&lt;&gt;"lacuna",D16&lt;&gt;"verificar"),"Sem pendência",IF(OR(G16="",H16="",K16=""),"Aguarda análise/revisão",IF(L16&lt;&gt;"Sim","NÃO – revisor = analista",IF(H16="Sem lacuna (verificado)","Sem lacuna (verificado)",IF(AND(G16="Sim",LEFT(H16,1)="L"),"Lacuna explicada","Lacuna não explicada"))))))</f>
        <v/>
      </c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6">
        <f>IF(K17="","",IF(K17&lt;&gt;J17,"Sim","NÃO"))</f>
        <v/>
      </c>
      <c r="M17" s="16">
        <f>IF(A17="","",IF(AND(D17&lt;&gt;"lacuna",D17&lt;&gt;"verificar"),"Sem pendência",IF(OR(G17="",H17="",K17=""),"Aguarda análise/revisão",IF(L17&lt;&gt;"Sim","NÃO – revisor = analista",IF(H17="Sem lacuna (verificado)","Sem lacuna (verificado)",IF(AND(G17="Sim",LEFT(H17,1)="L"),"Lacuna explicada","Lacuna não explicada"))))))</f>
        <v/>
      </c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6">
        <f>IF(K18="","",IF(K18&lt;&gt;J18,"Sim","NÃO"))</f>
        <v/>
      </c>
      <c r="M18" s="16">
        <f>IF(A18="","",IF(AND(D18&lt;&gt;"lacuna",D18&lt;&gt;"verificar"),"Sem pendência",IF(OR(G18="",H18="",K18=""),"Aguarda análise/revisão",IF(L18&lt;&gt;"Sim","NÃO – revisor = analista",IF(H18="Sem lacuna (verificado)","Sem lacuna (verificado)",IF(AND(G18="Sim",LEFT(H18,1)="L"),"Lacuna explicada","Lacuna não explicada"))))))</f>
        <v/>
      </c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6">
        <f>IF(K19="","",IF(K19&lt;&gt;J19,"Sim","NÃO"))</f>
        <v/>
      </c>
      <c r="M19" s="16">
        <f>IF(A19="","",IF(AND(D19&lt;&gt;"lacuna",D19&lt;&gt;"verificar"),"Sem pendência",IF(OR(G19="",H19="",K19=""),"Aguarda análise/revisão",IF(L19&lt;&gt;"Sim","NÃO – revisor = analista",IF(H19="Sem lacuna (verificado)","Sem lacuna (verificado)",IF(AND(G19="Sim",LEFT(H19,1)="L"),"Lacuna explicada","Lacuna não explicada"))))))</f>
        <v/>
      </c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6">
        <f>IF(K20="","",IF(K20&lt;&gt;J20,"Sim","NÃO"))</f>
        <v/>
      </c>
      <c r="M20" s="16">
        <f>IF(A20="","",IF(AND(D20&lt;&gt;"lacuna",D20&lt;&gt;"verificar"),"Sem pendência",IF(OR(G20="",H20="",K20=""),"Aguarda análise/revisão",IF(L20&lt;&gt;"Sim","NÃO – revisor = analista",IF(H20="Sem lacuna (verificado)","Sem lacuna (verificado)",IF(AND(G20="Sim",LEFT(H20,1)="L"),"Lacuna explicada","Lacuna não explicada"))))))</f>
        <v/>
      </c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6">
        <f>IF(K21="","",IF(K21&lt;&gt;J21,"Sim","NÃO"))</f>
        <v/>
      </c>
      <c r="M21" s="16">
        <f>IF(A21="","",IF(AND(D21&lt;&gt;"lacuna",D21&lt;&gt;"verificar"),"Sem pendência",IF(OR(G21="",H21="",K21=""),"Aguarda análise/revisão",IF(L21&lt;&gt;"Sim","NÃO – revisor = analista",IF(H21="Sem lacuna (verificado)","Sem lacuna (verificado)",IF(AND(G21="Sim",LEFT(H21,1)="L"),"Lacuna explicada","Lacuna não explicada"))))))</f>
        <v/>
      </c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6">
        <f>IF(K22="","",IF(K22&lt;&gt;J22,"Sim","NÃO"))</f>
        <v/>
      </c>
      <c r="M22" s="16">
        <f>IF(A22="","",IF(AND(D22&lt;&gt;"lacuna",D22&lt;&gt;"verificar"),"Sem pendência",IF(OR(G22="",H22="",K22=""),"Aguarda análise/revisão",IF(L22&lt;&gt;"Sim","NÃO – revisor = analista",IF(H22="Sem lacuna (verificado)","Sem lacuna (verificado)",IF(AND(G22="Sim",LEFT(H22,1)="L"),"Lacuna explicada","Lacuna não explicada"))))))</f>
        <v/>
      </c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6">
        <f>IF(K23="","",IF(K23&lt;&gt;J23,"Sim","NÃO"))</f>
        <v/>
      </c>
      <c r="M23" s="16">
        <f>IF(A23="","",IF(AND(D23&lt;&gt;"lacuna",D23&lt;&gt;"verificar"),"Sem pendência",IF(OR(G23="",H23="",K23=""),"Aguarda análise/revisão",IF(L23&lt;&gt;"Sim","NÃO – revisor = analista",IF(H23="Sem lacuna (verificado)","Sem lacuna (verificado)",IF(AND(G23="Sim",LEFT(H23,1)="L"),"Lacuna explicada","Lacuna não explicada"))))))</f>
        <v/>
      </c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6">
        <f>IF(K24="","",IF(K24&lt;&gt;J24,"Sim","NÃO"))</f>
        <v/>
      </c>
      <c r="M24" s="16">
        <f>IF(A24="","",IF(AND(D24&lt;&gt;"lacuna",D24&lt;&gt;"verificar"),"Sem pendência",IF(OR(G24="",H24="",K24=""),"Aguarda análise/revisão",IF(L24&lt;&gt;"Sim","NÃO – revisor = analista",IF(H24="Sem lacuna (verificado)","Sem lacuna (verificado)",IF(AND(G24="Sim",LEFT(H24,1)="L"),"Lacuna explicada","Lacuna não explicada"))))))</f>
        <v/>
      </c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6">
        <f>IF(K25="","",IF(K25&lt;&gt;J25,"Sim","NÃO"))</f>
        <v/>
      </c>
      <c r="M25" s="16">
        <f>IF(A25="","",IF(AND(D25&lt;&gt;"lacuna",D25&lt;&gt;"verificar"),"Sem pendência",IF(OR(G25="",H25="",K25=""),"Aguarda análise/revisão",IF(L25&lt;&gt;"Sim","NÃO – revisor = analista",IF(H25="Sem lacuna (verificado)","Sem lacuna (verificado)",IF(AND(G25="Sim",LEFT(H25,1)="L"),"Lacuna explicada","Lacuna não explicada"))))))</f>
        <v/>
      </c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6">
        <f>IF(K26="","",IF(K26&lt;&gt;J26,"Sim","NÃO"))</f>
        <v/>
      </c>
      <c r="M26" s="16">
        <f>IF(A26="","",IF(AND(D26&lt;&gt;"lacuna",D26&lt;&gt;"verificar"),"Sem pendência",IF(OR(G26="",H26="",K26=""),"Aguarda análise/revisão",IF(L26&lt;&gt;"Sim","NÃO – revisor = analista",IF(H26="Sem lacuna (verificado)","Sem lacuna (verificado)",IF(AND(G26="Sim",LEFT(H26,1)="L"),"Lacuna explicada","Lacuna não explicada"))))))</f>
        <v/>
      </c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6">
        <f>IF(K27="","",IF(K27&lt;&gt;J27,"Sim","NÃO"))</f>
        <v/>
      </c>
      <c r="M27" s="16">
        <f>IF(A27="","",IF(AND(D27&lt;&gt;"lacuna",D27&lt;&gt;"verificar"),"Sem pendência",IF(OR(G27="",H27="",K27=""),"Aguarda análise/revisão",IF(L27&lt;&gt;"Sim","NÃO – revisor = analista",IF(H27="Sem lacuna (verificado)","Sem lacuna (verificado)",IF(AND(G27="Sim",LEFT(H27,1)="L"),"Lacuna explicada","Lacuna não explicada"))))))</f>
        <v/>
      </c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6">
        <f>IF(K28="","",IF(K28&lt;&gt;J28,"Sim","NÃO"))</f>
        <v/>
      </c>
      <c r="M28" s="16">
        <f>IF(A28="","",IF(AND(D28&lt;&gt;"lacuna",D28&lt;&gt;"verificar"),"Sem pendência",IF(OR(G28="",H28="",K28=""),"Aguarda análise/revisão",IF(L28&lt;&gt;"Sim","NÃO – revisor = analista",IF(H28="Sem lacuna (verificado)","Sem lacuna (verificado)",IF(AND(G28="Sim",LEFT(H28,1)="L"),"Lacuna explicada","Lacuna não explicada"))))))</f>
        <v/>
      </c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6">
        <f>IF(K29="","",IF(K29&lt;&gt;J29,"Sim","NÃO"))</f>
        <v/>
      </c>
      <c r="M29" s="16">
        <f>IF(A29="","",IF(AND(D29&lt;&gt;"lacuna",D29&lt;&gt;"verificar"),"Sem pendência",IF(OR(G29="",H29="",K29=""),"Aguarda análise/revisão",IF(L29&lt;&gt;"Sim","NÃO – revisor = analista",IF(H29="Sem lacuna (verificado)","Sem lacuna (verificado)",IF(AND(G29="Sim",LEFT(H29,1)="L"),"Lacuna explicada","Lacuna não explicada"))))))</f>
        <v/>
      </c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6">
        <f>IF(K30="","",IF(K30&lt;&gt;J30,"Sim","NÃO"))</f>
        <v/>
      </c>
      <c r="M30" s="16">
        <f>IF(A30="","",IF(AND(D30&lt;&gt;"lacuna",D30&lt;&gt;"verificar"),"Sem pendência",IF(OR(G30="",H30="",K30=""),"Aguarda análise/revisão",IF(L30&lt;&gt;"Sim","NÃO – revisor = analista",IF(H30="Sem lacuna (verificado)","Sem lacuna (verificado)",IF(AND(G30="Sim",LEFT(H30,1)="L"),"Lacuna explicada","Lacuna não explicada"))))))</f>
        <v/>
      </c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6">
        <f>IF(K31="","",IF(K31&lt;&gt;J31,"Sim","NÃO"))</f>
        <v/>
      </c>
      <c r="M31" s="16">
        <f>IF(A31="","",IF(AND(D31&lt;&gt;"lacuna",D31&lt;&gt;"verificar"),"Sem pendência",IF(OR(G31="",H31="",K31=""),"Aguarda análise/revisão",IF(L31&lt;&gt;"Sim","NÃO – revisor = analista",IF(H31="Sem lacuna (verificado)","Sem lacuna (verificado)",IF(AND(G31="Sim",LEFT(H31,1)="L"),"Lacuna explicada","Lacuna não explicada"))))))</f>
        <v/>
      </c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6">
        <f>IF(K32="","",IF(K32&lt;&gt;J32,"Sim","NÃO"))</f>
        <v/>
      </c>
      <c r="M32" s="16">
        <f>IF(A32="","",IF(AND(D32&lt;&gt;"lacuna",D32&lt;&gt;"verificar"),"Sem pendência",IF(OR(G32="",H32="",K32=""),"Aguarda análise/revisão",IF(L32&lt;&gt;"Sim","NÃO – revisor = analista",IF(H32="Sem lacuna (verificado)","Sem lacuna (verificado)",IF(AND(G32="Sim",LEFT(H32,1)="L"),"Lacuna explicada","Lacuna não explicada"))))))</f>
        <v/>
      </c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6">
        <f>IF(K33="","",IF(K33&lt;&gt;J33,"Sim","NÃO"))</f>
        <v/>
      </c>
      <c r="M33" s="16">
        <f>IF(A33="","",IF(AND(D33&lt;&gt;"lacuna",D33&lt;&gt;"verificar"),"Sem pendência",IF(OR(G33="",H33="",K33=""),"Aguarda análise/revisão",IF(L33&lt;&gt;"Sim","NÃO – revisor = analista",IF(H33="Sem lacuna (verificado)","Sem lacuna (verificado)",IF(AND(G33="Sim",LEFT(H33,1)="L"),"Lacuna explicada","Lacuna não explicada"))))))</f>
        <v/>
      </c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6">
        <f>IF(K34="","",IF(K34&lt;&gt;J34,"Sim","NÃO"))</f>
        <v/>
      </c>
      <c r="M34" s="16">
        <f>IF(A34="","",IF(AND(D34&lt;&gt;"lacuna",D34&lt;&gt;"verificar"),"Sem pendência",IF(OR(G34="",H34="",K34=""),"Aguarda análise/revisão",IF(L34&lt;&gt;"Sim","NÃO – revisor = analista",IF(H34="Sem lacuna (verificado)","Sem lacuna (verificado)",IF(AND(G34="Sim",LEFT(H34,1)="L"),"Lacuna explicada","Lacuna não explicada"))))))</f>
        <v/>
      </c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6">
        <f>IF(K35="","",IF(K35&lt;&gt;J35,"Sim","NÃO"))</f>
        <v/>
      </c>
      <c r="M35" s="16">
        <f>IF(A35="","",IF(AND(D35&lt;&gt;"lacuna",D35&lt;&gt;"verificar"),"Sem pendência",IF(OR(G35="",H35="",K35=""),"Aguarda análise/revisão",IF(L35&lt;&gt;"Sim","NÃO – revisor = analista",IF(H35="Sem lacuna (verificado)","Sem lacuna (verificado)",IF(AND(G35="Sim",LEFT(H35,1)="L"),"Lacuna explicada","Lacuna não explicada"))))))</f>
        <v/>
      </c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6">
        <f>IF(K36="","",IF(K36&lt;&gt;J36,"Sim","NÃO"))</f>
        <v/>
      </c>
      <c r="M36" s="16">
        <f>IF(A36="","",IF(AND(D36&lt;&gt;"lacuna",D36&lt;&gt;"verificar"),"Sem pendência",IF(OR(G36="",H36="",K36=""),"Aguarda análise/revisão",IF(L36&lt;&gt;"Sim","NÃO – revisor = analista",IF(H36="Sem lacuna (verificado)","Sem lacuna (verificado)",IF(AND(G36="Sim",LEFT(H36,1)="L"),"Lacuna explicada","Lacuna não explicada"))))))</f>
        <v/>
      </c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6">
        <f>IF(K37="","",IF(K37&lt;&gt;J37,"Sim","NÃO"))</f>
        <v/>
      </c>
      <c r="M37" s="16">
        <f>IF(A37="","",IF(AND(D37&lt;&gt;"lacuna",D37&lt;&gt;"verificar"),"Sem pendência",IF(OR(G37="",H37="",K37=""),"Aguarda análise/revisão",IF(L37&lt;&gt;"Sim","NÃO – revisor = analista",IF(H37="Sem lacuna (verificado)","Sem lacuna (verificado)",IF(AND(G37="Sim",LEFT(H37,1)="L"),"Lacuna explicada","Lacuna não explicada"))))))</f>
        <v/>
      </c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6">
        <f>IF(K38="","",IF(K38&lt;&gt;J38,"Sim","NÃO"))</f>
        <v/>
      </c>
      <c r="M38" s="16">
        <f>IF(A38="","",IF(AND(D38&lt;&gt;"lacuna",D38&lt;&gt;"verificar"),"Sem pendência",IF(OR(G38="",H38="",K38=""),"Aguarda análise/revisão",IF(L38&lt;&gt;"Sim","NÃO – revisor = analista",IF(H38="Sem lacuna (verificado)","Sem lacuna (verificado)",IF(AND(G38="Sim",LEFT(H38,1)="L"),"Lacuna explicada","Lacuna não explicada"))))))</f>
        <v/>
      </c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6">
        <f>IF(K39="","",IF(K39&lt;&gt;J39,"Sim","NÃO"))</f>
        <v/>
      </c>
      <c r="M39" s="16">
        <f>IF(A39="","",IF(AND(D39&lt;&gt;"lacuna",D39&lt;&gt;"verificar"),"Sem pendência",IF(OR(G39="",H39="",K39=""),"Aguarda análise/revisão",IF(L39&lt;&gt;"Sim","NÃO – revisor = analista",IF(H39="Sem lacuna (verificado)","Sem lacuna (verificado)",IF(AND(G39="Sim",LEFT(H39,1)="L"),"Lacuna explicada","Lacuna não explicada"))))))</f>
        <v/>
      </c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6">
        <f>IF(K40="","",IF(K40&lt;&gt;J40,"Sim","NÃO"))</f>
        <v/>
      </c>
      <c r="M40" s="16">
        <f>IF(A40="","",IF(AND(D40&lt;&gt;"lacuna",D40&lt;&gt;"verificar"),"Sem pendência",IF(OR(G40="",H40="",K40=""),"Aguarda análise/revisão",IF(L40&lt;&gt;"Sim","NÃO – revisor = analista",IF(H40="Sem lacuna (verificado)","Sem lacuna (verificado)",IF(AND(G40="Sim",LEFT(H40,1)="L"),"Lacuna explicada","Lacuna não explicada"))))))</f>
        <v/>
      </c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6">
        <f>IF(K41="","",IF(K41&lt;&gt;J41,"Sim","NÃO"))</f>
        <v/>
      </c>
      <c r="M41" s="16">
        <f>IF(A41="","",IF(AND(D41&lt;&gt;"lacuna",D41&lt;&gt;"verificar"),"Sem pendência",IF(OR(G41="",H41="",K41=""),"Aguarda análise/revisão",IF(L41&lt;&gt;"Sim","NÃO – revisor = analista",IF(H41="Sem lacuna (verificado)","Sem lacuna (verificado)",IF(AND(G41="Sim",LEFT(H41,1)="L"),"Lacuna explicada","Lacuna não explicada"))))))</f>
        <v/>
      </c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6">
        <f>IF(K42="","",IF(K42&lt;&gt;J42,"Sim","NÃO"))</f>
        <v/>
      </c>
      <c r="M42" s="16">
        <f>IF(A42="","",IF(AND(D42&lt;&gt;"lacuna",D42&lt;&gt;"verificar"),"Sem pendência",IF(OR(G42="",H42="",K42=""),"Aguarda análise/revisão",IF(L42&lt;&gt;"Sim","NÃO – revisor = analista",IF(H42="Sem lacuna (verificado)","Sem lacuna (verificado)",IF(AND(G42="Sim",LEFT(H42,1)="L"),"Lacuna explicada","Lacuna não explicada"))))))</f>
        <v/>
      </c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6">
        <f>IF(K43="","",IF(K43&lt;&gt;J43,"Sim","NÃO"))</f>
        <v/>
      </c>
      <c r="M43" s="16">
        <f>IF(A43="","",IF(AND(D43&lt;&gt;"lacuna",D43&lt;&gt;"verificar"),"Sem pendência",IF(OR(G43="",H43="",K43=""),"Aguarda análise/revisão",IF(L43&lt;&gt;"Sim","NÃO – revisor = analista",IF(H43="Sem lacuna (verificado)","Sem lacuna (verificado)",IF(AND(G43="Sim",LEFT(H43,1)="L"),"Lacuna explicada","Lacuna não explicada"))))))</f>
        <v/>
      </c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6">
        <f>IF(K44="","",IF(K44&lt;&gt;J44,"Sim","NÃO"))</f>
        <v/>
      </c>
      <c r="M44" s="16">
        <f>IF(A44="","",IF(AND(D44&lt;&gt;"lacuna",D44&lt;&gt;"verificar"),"Sem pendência",IF(OR(G44="",H44="",K44=""),"Aguarda análise/revisão",IF(L44&lt;&gt;"Sim","NÃO – revisor = analista",IF(H44="Sem lacuna (verificado)","Sem lacuna (verificado)",IF(AND(G44="Sim",LEFT(H44,1)="L"),"Lacuna explicada","Lacuna não explicada"))))))</f>
        <v/>
      </c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6">
        <f>IF(K45="","",IF(K45&lt;&gt;J45,"Sim","NÃO"))</f>
        <v/>
      </c>
      <c r="M45" s="16">
        <f>IF(A45="","",IF(AND(D45&lt;&gt;"lacuna",D45&lt;&gt;"verificar"),"Sem pendência",IF(OR(G45="",H45="",K45=""),"Aguarda análise/revisão",IF(L45&lt;&gt;"Sim","NÃO – revisor = analista",IF(H45="Sem lacuna (verificado)","Sem lacuna (verificado)",IF(AND(G45="Sim",LEFT(H45,1)="L"),"Lacuna explicada","Lacuna não explicada"))))))</f>
        <v/>
      </c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6">
        <f>IF(K46="","",IF(K46&lt;&gt;J46,"Sim","NÃO"))</f>
        <v/>
      </c>
      <c r="M46" s="16">
        <f>IF(A46="","",IF(AND(D46&lt;&gt;"lacuna",D46&lt;&gt;"verificar"),"Sem pendência",IF(OR(G46="",H46="",K46=""),"Aguarda análise/revisão",IF(L46&lt;&gt;"Sim","NÃO – revisor = analista",IF(H46="Sem lacuna (verificado)","Sem lacuna (verificado)",IF(AND(G46="Sim",LEFT(H46,1)="L"),"Lacuna explicada","Lacuna não explicada"))))))</f>
        <v/>
      </c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6">
        <f>IF(K47="","",IF(K47&lt;&gt;J47,"Sim","NÃO"))</f>
        <v/>
      </c>
      <c r="M47" s="16">
        <f>IF(A47="","",IF(AND(D47&lt;&gt;"lacuna",D47&lt;&gt;"verificar"),"Sem pendência",IF(OR(G47="",H47="",K47=""),"Aguarda análise/revisão",IF(L47&lt;&gt;"Sim","NÃO – revisor = analista",IF(H47="Sem lacuna (verificado)","Sem lacuna (verificado)",IF(AND(G47="Sim",LEFT(H47,1)="L"),"Lacuna explicada","Lacuna não explicada"))))))</f>
        <v/>
      </c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6">
        <f>IF(K48="","",IF(K48&lt;&gt;J48,"Sim","NÃO"))</f>
        <v/>
      </c>
      <c r="M48" s="16">
        <f>IF(A48="","",IF(AND(D48&lt;&gt;"lacuna",D48&lt;&gt;"verificar"),"Sem pendência",IF(OR(G48="",H48="",K48=""),"Aguarda análise/revisão",IF(L48&lt;&gt;"Sim","NÃO – revisor = analista",IF(H48="Sem lacuna (verificado)","Sem lacuna (verificado)",IF(AND(G48="Sim",LEFT(H48,1)="L"),"Lacuna explicada","Lacuna não explicada"))))))</f>
        <v/>
      </c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6">
        <f>IF(K49="","",IF(K49&lt;&gt;J49,"Sim","NÃO"))</f>
        <v/>
      </c>
      <c r="M49" s="16">
        <f>IF(A49="","",IF(AND(D49&lt;&gt;"lacuna",D49&lt;&gt;"verificar"),"Sem pendência",IF(OR(G49="",H49="",K49=""),"Aguarda análise/revisão",IF(L49&lt;&gt;"Sim","NÃO – revisor = analista",IF(H49="Sem lacuna (verificado)","Sem lacuna (verificado)",IF(AND(G49="Sim",LEFT(H49,1)="L"),"Lacuna explicada","Lacuna não explicada"))))))</f>
        <v/>
      </c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6">
        <f>IF(K50="","",IF(K50&lt;&gt;J50,"Sim","NÃO"))</f>
        <v/>
      </c>
      <c r="M50" s="16">
        <f>IF(A50="","",IF(AND(D50&lt;&gt;"lacuna",D50&lt;&gt;"verificar"),"Sem pendência",IF(OR(G50="",H50="",K50=""),"Aguarda análise/revisão",IF(L50&lt;&gt;"Sim","NÃO – revisor = analista",IF(H50="Sem lacuna (verificado)","Sem lacuna (verificado)",IF(AND(G50="Sim",LEFT(H50,1)="L"),"Lacuna explicada","Lacuna não explicada"))))))</f>
        <v/>
      </c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6">
        <f>IF(K51="","",IF(K51&lt;&gt;J51,"Sim","NÃO"))</f>
        <v/>
      </c>
      <c r="M51" s="16">
        <f>IF(A51="","",IF(AND(D51&lt;&gt;"lacuna",D51&lt;&gt;"verificar"),"Sem pendência",IF(OR(G51="",H51="",K51=""),"Aguarda análise/revisão",IF(L51&lt;&gt;"Sim","NÃO – revisor = analista",IF(H51="Sem lacuna (verificado)","Sem lacuna (verificado)",IF(AND(G51="Sim",LEFT(H51,1)="L"),"Lacuna explicada","Lacuna não explicada"))))))</f>
        <v/>
      </c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6">
        <f>IF(K52="","",IF(K52&lt;&gt;J52,"Sim","NÃO"))</f>
        <v/>
      </c>
      <c r="M52" s="16">
        <f>IF(A52="","",IF(AND(D52&lt;&gt;"lacuna",D52&lt;&gt;"verificar"),"Sem pendência",IF(OR(G52="",H52="",K52=""),"Aguarda análise/revisão",IF(L52&lt;&gt;"Sim","NÃO – revisor = analista",IF(H52="Sem lacuna (verificado)","Sem lacuna (verificado)",IF(AND(G52="Sim",LEFT(H52,1)="L"),"Lacuna explicada","Lacuna não explicada"))))))</f>
        <v/>
      </c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6">
        <f>IF(K53="","",IF(K53&lt;&gt;J53,"Sim","NÃO"))</f>
        <v/>
      </c>
      <c r="M53" s="16">
        <f>IF(A53="","",IF(AND(D53&lt;&gt;"lacuna",D53&lt;&gt;"verificar"),"Sem pendência",IF(OR(G53="",H53="",K53=""),"Aguarda análise/revisão",IF(L53&lt;&gt;"Sim","NÃO – revisor = analista",IF(H53="Sem lacuna (verificado)","Sem lacuna (verificado)",IF(AND(G53="Sim",LEFT(H53,1)="L"),"Lacuna explicada","Lacuna não explicada"))))))</f>
        <v/>
      </c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6">
        <f>IF(K54="","",IF(K54&lt;&gt;J54,"Sim","NÃO"))</f>
        <v/>
      </c>
      <c r="M54" s="16">
        <f>IF(A54="","",IF(AND(D54&lt;&gt;"lacuna",D54&lt;&gt;"verificar"),"Sem pendência",IF(OR(G54="",H54="",K54=""),"Aguarda análise/revisão",IF(L54&lt;&gt;"Sim","NÃO – revisor = analista",IF(H54="Sem lacuna (verificado)","Sem lacuna (verificado)",IF(AND(G54="Sim",LEFT(H54,1)="L"),"Lacuna explicada","Lacuna não explicada"))))))</f>
        <v/>
      </c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6">
        <f>IF(K55="","",IF(K55&lt;&gt;J55,"Sim","NÃO"))</f>
        <v/>
      </c>
      <c r="M55" s="16">
        <f>IF(A55="","",IF(AND(D55&lt;&gt;"lacuna",D55&lt;&gt;"verificar"),"Sem pendência",IF(OR(G55="",H55="",K55=""),"Aguarda análise/revisão",IF(L55&lt;&gt;"Sim","NÃO – revisor = analista",IF(H55="Sem lacuna (verificado)","Sem lacuna (verificado)",IF(AND(G55="Sim",LEFT(H55,1)="L"),"Lacuna explicada","Lacuna não explicada"))))))</f>
        <v/>
      </c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6">
        <f>IF(K56="","",IF(K56&lt;&gt;J56,"Sim","NÃO"))</f>
        <v/>
      </c>
      <c r="M56" s="16">
        <f>IF(A56="","",IF(AND(D56&lt;&gt;"lacuna",D56&lt;&gt;"verificar"),"Sem pendência",IF(OR(G56="",H56="",K56=""),"Aguarda análise/revisão",IF(L56&lt;&gt;"Sim","NÃO – revisor = analista",IF(H56="Sem lacuna (verificado)","Sem lacuna (verificado)",IF(AND(G56="Sim",LEFT(H56,1)="L"),"Lacuna explicada","Lacuna não explicada"))))))</f>
        <v/>
      </c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6">
        <f>IF(K57="","",IF(K57&lt;&gt;J57,"Sim","NÃO"))</f>
        <v/>
      </c>
      <c r="M57" s="16">
        <f>IF(A57="","",IF(AND(D57&lt;&gt;"lacuna",D57&lt;&gt;"verificar"),"Sem pendência",IF(OR(G57="",H57="",K57=""),"Aguarda análise/revisão",IF(L57&lt;&gt;"Sim","NÃO – revisor = analista",IF(H57="Sem lacuna (verificado)","Sem lacuna (verificado)",IF(AND(G57="Sim",LEFT(H57,1)="L"),"Lacuna explicada","Lacuna não explicada"))))))</f>
        <v/>
      </c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6">
        <f>IF(K58="","",IF(K58&lt;&gt;J58,"Sim","NÃO"))</f>
        <v/>
      </c>
      <c r="M58" s="16">
        <f>IF(A58="","",IF(AND(D58&lt;&gt;"lacuna",D58&lt;&gt;"verificar"),"Sem pendência",IF(OR(G58="",H58="",K58=""),"Aguarda análise/revisão",IF(L58&lt;&gt;"Sim","NÃO – revisor = analista",IF(H58="Sem lacuna (verificado)","Sem lacuna (verificado)",IF(AND(G58="Sim",LEFT(H58,1)="L"),"Lacuna explicada","Lacuna não explicada"))))))</f>
        <v/>
      </c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6">
        <f>IF(K59="","",IF(K59&lt;&gt;J59,"Sim","NÃO"))</f>
        <v/>
      </c>
      <c r="M59" s="16">
        <f>IF(A59="","",IF(AND(D59&lt;&gt;"lacuna",D59&lt;&gt;"verificar"),"Sem pendência",IF(OR(G59="",H59="",K59=""),"Aguarda análise/revisão",IF(L59&lt;&gt;"Sim","NÃO – revisor = analista",IF(H59="Sem lacuna (verificado)","Sem lacuna (verificado)",IF(AND(G59="Sim",LEFT(H59,1)="L"),"Lacuna explicada","Lacuna não explicada"))))))</f>
        <v/>
      </c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6">
        <f>IF(K60="","",IF(K60&lt;&gt;J60,"Sim","NÃO"))</f>
        <v/>
      </c>
      <c r="M60" s="16">
        <f>IF(A60="","",IF(AND(D60&lt;&gt;"lacuna",D60&lt;&gt;"verificar"),"Sem pendência",IF(OR(G60="",H60="",K60=""),"Aguarda análise/revisão",IF(L60&lt;&gt;"Sim","NÃO – revisor = analista",IF(H60="Sem lacuna (verificado)","Sem lacuna (verificado)",IF(AND(G60="Sim",LEFT(H60,1)="L"),"Lacuna explicada","Lacuna não explicada"))))))</f>
        <v/>
      </c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6">
        <f>IF(K61="","",IF(K61&lt;&gt;J61,"Sim","NÃO"))</f>
        <v/>
      </c>
      <c r="M61" s="16">
        <f>IF(A61="","",IF(AND(D61&lt;&gt;"lacuna",D61&lt;&gt;"verificar"),"Sem pendência",IF(OR(G61="",H61="",K61=""),"Aguarda análise/revisão",IF(L61&lt;&gt;"Sim","NÃO – revisor = analista",IF(H61="Sem lacuna (verificado)","Sem lacuna (verificado)",IF(AND(G61="Sim",LEFT(H61,1)="L"),"Lacuna explicada","Lacuna não explicada"))))))</f>
        <v/>
      </c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6">
        <f>IF(K62="","",IF(K62&lt;&gt;J62,"Sim","NÃO"))</f>
        <v/>
      </c>
      <c r="M62" s="16">
        <f>IF(A62="","",IF(AND(D62&lt;&gt;"lacuna",D62&lt;&gt;"verificar"),"Sem pendência",IF(OR(G62="",H62="",K62=""),"Aguarda análise/revisão",IF(L62&lt;&gt;"Sim","NÃO – revisor = analista",IF(H62="Sem lacuna (verificado)","Sem lacuna (verificado)",IF(AND(G62="Sim",LEFT(H62,1)="L"),"Lacuna explicada","Lacuna não explicada"))))))</f>
        <v/>
      </c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6">
        <f>IF(K63="","",IF(K63&lt;&gt;J63,"Sim","NÃO"))</f>
        <v/>
      </c>
      <c r="M63" s="16">
        <f>IF(A63="","",IF(AND(D63&lt;&gt;"lacuna",D63&lt;&gt;"verificar"),"Sem pendência",IF(OR(G63="",H63="",K63=""),"Aguarda análise/revisão",IF(L63&lt;&gt;"Sim","NÃO – revisor = analista",IF(H63="Sem lacuna (verificado)","Sem lacuna (verificado)",IF(AND(G63="Sim",LEFT(H63,1)="L"),"Lacuna explicada","Lacuna não explicada"))))))</f>
        <v/>
      </c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6">
        <f>IF(K64="","",IF(K64&lt;&gt;J64,"Sim","NÃO"))</f>
        <v/>
      </c>
      <c r="M64" s="16">
        <f>IF(A64="","",IF(AND(D64&lt;&gt;"lacuna",D64&lt;&gt;"verificar"),"Sem pendência",IF(OR(G64="",H64="",K64=""),"Aguarda análise/revisão",IF(L64&lt;&gt;"Sim","NÃO – revisor = analista",IF(H64="Sem lacuna (verificado)","Sem lacuna (verificado)",IF(AND(G64="Sim",LEFT(H64,1)="L"),"Lacuna explicada","Lacuna não explicada"))))))</f>
        <v/>
      </c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6">
        <f>IF(K65="","",IF(K65&lt;&gt;J65,"Sim","NÃO"))</f>
        <v/>
      </c>
      <c r="M65" s="16">
        <f>IF(A65="","",IF(AND(D65&lt;&gt;"lacuna",D65&lt;&gt;"verificar"),"Sem pendência",IF(OR(G65="",H65="",K65=""),"Aguarda análise/revisão",IF(L65&lt;&gt;"Sim","NÃO – revisor = analista",IF(H65="Sem lacuna (verificado)","Sem lacuna (verificado)",IF(AND(G65="Sim",LEFT(H65,1)="L"),"Lacuna explicada","Lacuna não explicada"))))))</f>
        <v/>
      </c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6">
        <f>IF(K66="","",IF(K66&lt;&gt;J66,"Sim","NÃO"))</f>
        <v/>
      </c>
      <c r="M66" s="16">
        <f>IF(A66="","",IF(AND(D66&lt;&gt;"lacuna",D66&lt;&gt;"verificar"),"Sem pendência",IF(OR(G66="",H66="",K66=""),"Aguarda análise/revisão",IF(L66&lt;&gt;"Sim","NÃO – revisor = analista",IF(H66="Sem lacuna (verificado)","Sem lacuna (verificado)",IF(AND(G66="Sim",LEFT(H66,1)="L"),"Lacuna explicada","Lacuna não explicada"))))))</f>
        <v/>
      </c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6">
        <f>IF(K67="","",IF(K67&lt;&gt;J67,"Sim","NÃO"))</f>
        <v/>
      </c>
      <c r="M67" s="16">
        <f>IF(A67="","",IF(AND(D67&lt;&gt;"lacuna",D67&lt;&gt;"verificar"),"Sem pendência",IF(OR(G67="",H67="",K67=""),"Aguarda análise/revisão",IF(L67&lt;&gt;"Sim","NÃO – revisor = analista",IF(H67="Sem lacuna (verificado)","Sem lacuna (verificado)",IF(AND(G67="Sim",LEFT(H67,1)="L"),"Lacuna explicada","Lacuna não explicada"))))))</f>
        <v/>
      </c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6">
        <f>IF(K68="","",IF(K68&lt;&gt;J68,"Sim","NÃO"))</f>
        <v/>
      </c>
      <c r="M68" s="16">
        <f>IF(A68="","",IF(AND(D68&lt;&gt;"lacuna",D68&lt;&gt;"verificar"),"Sem pendência",IF(OR(G68="",H68="",K68=""),"Aguarda análise/revisão",IF(L68&lt;&gt;"Sim","NÃO – revisor = analista",IF(H68="Sem lacuna (verificado)","Sem lacuna (verificado)",IF(AND(G68="Sim",LEFT(H68,1)="L"),"Lacuna explicada","Lacuna não explicada"))))))</f>
        <v/>
      </c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6">
        <f>IF(K69="","",IF(K69&lt;&gt;J69,"Sim","NÃO"))</f>
        <v/>
      </c>
      <c r="M69" s="16">
        <f>IF(A69="","",IF(AND(D69&lt;&gt;"lacuna",D69&lt;&gt;"verificar"),"Sem pendência",IF(OR(G69="",H69="",K69=""),"Aguarda análise/revisão",IF(L69&lt;&gt;"Sim","NÃO – revisor = analista",IF(H69="Sem lacuna (verificado)","Sem lacuna (verificado)",IF(AND(G69="Sim",LEFT(H69,1)="L"),"Lacuna explicada","Lacuna não explicada"))))))</f>
        <v/>
      </c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6">
        <f>IF(K70="","",IF(K70&lt;&gt;J70,"Sim","NÃO"))</f>
        <v/>
      </c>
      <c r="M70" s="16">
        <f>IF(A70="","",IF(AND(D70&lt;&gt;"lacuna",D70&lt;&gt;"verificar"),"Sem pendência",IF(OR(G70="",H70="",K70=""),"Aguarda análise/revisão",IF(L70&lt;&gt;"Sim","NÃO – revisor = analista",IF(H70="Sem lacuna (verificado)","Sem lacuna (verificado)",IF(AND(G70="Sim",LEFT(H70,1)="L"),"Lacuna explicada","Lacuna não explicada"))))))</f>
        <v/>
      </c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6">
        <f>IF(K71="","",IF(K71&lt;&gt;J71,"Sim","NÃO"))</f>
        <v/>
      </c>
      <c r="M71" s="16">
        <f>IF(A71="","",IF(AND(D71&lt;&gt;"lacuna",D71&lt;&gt;"verificar"),"Sem pendência",IF(OR(G71="",H71="",K71=""),"Aguarda análise/revisão",IF(L71&lt;&gt;"Sim","NÃO – revisor = analista",IF(H71="Sem lacuna (verificado)","Sem lacuna (verificado)",IF(AND(G71="Sim",LEFT(H71,1)="L"),"Lacuna explicada","Lacuna não explicada"))))))</f>
        <v/>
      </c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6">
        <f>IF(K72="","",IF(K72&lt;&gt;J72,"Sim","NÃO"))</f>
        <v/>
      </c>
      <c r="M72" s="16">
        <f>IF(A72="","",IF(AND(D72&lt;&gt;"lacuna",D72&lt;&gt;"verificar"),"Sem pendência",IF(OR(G72="",H72="",K72=""),"Aguarda análise/revisão",IF(L72&lt;&gt;"Sim","NÃO – revisor = analista",IF(H72="Sem lacuna (verificado)","Sem lacuna (verificado)",IF(AND(G72="Sim",LEFT(H72,1)="L"),"Lacuna explicada","Lacuna não explicada"))))))</f>
        <v/>
      </c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6">
        <f>IF(K73="","",IF(K73&lt;&gt;J73,"Sim","NÃO"))</f>
        <v/>
      </c>
      <c r="M73" s="16">
        <f>IF(A73="","",IF(AND(D73&lt;&gt;"lacuna",D73&lt;&gt;"verificar"),"Sem pendência",IF(OR(G73="",H73="",K73=""),"Aguarda análise/revisão",IF(L73&lt;&gt;"Sim","NÃO – revisor = analista",IF(H73="Sem lacuna (verificado)","Sem lacuna (verificado)",IF(AND(G73="Sim",LEFT(H73,1)="L"),"Lacuna explicada","Lacuna não explicada"))))))</f>
        <v/>
      </c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6">
        <f>IF(K74="","",IF(K74&lt;&gt;J74,"Sim","NÃO"))</f>
        <v/>
      </c>
      <c r="M74" s="16">
        <f>IF(A74="","",IF(AND(D74&lt;&gt;"lacuna",D74&lt;&gt;"verificar"),"Sem pendência",IF(OR(G74="",H74="",K74=""),"Aguarda análise/revisão",IF(L74&lt;&gt;"Sim","NÃO – revisor = analista",IF(H74="Sem lacuna (verificado)","Sem lacuna (verificado)",IF(AND(G74="Sim",LEFT(H74,1)="L"),"Lacuna explicada","Lacuna não explicada"))))))</f>
        <v/>
      </c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6">
        <f>IF(K75="","",IF(K75&lt;&gt;J75,"Sim","NÃO"))</f>
        <v/>
      </c>
      <c r="M75" s="16">
        <f>IF(A75="","",IF(AND(D75&lt;&gt;"lacuna",D75&lt;&gt;"verificar"),"Sem pendência",IF(OR(G75="",H75="",K75=""),"Aguarda análise/revisão",IF(L75&lt;&gt;"Sim","NÃO – revisor = analista",IF(H75="Sem lacuna (verificado)","Sem lacuna (verificado)",IF(AND(G75="Sim",LEFT(H75,1)="L"),"Lacuna explicada","Lacuna não explicada"))))))</f>
        <v/>
      </c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6">
        <f>IF(K76="","",IF(K76&lt;&gt;J76,"Sim","NÃO"))</f>
        <v/>
      </c>
      <c r="M76" s="16">
        <f>IF(A76="","",IF(AND(D76&lt;&gt;"lacuna",D76&lt;&gt;"verificar"),"Sem pendência",IF(OR(G76="",H76="",K76=""),"Aguarda análise/revisão",IF(L76&lt;&gt;"Sim","NÃO – revisor = analista",IF(H76="Sem lacuna (verificado)","Sem lacuna (verificado)",IF(AND(G76="Sim",LEFT(H76,1)="L"),"Lacuna explicada","Lacuna não explicada"))))))</f>
        <v/>
      </c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6">
        <f>IF(K77="","",IF(K77&lt;&gt;J77,"Sim","NÃO"))</f>
        <v/>
      </c>
      <c r="M77" s="16">
        <f>IF(A77="","",IF(AND(D77&lt;&gt;"lacuna",D77&lt;&gt;"verificar"),"Sem pendência",IF(OR(G77="",H77="",K77=""),"Aguarda análise/revisão",IF(L77&lt;&gt;"Sim","NÃO – revisor = analista",IF(H77="Sem lacuna (verificado)","Sem lacuna (verificado)",IF(AND(G77="Sim",LEFT(H77,1)="L"),"Lacuna explicada","Lacuna não explicada"))))))</f>
        <v/>
      </c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6">
        <f>IF(K78="","",IF(K78&lt;&gt;J78,"Sim","NÃO"))</f>
        <v/>
      </c>
      <c r="M78" s="16">
        <f>IF(A78="","",IF(AND(D78&lt;&gt;"lacuna",D78&lt;&gt;"verificar"),"Sem pendência",IF(OR(G78="",H78="",K78=""),"Aguarda análise/revisão",IF(L78&lt;&gt;"Sim","NÃO – revisor = analista",IF(H78="Sem lacuna (verificado)","Sem lacuna (verificado)",IF(AND(G78="Sim",LEFT(H78,1)="L"),"Lacuna explicada","Lacuna não explicada"))))))</f>
        <v/>
      </c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6">
        <f>IF(K79="","",IF(K79&lt;&gt;J79,"Sim","NÃO"))</f>
        <v/>
      </c>
      <c r="M79" s="16">
        <f>IF(A79="","",IF(AND(D79&lt;&gt;"lacuna",D79&lt;&gt;"verificar"),"Sem pendência",IF(OR(G79="",H79="",K79=""),"Aguarda análise/revisão",IF(L79&lt;&gt;"Sim","NÃO – revisor = analista",IF(H79="Sem lacuna (verificado)","Sem lacuna (verificado)",IF(AND(G79="Sim",LEFT(H79,1)="L"),"Lacuna explicada","Lacuna não explicada"))))))</f>
        <v/>
      </c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6">
        <f>IF(K80="","",IF(K80&lt;&gt;J80,"Sim","NÃO"))</f>
        <v/>
      </c>
      <c r="M80" s="16">
        <f>IF(A80="","",IF(AND(D80&lt;&gt;"lacuna",D80&lt;&gt;"verificar"),"Sem pendência",IF(OR(G80="",H80="",K80=""),"Aguarda análise/revisão",IF(L80&lt;&gt;"Sim","NÃO – revisor = analista",IF(H80="Sem lacuna (verificado)","Sem lacuna (verificado)",IF(AND(G80="Sim",LEFT(H80,1)="L"),"Lacuna explicada","Lacuna não explicada"))))))</f>
        <v/>
      </c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6">
        <f>IF(K81="","",IF(K81&lt;&gt;J81,"Sim","NÃO"))</f>
        <v/>
      </c>
      <c r="M81" s="16">
        <f>IF(A81="","",IF(AND(D81&lt;&gt;"lacuna",D81&lt;&gt;"verificar"),"Sem pendência",IF(OR(G81="",H81="",K81=""),"Aguarda análise/revisão",IF(L81&lt;&gt;"Sim","NÃO – revisor = analista",IF(H81="Sem lacuna (verificado)","Sem lacuna (verificado)",IF(AND(G81="Sim",LEFT(H81,1)="L"),"Lacuna explicada","Lacuna não explicada"))))))</f>
        <v/>
      </c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6">
        <f>IF(K82="","",IF(K82&lt;&gt;J82,"Sim","NÃO"))</f>
        <v/>
      </c>
      <c r="M82" s="16">
        <f>IF(A82="","",IF(AND(D82&lt;&gt;"lacuna",D82&lt;&gt;"verificar"),"Sem pendência",IF(OR(G82="",H82="",K82=""),"Aguarda análise/revisão",IF(L82&lt;&gt;"Sim","NÃO – revisor = analista",IF(H82="Sem lacuna (verificado)","Sem lacuna (verificado)",IF(AND(G82="Sim",LEFT(H82,1)="L"),"Lacuna explicada","Lacuna não explicada"))))))</f>
        <v/>
      </c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6">
        <f>IF(K83="","",IF(K83&lt;&gt;J83,"Sim","NÃO"))</f>
        <v/>
      </c>
      <c r="M83" s="16">
        <f>IF(A83="","",IF(AND(D83&lt;&gt;"lacuna",D83&lt;&gt;"verificar"),"Sem pendência",IF(OR(G83="",H83="",K83=""),"Aguarda análise/revisão",IF(L83&lt;&gt;"Sim","NÃO – revisor = analista",IF(H83="Sem lacuna (verificado)","Sem lacuna (verificado)",IF(AND(G83="Sim",LEFT(H83,1)="L"),"Lacuna explicada","Lacuna não explicada"))))))</f>
        <v/>
      </c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6">
        <f>IF(K84="","",IF(K84&lt;&gt;J84,"Sim","NÃO"))</f>
        <v/>
      </c>
      <c r="M84" s="16">
        <f>IF(A84="","",IF(AND(D84&lt;&gt;"lacuna",D84&lt;&gt;"verificar"),"Sem pendência",IF(OR(G84="",H84="",K84=""),"Aguarda análise/revisão",IF(L84&lt;&gt;"Sim","NÃO – revisor = analista",IF(H84="Sem lacuna (verificado)","Sem lacuna (verificado)",IF(AND(G84="Sim",LEFT(H84,1)="L"),"Lacuna explicada","Lacuna não explicada"))))))</f>
        <v/>
      </c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6">
        <f>IF(K85="","",IF(K85&lt;&gt;J85,"Sim","NÃO"))</f>
        <v/>
      </c>
      <c r="M85" s="16">
        <f>IF(A85="","",IF(AND(D85&lt;&gt;"lacuna",D85&lt;&gt;"verificar"),"Sem pendência",IF(OR(G85="",H85="",K85=""),"Aguarda análise/revisão",IF(L85&lt;&gt;"Sim","NÃO – revisor = analista",IF(H85="Sem lacuna (verificado)","Sem lacuna (verificado)",IF(AND(G85="Sim",LEFT(H85,1)="L"),"Lacuna explicada","Lacuna não explicada"))))))</f>
        <v/>
      </c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6">
        <f>IF(K86="","",IF(K86&lt;&gt;J86,"Sim","NÃO"))</f>
        <v/>
      </c>
      <c r="M86" s="16">
        <f>IF(A86="","",IF(AND(D86&lt;&gt;"lacuna",D86&lt;&gt;"verificar"),"Sem pendência",IF(OR(G86="",H86="",K86=""),"Aguarda análise/revisão",IF(L86&lt;&gt;"Sim","NÃO – revisor = analista",IF(H86="Sem lacuna (verificado)","Sem lacuna (verificado)",IF(AND(G86="Sim",LEFT(H86,1)="L"),"Lacuna explicada","Lacuna não explicada"))))))</f>
        <v/>
      </c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6">
        <f>IF(K87="","",IF(K87&lt;&gt;J87,"Sim","NÃO"))</f>
        <v/>
      </c>
      <c r="M87" s="16">
        <f>IF(A87="","",IF(AND(D87&lt;&gt;"lacuna",D87&lt;&gt;"verificar"),"Sem pendência",IF(OR(G87="",H87="",K87=""),"Aguarda análise/revisão",IF(L87&lt;&gt;"Sim","NÃO – revisor = analista",IF(H87="Sem lacuna (verificado)","Sem lacuna (verificado)",IF(AND(G87="Sim",LEFT(H87,1)="L"),"Lacuna explicada","Lacuna não explicada"))))))</f>
        <v/>
      </c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6">
        <f>IF(K88="","",IF(K88&lt;&gt;J88,"Sim","NÃO"))</f>
        <v/>
      </c>
      <c r="M88" s="16">
        <f>IF(A88="","",IF(AND(D88&lt;&gt;"lacuna",D88&lt;&gt;"verificar"),"Sem pendência",IF(OR(G88="",H88="",K88=""),"Aguarda análise/revisão",IF(L88&lt;&gt;"Sim","NÃO – revisor = analista",IF(H88="Sem lacuna (verificado)","Sem lacuna (verificado)",IF(AND(G88="Sim",LEFT(H88,1)="L"),"Lacuna explicada","Lacuna não explicada"))))))</f>
        <v/>
      </c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6">
        <f>IF(K89="","",IF(K89&lt;&gt;J89,"Sim","NÃO"))</f>
        <v/>
      </c>
      <c r="M89" s="16">
        <f>IF(A89="","",IF(AND(D89&lt;&gt;"lacuna",D89&lt;&gt;"verificar"),"Sem pendência",IF(OR(G89="",H89="",K89=""),"Aguarda análise/revisão",IF(L89&lt;&gt;"Sim","NÃO – revisor = analista",IF(H89="Sem lacuna (verificado)","Sem lacuna (verificado)",IF(AND(G89="Sim",LEFT(H89,1)="L"),"Lacuna explicada","Lacuna não explicada"))))))</f>
        <v/>
      </c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6">
        <f>IF(K90="","",IF(K90&lt;&gt;J90,"Sim","NÃO"))</f>
        <v/>
      </c>
      <c r="M90" s="16">
        <f>IF(A90="","",IF(AND(D90&lt;&gt;"lacuna",D90&lt;&gt;"verificar"),"Sem pendência",IF(OR(G90="",H90="",K90=""),"Aguarda análise/revisão",IF(L90&lt;&gt;"Sim","NÃO – revisor = analista",IF(H90="Sem lacuna (verificado)","Sem lacuna (verificado)",IF(AND(G90="Sim",LEFT(H90,1)="L"),"Lacuna explicada","Lacuna não explicada"))))))</f>
        <v/>
      </c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6">
        <f>IF(K91="","",IF(K91&lt;&gt;J91,"Sim","NÃO"))</f>
        <v/>
      </c>
      <c r="M91" s="16">
        <f>IF(A91="","",IF(AND(D91&lt;&gt;"lacuna",D91&lt;&gt;"verificar"),"Sem pendência",IF(OR(G91="",H91="",K91=""),"Aguarda análise/revisão",IF(L91&lt;&gt;"Sim","NÃO – revisor = analista",IF(H91="Sem lacuna (verificado)","Sem lacuna (verificado)",IF(AND(G91="Sim",LEFT(H91,1)="L"),"Lacuna explicada","Lacuna não explicada"))))))</f>
        <v/>
      </c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6">
        <f>IF(K92="","",IF(K92&lt;&gt;J92,"Sim","NÃO"))</f>
        <v/>
      </c>
      <c r="M92" s="16">
        <f>IF(A92="","",IF(AND(D92&lt;&gt;"lacuna",D92&lt;&gt;"verificar"),"Sem pendência",IF(OR(G92="",H92="",K92=""),"Aguarda análise/revisão",IF(L92&lt;&gt;"Sim","NÃO – revisor = analista",IF(H92="Sem lacuna (verificado)","Sem lacuna (verificado)",IF(AND(G92="Sim",LEFT(H92,1)="L"),"Lacuna explicada","Lacuna não explicada"))))))</f>
        <v/>
      </c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6">
        <f>IF(K93="","",IF(K93&lt;&gt;J93,"Sim","NÃO"))</f>
        <v/>
      </c>
      <c r="M93" s="16">
        <f>IF(A93="","",IF(AND(D93&lt;&gt;"lacuna",D93&lt;&gt;"verificar"),"Sem pendência",IF(OR(G93="",H93="",K93=""),"Aguarda análise/revisão",IF(L93&lt;&gt;"Sim","NÃO – revisor = analista",IF(H93="Sem lacuna (verificado)","Sem lacuna (verificado)",IF(AND(G93="Sim",LEFT(H93,1)="L"),"Lacuna explicada","Lacuna não explicada"))))))</f>
        <v/>
      </c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6">
        <f>IF(K94="","",IF(K94&lt;&gt;J94,"Sim","NÃO"))</f>
        <v/>
      </c>
      <c r="M94" s="16">
        <f>IF(A94="","",IF(AND(D94&lt;&gt;"lacuna",D94&lt;&gt;"verificar"),"Sem pendência",IF(OR(G94="",H94="",K94=""),"Aguarda análise/revisão",IF(L94&lt;&gt;"Sim","NÃO – revisor = analista",IF(H94="Sem lacuna (verificado)","Sem lacuna (verificado)",IF(AND(G94="Sim",LEFT(H94,1)="L"),"Lacuna explicada","Lacuna não explicada"))))))</f>
        <v/>
      </c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6">
        <f>IF(K95="","",IF(K95&lt;&gt;J95,"Sim","NÃO"))</f>
        <v/>
      </c>
      <c r="M95" s="16">
        <f>IF(A95="","",IF(AND(D95&lt;&gt;"lacuna",D95&lt;&gt;"verificar"),"Sem pendência",IF(OR(G95="",H95="",K95=""),"Aguarda análise/revisão",IF(L95&lt;&gt;"Sim","NÃO – revisor = analista",IF(H95="Sem lacuna (verificado)","Sem lacuna (verificado)",IF(AND(G95="Sim",LEFT(H95,1)="L"),"Lacuna explicada","Lacuna não explicada"))))))</f>
        <v/>
      </c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6">
        <f>IF(K96="","",IF(K96&lt;&gt;J96,"Sim","NÃO"))</f>
        <v/>
      </c>
      <c r="M96" s="16">
        <f>IF(A96="","",IF(AND(D96&lt;&gt;"lacuna",D96&lt;&gt;"verificar"),"Sem pendência",IF(OR(G96="",H96="",K96=""),"Aguarda análise/revisão",IF(L96&lt;&gt;"Sim","NÃO – revisor = analista",IF(H96="Sem lacuna (verificado)","Sem lacuna (verificado)",IF(AND(G96="Sim",LEFT(H96,1)="L"),"Lacuna explicada","Lacuna não explicada"))))))</f>
        <v/>
      </c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6">
        <f>IF(K97="","",IF(K97&lt;&gt;J97,"Sim","NÃO"))</f>
        <v/>
      </c>
      <c r="M97" s="16">
        <f>IF(A97="","",IF(AND(D97&lt;&gt;"lacuna",D97&lt;&gt;"verificar"),"Sem pendência",IF(OR(G97="",H97="",K97=""),"Aguarda análise/revisão",IF(L97&lt;&gt;"Sim","NÃO – revisor = analista",IF(H97="Sem lacuna (verificado)","Sem lacuna (verificado)",IF(AND(G97="Sim",LEFT(H97,1)="L"),"Lacuna explicada","Lacuna não explicada"))))))</f>
        <v/>
      </c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6">
        <f>IF(K98="","",IF(K98&lt;&gt;J98,"Sim","NÃO"))</f>
        <v/>
      </c>
      <c r="M98" s="16">
        <f>IF(A98="","",IF(AND(D98&lt;&gt;"lacuna",D98&lt;&gt;"verificar"),"Sem pendência",IF(OR(G98="",H98="",K98=""),"Aguarda análise/revisão",IF(L98&lt;&gt;"Sim","NÃO – revisor = analista",IF(H98="Sem lacuna (verificado)","Sem lacuna (verificado)",IF(AND(G98="Sim",LEFT(H98,1)="L"),"Lacuna explicada","Lacuna não explicada"))))))</f>
        <v/>
      </c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6">
        <f>IF(K99="","",IF(K99&lt;&gt;J99,"Sim","NÃO"))</f>
        <v/>
      </c>
      <c r="M99" s="16">
        <f>IF(A99="","",IF(AND(D99&lt;&gt;"lacuna",D99&lt;&gt;"verificar"),"Sem pendência",IF(OR(G99="",H99="",K99=""),"Aguarda análise/revisão",IF(L99&lt;&gt;"Sim","NÃO – revisor = analista",IF(H99="Sem lacuna (verificado)","Sem lacuna (verificado)",IF(AND(G99="Sim",LEFT(H99,1)="L"),"Lacuna explicada","Lacuna não explicada"))))))</f>
        <v/>
      </c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6">
        <f>IF(K100="","",IF(K100&lt;&gt;J100,"Sim","NÃO"))</f>
        <v/>
      </c>
      <c r="M100" s="16">
        <f>IF(A100="","",IF(AND(D100&lt;&gt;"lacuna",D100&lt;&gt;"verificar"),"Sem pendência",IF(OR(G100="",H100="",K100=""),"Aguarda análise/revisão",IF(L100&lt;&gt;"Sim","NÃO – revisor = analista",IF(H100="Sem lacuna (verificado)","Sem lacuna (verificado)",IF(AND(G100="Sim",LEFT(H100,1)="L"),"Lacuna explicada","Lacuna não explicada"))))))</f>
        <v/>
      </c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6">
        <f>IF(K101="","",IF(K101&lt;&gt;J101,"Sim","NÃO"))</f>
        <v/>
      </c>
      <c r="M101" s="16">
        <f>IF(A101="","",IF(AND(D101&lt;&gt;"lacuna",D101&lt;&gt;"verificar"),"Sem pendência",IF(OR(G101="",H101="",K101=""),"Aguarda análise/revisão",IF(L101&lt;&gt;"Sim","NÃO – revisor = analista",IF(H101="Sem lacuna (verificado)","Sem lacuna (verificado)",IF(AND(G101="Sim",LEFT(H101,1)="L"),"Lacuna explicada","Lacuna não explicada"))))))</f>
        <v/>
      </c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6">
        <f>IF(K102="","",IF(K102&lt;&gt;J102,"Sim","NÃO"))</f>
        <v/>
      </c>
      <c r="M102" s="16">
        <f>IF(A102="","",IF(AND(D102&lt;&gt;"lacuna",D102&lt;&gt;"verificar"),"Sem pendência",IF(OR(G102="",H102="",K102=""),"Aguarda análise/revisão",IF(L102&lt;&gt;"Sim","NÃO – revisor = analista",IF(H102="Sem lacuna (verificado)","Sem lacuna (verificado)",IF(AND(G102="Sim",LEFT(H102,1)="L"),"Lacuna explicada","Lacuna não explicada"))))))</f>
        <v/>
      </c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6">
        <f>IF(K103="","",IF(K103&lt;&gt;J103,"Sim","NÃO"))</f>
        <v/>
      </c>
      <c r="M103" s="16">
        <f>IF(A103="","",IF(AND(D103&lt;&gt;"lacuna",D103&lt;&gt;"verificar"),"Sem pendência",IF(OR(G103="",H103="",K103=""),"Aguarda análise/revisão",IF(L103&lt;&gt;"Sim","NÃO – revisor = analista",IF(H103="Sem lacuna (verificado)","Sem lacuna (verificado)",IF(AND(G103="Sim",LEFT(H103,1)="L"),"Lacuna explicada","Lacuna não explicada"))))))</f>
        <v/>
      </c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6">
        <f>IF(K104="","",IF(K104&lt;&gt;J104,"Sim","NÃO"))</f>
        <v/>
      </c>
      <c r="M104" s="16">
        <f>IF(A104="","",IF(AND(D104&lt;&gt;"lacuna",D104&lt;&gt;"verificar"),"Sem pendência",IF(OR(G104="",H104="",K104=""),"Aguarda análise/revisão",IF(L104&lt;&gt;"Sim","NÃO – revisor = analista",IF(H104="Sem lacuna (verificado)","Sem lacuna (verificado)",IF(AND(G104="Sim",LEFT(H104,1)="L"),"Lacuna explicada","Lacuna não explicada"))))))</f>
        <v/>
      </c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6">
        <f>IF(K105="","",IF(K105&lt;&gt;J105,"Sim","NÃO"))</f>
        <v/>
      </c>
      <c r="M105" s="16">
        <f>IF(A105="","",IF(AND(D105&lt;&gt;"lacuna",D105&lt;&gt;"verificar"),"Sem pendência",IF(OR(G105="",H105="",K105=""),"Aguarda análise/revisão",IF(L105&lt;&gt;"Sim","NÃO – revisor = analista",IF(H105="Sem lacuna (verificado)","Sem lacuna (verificado)",IF(AND(G105="Sim",LEFT(H105,1)="L"),"Lacuna explicada","Lacuna não explicada"))))))</f>
        <v/>
      </c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6">
        <f>IF(K106="","",IF(K106&lt;&gt;J106,"Sim","NÃO"))</f>
        <v/>
      </c>
      <c r="M106" s="16">
        <f>IF(A106="","",IF(AND(D106&lt;&gt;"lacuna",D106&lt;&gt;"verificar"),"Sem pendência",IF(OR(G106="",H106="",K106=""),"Aguarda análise/revisão",IF(L106&lt;&gt;"Sim","NÃO – revisor = analista",IF(H106="Sem lacuna (verificado)","Sem lacuna (verificado)",IF(AND(G106="Sim",LEFT(H106,1)="L"),"Lacuna explicada","Lacuna não explicada"))))))</f>
        <v/>
      </c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6">
        <f>IF(K107="","",IF(K107&lt;&gt;J107,"Sim","NÃO"))</f>
        <v/>
      </c>
      <c r="M107" s="16">
        <f>IF(A107="","",IF(AND(D107&lt;&gt;"lacuna",D107&lt;&gt;"verificar"),"Sem pendência",IF(OR(G107="",H107="",K107=""),"Aguarda análise/revisão",IF(L107&lt;&gt;"Sim","NÃO – revisor = analista",IF(H107="Sem lacuna (verificado)","Sem lacuna (verificado)",IF(AND(G107="Sim",LEFT(H107,1)="L"),"Lacuna explicada","Lacuna não explicada"))))))</f>
        <v/>
      </c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6">
        <f>IF(K108="","",IF(K108&lt;&gt;J108,"Sim","NÃO"))</f>
        <v/>
      </c>
      <c r="M108" s="16">
        <f>IF(A108="","",IF(AND(D108&lt;&gt;"lacuna",D108&lt;&gt;"verificar"),"Sem pendência",IF(OR(G108="",H108="",K108=""),"Aguarda análise/revisão",IF(L108&lt;&gt;"Sim","NÃO – revisor = analista",IF(H108="Sem lacuna (verificado)","Sem lacuna (verificado)",IF(AND(G108="Sim",LEFT(H108,1)="L"),"Lacuna explicada","Lacuna não explicada"))))))</f>
        <v/>
      </c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6">
        <f>IF(K109="","",IF(K109&lt;&gt;J109,"Sim","NÃO"))</f>
        <v/>
      </c>
      <c r="M109" s="16">
        <f>IF(A109="","",IF(AND(D109&lt;&gt;"lacuna",D109&lt;&gt;"verificar"),"Sem pendência",IF(OR(G109="",H109="",K109=""),"Aguarda análise/revisão",IF(L109&lt;&gt;"Sim","NÃO – revisor = analista",IF(H109="Sem lacuna (verificado)","Sem lacuna (verificado)",IF(AND(G109="Sim",LEFT(H109,1)="L"),"Lacuna explicada","Lacuna não explicada"))))))</f>
        <v/>
      </c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6">
        <f>IF(K110="","",IF(K110&lt;&gt;J110,"Sim","NÃO"))</f>
        <v/>
      </c>
      <c r="M110" s="16">
        <f>IF(A110="","",IF(AND(D110&lt;&gt;"lacuna",D110&lt;&gt;"verificar"),"Sem pendência",IF(OR(G110="",H110="",K110=""),"Aguarda análise/revisão",IF(L110&lt;&gt;"Sim","NÃO – revisor = analista",IF(H110="Sem lacuna (verificado)","Sem lacuna (verificado)",IF(AND(G110="Sim",LEFT(H110,1)="L"),"Lacuna explicada","Lacuna não explicada"))))))</f>
        <v/>
      </c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6">
        <f>IF(K111="","",IF(K111&lt;&gt;J111,"Sim","NÃO"))</f>
        <v/>
      </c>
      <c r="M111" s="16">
        <f>IF(A111="","",IF(AND(D111&lt;&gt;"lacuna",D111&lt;&gt;"verificar"),"Sem pendência",IF(OR(G111="",H111="",K111=""),"Aguarda análise/revisão",IF(L111&lt;&gt;"Sim","NÃO – revisor = analista",IF(H111="Sem lacuna (verificado)","Sem lacuna (verificado)",IF(AND(G111="Sim",LEFT(H111,1)="L"),"Lacuna explicada","Lacuna não explicada"))))))</f>
        <v/>
      </c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6">
        <f>IF(K112="","",IF(K112&lt;&gt;J112,"Sim","NÃO"))</f>
        <v/>
      </c>
      <c r="M112" s="16">
        <f>IF(A112="","",IF(AND(D112&lt;&gt;"lacuna",D112&lt;&gt;"verificar"),"Sem pendência",IF(OR(G112="",H112="",K112=""),"Aguarda análise/revisão",IF(L112&lt;&gt;"Sim","NÃO – revisor = analista",IF(H112="Sem lacuna (verificado)","Sem lacuna (verificado)",IF(AND(G112="Sim",LEFT(H112,1)="L"),"Lacuna explicada","Lacuna não explicada"))))))</f>
        <v/>
      </c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6">
        <f>IF(K113="","",IF(K113&lt;&gt;J113,"Sim","NÃO"))</f>
        <v/>
      </c>
      <c r="M113" s="16">
        <f>IF(A113="","",IF(AND(D113&lt;&gt;"lacuna",D113&lt;&gt;"verificar"),"Sem pendência",IF(OR(G113="",H113="",K113=""),"Aguarda análise/revisão",IF(L113&lt;&gt;"Sim","NÃO – revisor = analista",IF(H113="Sem lacuna (verificado)","Sem lacuna (verificado)",IF(AND(G113="Sim",LEFT(H113,1)="L"),"Lacuna explicada","Lacuna não explicada"))))))</f>
        <v/>
      </c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6">
        <f>IF(K114="","",IF(K114&lt;&gt;J114,"Sim","NÃO"))</f>
        <v/>
      </c>
      <c r="M114" s="16">
        <f>IF(A114="","",IF(AND(D114&lt;&gt;"lacuna",D114&lt;&gt;"verificar"),"Sem pendência",IF(OR(G114="",H114="",K114=""),"Aguarda análise/revisão",IF(L114&lt;&gt;"Sim","NÃO – revisor = analista",IF(H114="Sem lacuna (verificado)","Sem lacuna (verificado)",IF(AND(G114="Sim",LEFT(H114,1)="L"),"Lacuna explicada","Lacuna não explicada"))))))</f>
        <v/>
      </c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6">
        <f>IF(K115="","",IF(K115&lt;&gt;J115,"Sim","NÃO"))</f>
        <v/>
      </c>
      <c r="M115" s="16">
        <f>IF(A115="","",IF(AND(D115&lt;&gt;"lacuna",D115&lt;&gt;"verificar"),"Sem pendência",IF(OR(G115="",H115="",K115=""),"Aguarda análise/revisão",IF(L115&lt;&gt;"Sim","NÃO – revisor = analista",IF(H115="Sem lacuna (verificado)","Sem lacuna (verificado)",IF(AND(G115="Sim",LEFT(H115,1)="L"),"Lacuna explicada","Lacuna não explicada"))))))</f>
        <v/>
      </c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6">
        <f>IF(K116="","",IF(K116&lt;&gt;J116,"Sim","NÃO"))</f>
        <v/>
      </c>
      <c r="M116" s="16">
        <f>IF(A116="","",IF(AND(D116&lt;&gt;"lacuna",D116&lt;&gt;"verificar"),"Sem pendência",IF(OR(G116="",H116="",K116=""),"Aguarda análise/revisão",IF(L116&lt;&gt;"Sim","NÃO – revisor = analista",IF(H116="Sem lacuna (verificado)","Sem lacuna (verificado)",IF(AND(G116="Sim",LEFT(H116,1)="L"),"Lacuna explicada","Lacuna não explicada"))))))</f>
        <v/>
      </c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6">
        <f>IF(K117="","",IF(K117&lt;&gt;J117,"Sim","NÃO"))</f>
        <v/>
      </c>
      <c r="M117" s="16">
        <f>IF(A117="","",IF(AND(D117&lt;&gt;"lacuna",D117&lt;&gt;"verificar"),"Sem pendência",IF(OR(G117="",H117="",K117=""),"Aguarda análise/revisão",IF(L117&lt;&gt;"Sim","NÃO – revisor = analista",IF(H117="Sem lacuna (verificado)","Sem lacuna (verificado)",IF(AND(G117="Sim",LEFT(H117,1)="L"),"Lacuna explicada","Lacuna não explicada"))))))</f>
        <v/>
      </c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6">
        <f>IF(K118="","",IF(K118&lt;&gt;J118,"Sim","NÃO"))</f>
        <v/>
      </c>
      <c r="M118" s="16">
        <f>IF(A118="","",IF(AND(D118&lt;&gt;"lacuna",D118&lt;&gt;"verificar"),"Sem pendência",IF(OR(G118="",H118="",K118=""),"Aguarda análise/revisão",IF(L118&lt;&gt;"Sim","NÃO – revisor = analista",IF(H118="Sem lacuna (verificado)","Sem lacuna (verificado)",IF(AND(G118="Sim",LEFT(H118,1)="L"),"Lacuna explicada","Lacuna não explicada"))))))</f>
        <v/>
      </c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6">
        <f>IF(K119="","",IF(K119&lt;&gt;J119,"Sim","NÃO"))</f>
        <v/>
      </c>
      <c r="M119" s="16">
        <f>IF(A119="","",IF(AND(D119&lt;&gt;"lacuna",D119&lt;&gt;"verificar"),"Sem pendência",IF(OR(G119="",H119="",K119=""),"Aguarda análise/revisão",IF(L119&lt;&gt;"Sim","NÃO – revisor = analista",IF(H119="Sem lacuna (verificado)","Sem lacuna (verificado)",IF(AND(G119="Sim",LEFT(H119,1)="L"),"Lacuna explicada","Lacuna não explicada"))))))</f>
        <v/>
      </c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6">
        <f>IF(K120="","",IF(K120&lt;&gt;J120,"Sim","NÃO"))</f>
        <v/>
      </c>
      <c r="M120" s="16">
        <f>IF(A120="","",IF(AND(D120&lt;&gt;"lacuna",D120&lt;&gt;"verificar"),"Sem pendência",IF(OR(G120="",H120="",K120=""),"Aguarda análise/revisão",IF(L120&lt;&gt;"Sim","NÃO – revisor = analista",IF(H120="Sem lacuna (verificado)","Sem lacuna (verificado)",IF(AND(G120="Sim",LEFT(H120,1)="L"),"Lacuna explicada","Lacuna não explicada"))))))</f>
        <v/>
      </c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6">
        <f>IF(K121="","",IF(K121&lt;&gt;J121,"Sim","NÃO"))</f>
        <v/>
      </c>
      <c r="M121" s="16">
        <f>IF(A121="","",IF(AND(D121&lt;&gt;"lacuna",D121&lt;&gt;"verificar"),"Sem pendência",IF(OR(G121="",H121="",K121=""),"Aguarda análise/revisão",IF(L121&lt;&gt;"Sim","NÃO – revisor = analista",IF(H121="Sem lacuna (verificado)","Sem lacuna (verificado)",IF(AND(G121="Sim",LEFT(H121,1)="L"),"Lacuna explicada","Lacuna não explicada"))))))</f>
        <v/>
      </c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6">
        <f>IF(K122="","",IF(K122&lt;&gt;J122,"Sim","NÃO"))</f>
        <v/>
      </c>
      <c r="M122" s="16">
        <f>IF(A122="","",IF(AND(D122&lt;&gt;"lacuna",D122&lt;&gt;"verificar"),"Sem pendência",IF(OR(G122="",H122="",K122=""),"Aguarda análise/revisão",IF(L122&lt;&gt;"Sim","NÃO – revisor = analista",IF(H122="Sem lacuna (verificado)","Sem lacuna (verificado)",IF(AND(G122="Sim",LEFT(H122,1)="L"),"Lacuna explicada","Lacuna não explicada"))))))</f>
        <v/>
      </c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6">
        <f>IF(K123="","",IF(K123&lt;&gt;J123,"Sim","NÃO"))</f>
        <v/>
      </c>
      <c r="M123" s="16">
        <f>IF(A123="","",IF(AND(D123&lt;&gt;"lacuna",D123&lt;&gt;"verificar"),"Sem pendência",IF(OR(G123="",H123="",K123=""),"Aguarda análise/revisão",IF(L123&lt;&gt;"Sim","NÃO – revisor = analista",IF(H123="Sem lacuna (verificado)","Sem lacuna (verificado)",IF(AND(G123="Sim",LEFT(H123,1)="L"),"Lacuna explicada","Lacuna não explicada"))))))</f>
        <v/>
      </c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6">
        <f>IF(K124="","",IF(K124&lt;&gt;J124,"Sim","NÃO"))</f>
        <v/>
      </c>
      <c r="M124" s="16">
        <f>IF(A124="","",IF(AND(D124&lt;&gt;"lacuna",D124&lt;&gt;"verificar"),"Sem pendência",IF(OR(G124="",H124="",K124=""),"Aguarda análise/revisão",IF(L124&lt;&gt;"Sim","NÃO – revisor = analista",IF(H124="Sem lacuna (verificado)","Sem lacuna (verificado)",IF(AND(G124="Sim",LEFT(H124,1)="L"),"Lacuna explicada","Lacuna não explicada"))))))</f>
        <v/>
      </c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6">
        <f>IF(K125="","",IF(K125&lt;&gt;J125,"Sim","NÃO"))</f>
        <v/>
      </c>
      <c r="M125" s="16">
        <f>IF(A125="","",IF(AND(D125&lt;&gt;"lacuna",D125&lt;&gt;"verificar"),"Sem pendência",IF(OR(G125="",H125="",K125=""),"Aguarda análise/revisão",IF(L125&lt;&gt;"Sim","NÃO – revisor = analista",IF(H125="Sem lacuna (verificado)","Sem lacuna (verificado)",IF(AND(G125="Sim",LEFT(H125,1)="L"),"Lacuna explicada","Lacuna não explicada"))))))</f>
        <v/>
      </c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6">
        <f>IF(K126="","",IF(K126&lt;&gt;J126,"Sim","NÃO"))</f>
        <v/>
      </c>
      <c r="M126" s="16">
        <f>IF(A126="","",IF(AND(D126&lt;&gt;"lacuna",D126&lt;&gt;"verificar"),"Sem pendência",IF(OR(G126="",H126="",K126=""),"Aguarda análise/revisão",IF(L126&lt;&gt;"Sim","NÃO – revisor = analista",IF(H126="Sem lacuna (verificado)","Sem lacuna (verificado)",IF(AND(G126="Sim",LEFT(H126,1)="L"),"Lacuna explicada","Lacuna não explicada"))))))</f>
        <v/>
      </c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6">
        <f>IF(K127="","",IF(K127&lt;&gt;J127,"Sim","NÃO"))</f>
        <v/>
      </c>
      <c r="M127" s="16">
        <f>IF(A127="","",IF(AND(D127&lt;&gt;"lacuna",D127&lt;&gt;"verificar"),"Sem pendência",IF(OR(G127="",H127="",K127=""),"Aguarda análise/revisão",IF(L127&lt;&gt;"Sim","NÃO – revisor = analista",IF(H127="Sem lacuna (verificado)","Sem lacuna (verificado)",IF(AND(G127="Sim",LEFT(H127,1)="L"),"Lacuna explicada","Lacuna não explicada"))))))</f>
        <v/>
      </c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6">
        <f>IF(K128="","",IF(K128&lt;&gt;J128,"Sim","NÃO"))</f>
        <v/>
      </c>
      <c r="M128" s="16">
        <f>IF(A128="","",IF(AND(D128&lt;&gt;"lacuna",D128&lt;&gt;"verificar"),"Sem pendência",IF(OR(G128="",H128="",K128=""),"Aguarda análise/revisão",IF(L128&lt;&gt;"Sim","NÃO – revisor = analista",IF(H128="Sem lacuna (verificado)","Sem lacuna (verificado)",IF(AND(G128="Sim",LEFT(H128,1)="L"),"Lacuna explicada","Lacuna não explicada"))))))</f>
        <v/>
      </c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6">
        <f>IF(K129="","",IF(K129&lt;&gt;J129,"Sim","NÃO"))</f>
        <v/>
      </c>
      <c r="M129" s="16">
        <f>IF(A129="","",IF(AND(D129&lt;&gt;"lacuna",D129&lt;&gt;"verificar"),"Sem pendência",IF(OR(G129="",H129="",K129=""),"Aguarda análise/revisão",IF(L129&lt;&gt;"Sim","NÃO – revisor = analista",IF(H129="Sem lacuna (verificado)","Sem lacuna (verificado)",IF(AND(G129="Sim",LEFT(H129,1)="L"),"Lacuna explicada","Lacuna não explicada"))))))</f>
        <v/>
      </c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6">
        <f>IF(K130="","",IF(K130&lt;&gt;J130,"Sim","NÃO"))</f>
        <v/>
      </c>
      <c r="M130" s="16">
        <f>IF(A130="","",IF(AND(D130&lt;&gt;"lacuna",D130&lt;&gt;"verificar"),"Sem pendência",IF(OR(G130="",H130="",K130=""),"Aguarda análise/revisão",IF(L130&lt;&gt;"Sim","NÃO – revisor = analista",IF(H130="Sem lacuna (verificado)","Sem lacuna (verificado)",IF(AND(G130="Sim",LEFT(H130,1)="L"),"Lacuna explicada","Lacuna não explicada"))))))</f>
        <v/>
      </c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6">
        <f>IF(K131="","",IF(K131&lt;&gt;J131,"Sim","NÃO"))</f>
        <v/>
      </c>
      <c r="M131" s="16">
        <f>IF(A131="","",IF(AND(D131&lt;&gt;"lacuna",D131&lt;&gt;"verificar"),"Sem pendência",IF(OR(G131="",H131="",K131=""),"Aguarda análise/revisão",IF(L131&lt;&gt;"Sim","NÃO – revisor = analista",IF(H131="Sem lacuna (verificado)","Sem lacuna (verificado)",IF(AND(G131="Sim",LEFT(H131,1)="L"),"Lacuna explicada","Lacuna não explicada"))))))</f>
        <v/>
      </c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6">
        <f>IF(K132="","",IF(K132&lt;&gt;J132,"Sim","NÃO"))</f>
        <v/>
      </c>
      <c r="M132" s="16">
        <f>IF(A132="","",IF(AND(D132&lt;&gt;"lacuna",D132&lt;&gt;"verificar"),"Sem pendência",IF(OR(G132="",H132="",K132=""),"Aguarda análise/revisão",IF(L132&lt;&gt;"Sim","NÃO – revisor = analista",IF(H132="Sem lacuna (verificado)","Sem lacuna (verificado)",IF(AND(G132="Sim",LEFT(H132,1)="L"),"Lacuna explicada","Lacuna não explicada"))))))</f>
        <v/>
      </c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6">
        <f>IF(K133="","",IF(K133&lt;&gt;J133,"Sim","NÃO"))</f>
        <v/>
      </c>
      <c r="M133" s="16">
        <f>IF(A133="","",IF(AND(D133&lt;&gt;"lacuna",D133&lt;&gt;"verificar"),"Sem pendência",IF(OR(G133="",H133="",K133=""),"Aguarda análise/revisão",IF(L133&lt;&gt;"Sim","NÃO – revisor = analista",IF(H133="Sem lacuna (verificado)","Sem lacuna (verificado)",IF(AND(G133="Sim",LEFT(H133,1)="L"),"Lacuna explicada","Lacuna não explicada"))))))</f>
        <v/>
      </c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6">
        <f>IF(K134="","",IF(K134&lt;&gt;J134,"Sim","NÃO"))</f>
        <v/>
      </c>
      <c r="M134" s="16">
        <f>IF(A134="","",IF(AND(D134&lt;&gt;"lacuna",D134&lt;&gt;"verificar"),"Sem pendência",IF(OR(G134="",H134="",K134=""),"Aguarda análise/revisão",IF(L134&lt;&gt;"Sim","NÃO – revisor = analista",IF(H134="Sem lacuna (verificado)","Sem lacuna (verificado)",IF(AND(G134="Sim",LEFT(H134,1)="L"),"Lacuna explicada","Lacuna não explicada"))))))</f>
        <v/>
      </c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6">
        <f>IF(K135="","",IF(K135&lt;&gt;J135,"Sim","NÃO"))</f>
        <v/>
      </c>
      <c r="M135" s="16">
        <f>IF(A135="","",IF(AND(D135&lt;&gt;"lacuna",D135&lt;&gt;"verificar"),"Sem pendência",IF(OR(G135="",H135="",K135=""),"Aguarda análise/revisão",IF(L135&lt;&gt;"Sim","NÃO – revisor = analista",IF(H135="Sem lacuna (verificado)","Sem lacuna (verificado)",IF(AND(G135="Sim",LEFT(H135,1)="L"),"Lacuna explicada","Lacuna não explicada"))))))</f>
        <v/>
      </c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6">
        <f>IF(K136="","",IF(K136&lt;&gt;J136,"Sim","NÃO"))</f>
        <v/>
      </c>
      <c r="M136" s="16">
        <f>IF(A136="","",IF(AND(D136&lt;&gt;"lacuna",D136&lt;&gt;"verificar"),"Sem pendência",IF(OR(G136="",H136="",K136=""),"Aguarda análise/revisão",IF(L136&lt;&gt;"Sim","NÃO – revisor = analista",IF(H136="Sem lacuna (verificado)","Sem lacuna (verificado)",IF(AND(G136="Sim",LEFT(H136,1)="L"),"Lacuna explicada","Lacuna não explicada"))))))</f>
        <v/>
      </c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6">
        <f>IF(K137="","",IF(K137&lt;&gt;J137,"Sim","NÃO"))</f>
        <v/>
      </c>
      <c r="M137" s="16">
        <f>IF(A137="","",IF(AND(D137&lt;&gt;"lacuna",D137&lt;&gt;"verificar"),"Sem pendência",IF(OR(G137="",H137="",K137=""),"Aguarda análise/revisão",IF(L137&lt;&gt;"Sim","NÃO – revisor = analista",IF(H137="Sem lacuna (verificado)","Sem lacuna (verificado)",IF(AND(G137="Sim",LEFT(H137,1)="L"),"Lacuna explicada","Lacuna não explicada"))))))</f>
        <v/>
      </c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6">
        <f>IF(K138="","",IF(K138&lt;&gt;J138,"Sim","NÃO"))</f>
        <v/>
      </c>
      <c r="M138" s="16">
        <f>IF(A138="","",IF(AND(D138&lt;&gt;"lacuna",D138&lt;&gt;"verificar"),"Sem pendência",IF(OR(G138="",H138="",K138=""),"Aguarda análise/revisão",IF(L138&lt;&gt;"Sim","NÃO – revisor = analista",IF(H138="Sem lacuna (verificado)","Sem lacuna (verificado)",IF(AND(G138="Sim",LEFT(H138,1)="L"),"Lacuna explicada","Lacuna não explicada"))))))</f>
        <v/>
      </c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6">
        <f>IF(K139="","",IF(K139&lt;&gt;J139,"Sim","NÃO"))</f>
        <v/>
      </c>
      <c r="M139" s="16">
        <f>IF(A139="","",IF(AND(D139&lt;&gt;"lacuna",D139&lt;&gt;"verificar"),"Sem pendência",IF(OR(G139="",H139="",K139=""),"Aguarda análise/revisão",IF(L139&lt;&gt;"Sim","NÃO – revisor = analista",IF(H139="Sem lacuna (verificado)","Sem lacuna (verificado)",IF(AND(G139="Sim",LEFT(H139,1)="L"),"Lacuna explicada","Lacuna não explicada"))))))</f>
        <v/>
      </c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6">
        <f>IF(K140="","",IF(K140&lt;&gt;J140,"Sim","NÃO"))</f>
        <v/>
      </c>
      <c r="M140" s="16">
        <f>IF(A140="","",IF(AND(D140&lt;&gt;"lacuna",D140&lt;&gt;"verificar"),"Sem pendência",IF(OR(G140="",H140="",K140=""),"Aguarda análise/revisão",IF(L140&lt;&gt;"Sim","NÃO – revisor = analista",IF(H140="Sem lacuna (verificado)","Sem lacuna (verificado)",IF(AND(G140="Sim",LEFT(H140,1)="L"),"Lacuna explicada","Lacuna não explicada"))))))</f>
        <v/>
      </c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6">
        <f>IF(K141="","",IF(K141&lt;&gt;J141,"Sim","NÃO"))</f>
        <v/>
      </c>
      <c r="M141" s="16">
        <f>IF(A141="","",IF(AND(D141&lt;&gt;"lacuna",D141&lt;&gt;"verificar"),"Sem pendência",IF(OR(G141="",H141="",K141=""),"Aguarda análise/revisão",IF(L141&lt;&gt;"Sim","NÃO – revisor = analista",IF(H141="Sem lacuna (verificado)","Sem lacuna (verificado)",IF(AND(G141="Sim",LEFT(H141,1)="L"),"Lacuna explicada","Lacuna não explicada"))))))</f>
        <v/>
      </c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6">
        <f>IF(K142="","",IF(K142&lt;&gt;J142,"Sim","NÃO"))</f>
        <v/>
      </c>
      <c r="M142" s="16">
        <f>IF(A142="","",IF(AND(D142&lt;&gt;"lacuna",D142&lt;&gt;"verificar"),"Sem pendência",IF(OR(G142="",H142="",K142=""),"Aguarda análise/revisão",IF(L142&lt;&gt;"Sim","NÃO – revisor = analista",IF(H142="Sem lacuna (verificado)","Sem lacuna (verificado)",IF(AND(G142="Sim",LEFT(H142,1)="L"),"Lacuna explicada","Lacuna não explicada"))))))</f>
        <v/>
      </c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6">
        <f>IF(K143="","",IF(K143&lt;&gt;J143,"Sim","NÃO"))</f>
        <v/>
      </c>
      <c r="M143" s="16">
        <f>IF(A143="","",IF(AND(D143&lt;&gt;"lacuna",D143&lt;&gt;"verificar"),"Sem pendência",IF(OR(G143="",H143="",K143=""),"Aguarda análise/revisão",IF(L143&lt;&gt;"Sim","NÃO – revisor = analista",IF(H143="Sem lacuna (verificado)","Sem lacuna (verificado)",IF(AND(G143="Sim",LEFT(H143,1)="L"),"Lacuna explicada","Lacuna não explicada"))))))</f>
        <v/>
      </c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6">
        <f>IF(K144="","",IF(K144&lt;&gt;J144,"Sim","NÃO"))</f>
        <v/>
      </c>
      <c r="M144" s="16">
        <f>IF(A144="","",IF(AND(D144&lt;&gt;"lacuna",D144&lt;&gt;"verificar"),"Sem pendência",IF(OR(G144="",H144="",K144=""),"Aguarda análise/revisão",IF(L144&lt;&gt;"Sim","NÃO – revisor = analista",IF(H144="Sem lacuna (verificado)","Sem lacuna (verificado)",IF(AND(G144="Sim",LEFT(H144,1)="L"),"Lacuna explicada","Lacuna não explicada"))))))</f>
        <v/>
      </c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6">
        <f>IF(K145="","",IF(K145&lt;&gt;J145,"Sim","NÃO"))</f>
        <v/>
      </c>
      <c r="M145" s="16">
        <f>IF(A145="","",IF(AND(D145&lt;&gt;"lacuna",D145&lt;&gt;"verificar"),"Sem pendência",IF(OR(G145="",H145="",K145=""),"Aguarda análise/revisão",IF(L145&lt;&gt;"Sim","NÃO – revisor = analista",IF(H145="Sem lacuna (verificado)","Sem lacuna (verificado)",IF(AND(G145="Sim",LEFT(H145,1)="L"),"Lacuna explicada","Lacuna não explicada"))))))</f>
        <v/>
      </c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6">
        <f>IF(K146="","",IF(K146&lt;&gt;J146,"Sim","NÃO"))</f>
        <v/>
      </c>
      <c r="M146" s="16">
        <f>IF(A146="","",IF(AND(D146&lt;&gt;"lacuna",D146&lt;&gt;"verificar"),"Sem pendência",IF(OR(G146="",H146="",K146=""),"Aguarda análise/revisão",IF(L146&lt;&gt;"Sim","NÃO – revisor = analista",IF(H146="Sem lacuna (verificado)","Sem lacuna (verificado)",IF(AND(G146="Sim",LEFT(H146,1)="L"),"Lacuna explicada","Lacuna não explicada"))))))</f>
        <v/>
      </c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6">
        <f>IF(K147="","",IF(K147&lt;&gt;J147,"Sim","NÃO"))</f>
        <v/>
      </c>
      <c r="M147" s="16">
        <f>IF(A147="","",IF(AND(D147&lt;&gt;"lacuna",D147&lt;&gt;"verificar"),"Sem pendência",IF(OR(G147="",H147="",K147=""),"Aguarda análise/revisão",IF(L147&lt;&gt;"Sim","NÃO – revisor = analista",IF(H147="Sem lacuna (verificado)","Sem lacuna (verificado)",IF(AND(G147="Sim",LEFT(H147,1)="L"),"Lacuna explicada","Lacuna não explicada"))))))</f>
        <v/>
      </c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6">
        <f>IF(K148="","",IF(K148&lt;&gt;J148,"Sim","NÃO"))</f>
        <v/>
      </c>
      <c r="M148" s="16">
        <f>IF(A148="","",IF(AND(D148&lt;&gt;"lacuna",D148&lt;&gt;"verificar"),"Sem pendência",IF(OR(G148="",H148="",K148=""),"Aguarda análise/revisão",IF(L148&lt;&gt;"Sim","NÃO – revisor = analista",IF(H148="Sem lacuna (verificado)","Sem lacuna (verificado)",IF(AND(G148="Sim",LEFT(H148,1)="L"),"Lacuna explicada","Lacuna não explicada"))))))</f>
        <v/>
      </c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6">
        <f>IF(K149="","",IF(K149&lt;&gt;J149,"Sim","NÃO"))</f>
        <v/>
      </c>
      <c r="M149" s="16">
        <f>IF(A149="","",IF(AND(D149&lt;&gt;"lacuna",D149&lt;&gt;"verificar"),"Sem pendência",IF(OR(G149="",H149="",K149=""),"Aguarda análise/revisão",IF(L149&lt;&gt;"Sim","NÃO – revisor = analista",IF(H149="Sem lacuna (verificado)","Sem lacuna (verificado)",IF(AND(G149="Sim",LEFT(H149,1)="L"),"Lacuna explicada","Lacuna não explicada"))))))</f>
        <v/>
      </c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6">
        <f>IF(K150="","",IF(K150&lt;&gt;J150,"Sim","NÃO"))</f>
        <v/>
      </c>
      <c r="M150" s="16">
        <f>IF(A150="","",IF(AND(D150&lt;&gt;"lacuna",D150&lt;&gt;"verificar"),"Sem pendência",IF(OR(G150="",H150="",K150=""),"Aguarda análise/revisão",IF(L150&lt;&gt;"Sim","NÃO – revisor = analista",IF(H150="Sem lacuna (verificado)","Sem lacuna (verificado)",IF(AND(G150="Sim",LEFT(H150,1)="L"),"Lacuna explicada","Lacuna não explicada"))))))</f>
        <v/>
      </c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6">
        <f>IF(K151="","",IF(K151&lt;&gt;J151,"Sim","NÃO"))</f>
        <v/>
      </c>
      <c r="M151" s="16">
        <f>IF(A151="","",IF(AND(D151&lt;&gt;"lacuna",D151&lt;&gt;"verificar"),"Sem pendência",IF(OR(G151="",H151="",K151=""),"Aguarda análise/revisão",IF(L151&lt;&gt;"Sim","NÃO – revisor = analista",IF(H151="Sem lacuna (verificado)","Sem lacuna (verificado)",IF(AND(G151="Sim",LEFT(H151,1)="L"),"Lacuna explicada","Lacuna não explicada"))))))</f>
        <v/>
      </c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6">
        <f>IF(K152="","",IF(K152&lt;&gt;J152,"Sim","NÃO"))</f>
        <v/>
      </c>
      <c r="M152" s="16">
        <f>IF(A152="","",IF(AND(D152&lt;&gt;"lacuna",D152&lt;&gt;"verificar"),"Sem pendência",IF(OR(G152="",H152="",K152=""),"Aguarda análise/revisão",IF(L152&lt;&gt;"Sim","NÃO – revisor = analista",IF(H152="Sem lacuna (verificado)","Sem lacuna (verificado)",IF(AND(G152="Sim",LEFT(H152,1)="L"),"Lacuna explicada","Lacuna não explicada"))))))</f>
        <v/>
      </c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6">
        <f>IF(K153="","",IF(K153&lt;&gt;J153,"Sim","NÃO"))</f>
        <v/>
      </c>
      <c r="M153" s="16">
        <f>IF(A153="","",IF(AND(D153&lt;&gt;"lacuna",D153&lt;&gt;"verificar"),"Sem pendência",IF(OR(G153="",H153="",K153=""),"Aguarda análise/revisão",IF(L153&lt;&gt;"Sim","NÃO – revisor = analista",IF(H153="Sem lacuna (verificado)","Sem lacuna (verificado)",IF(AND(G153="Sim",LEFT(H153,1)="L"),"Lacuna explicada","Lacuna não explicada"))))))</f>
        <v/>
      </c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6">
        <f>IF(K154="","",IF(K154&lt;&gt;J154,"Sim","NÃO"))</f>
        <v/>
      </c>
      <c r="M154" s="16">
        <f>IF(A154="","",IF(AND(D154&lt;&gt;"lacuna",D154&lt;&gt;"verificar"),"Sem pendência",IF(OR(G154="",H154="",K154=""),"Aguarda análise/revisão",IF(L154&lt;&gt;"Sim","NÃO – revisor = analista",IF(H154="Sem lacuna (verificado)","Sem lacuna (verificado)",IF(AND(G154="Sim",LEFT(H154,1)="L"),"Lacuna explicada","Lacuna não explicada"))))))</f>
        <v/>
      </c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6">
        <f>IF(K155="","",IF(K155&lt;&gt;J155,"Sim","NÃO"))</f>
        <v/>
      </c>
      <c r="M155" s="16">
        <f>IF(A155="","",IF(AND(D155&lt;&gt;"lacuna",D155&lt;&gt;"verificar"),"Sem pendência",IF(OR(G155="",H155="",K155=""),"Aguarda análise/revisão",IF(L155&lt;&gt;"Sim","NÃO – revisor = analista",IF(H155="Sem lacuna (verificado)","Sem lacuna (verificado)",IF(AND(G155="Sim",LEFT(H155,1)="L"),"Lacuna explicada","Lacuna não explicada"))))))</f>
        <v/>
      </c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6">
        <f>IF(K156="","",IF(K156&lt;&gt;J156,"Sim","NÃO"))</f>
        <v/>
      </c>
      <c r="M156" s="16">
        <f>IF(A156="","",IF(AND(D156&lt;&gt;"lacuna",D156&lt;&gt;"verificar"),"Sem pendência",IF(OR(G156="",H156="",K156=""),"Aguarda análise/revisão",IF(L156&lt;&gt;"Sim","NÃO – revisor = analista",IF(H156="Sem lacuna (verificado)","Sem lacuna (verificado)",IF(AND(G156="Sim",LEFT(H156,1)="L"),"Lacuna explicada","Lacuna não explicada"))))))</f>
        <v/>
      </c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6">
        <f>IF(K157="","",IF(K157&lt;&gt;J157,"Sim","NÃO"))</f>
        <v/>
      </c>
      <c r="M157" s="16">
        <f>IF(A157="","",IF(AND(D157&lt;&gt;"lacuna",D157&lt;&gt;"verificar"),"Sem pendência",IF(OR(G157="",H157="",K157=""),"Aguarda análise/revisão",IF(L157&lt;&gt;"Sim","NÃO – revisor = analista",IF(H157="Sem lacuna (verificado)","Sem lacuna (verificado)",IF(AND(G157="Sim",LEFT(H157,1)="L"),"Lacuna explicada","Lacuna não explicada"))))))</f>
        <v/>
      </c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6">
        <f>IF(K158="","",IF(K158&lt;&gt;J158,"Sim","NÃO"))</f>
        <v/>
      </c>
      <c r="M158" s="16">
        <f>IF(A158="","",IF(AND(D158&lt;&gt;"lacuna",D158&lt;&gt;"verificar"),"Sem pendência",IF(OR(G158="",H158="",K158=""),"Aguarda análise/revisão",IF(L158&lt;&gt;"Sim","NÃO – revisor = analista",IF(H158="Sem lacuna (verificado)","Sem lacuna (verificado)",IF(AND(G158="Sim",LEFT(H158,1)="L"),"Lacuna explicada","Lacuna não explicada"))))))</f>
        <v/>
      </c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6">
        <f>IF(K159="","",IF(K159&lt;&gt;J159,"Sim","NÃO"))</f>
        <v/>
      </c>
      <c r="M159" s="16">
        <f>IF(A159="","",IF(AND(D159&lt;&gt;"lacuna",D159&lt;&gt;"verificar"),"Sem pendência",IF(OR(G159="",H159="",K159=""),"Aguarda análise/revisão",IF(L159&lt;&gt;"Sim","NÃO – revisor = analista",IF(H159="Sem lacuna (verificado)","Sem lacuna (verificado)",IF(AND(G159="Sim",LEFT(H159,1)="L"),"Lacuna explicada","Lacuna não explicada"))))))</f>
        <v/>
      </c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6">
        <f>IF(K160="","",IF(K160&lt;&gt;J160,"Sim","NÃO"))</f>
        <v/>
      </c>
      <c r="M160" s="16">
        <f>IF(A160="","",IF(AND(D160&lt;&gt;"lacuna",D160&lt;&gt;"verificar"),"Sem pendência",IF(OR(G160="",H160="",K160=""),"Aguarda análise/revisão",IF(L160&lt;&gt;"Sim","NÃO – revisor = analista",IF(H160="Sem lacuna (verificado)","Sem lacuna (verificado)",IF(AND(G160="Sim",LEFT(H160,1)="L"),"Lacuna explicada","Lacuna não explicada"))))))</f>
        <v/>
      </c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6">
        <f>IF(K161="","",IF(K161&lt;&gt;J161,"Sim","NÃO"))</f>
        <v/>
      </c>
      <c r="M161" s="16">
        <f>IF(A161="","",IF(AND(D161&lt;&gt;"lacuna",D161&lt;&gt;"verificar"),"Sem pendência",IF(OR(G161="",H161="",K161=""),"Aguarda análise/revisão",IF(L161&lt;&gt;"Sim","NÃO – revisor = analista",IF(H161="Sem lacuna (verificado)","Sem lacuna (verificado)",IF(AND(G161="Sim",LEFT(H161,1)="L"),"Lacuna explicada","Lacuna não explicada"))))))</f>
        <v/>
      </c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6">
        <f>IF(K162="","",IF(K162&lt;&gt;J162,"Sim","NÃO"))</f>
        <v/>
      </c>
      <c r="M162" s="16">
        <f>IF(A162="","",IF(AND(D162&lt;&gt;"lacuna",D162&lt;&gt;"verificar"),"Sem pendência",IF(OR(G162="",H162="",K162=""),"Aguarda análise/revisão",IF(L162&lt;&gt;"Sim","NÃO – revisor = analista",IF(H162="Sem lacuna (verificado)","Sem lacuna (verificado)",IF(AND(G162="Sim",LEFT(H162,1)="L"),"Lacuna explicada","Lacuna não explicada"))))))</f>
        <v/>
      </c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6">
        <f>IF(K163="","",IF(K163&lt;&gt;J163,"Sim","NÃO"))</f>
        <v/>
      </c>
      <c r="M163" s="16">
        <f>IF(A163="","",IF(AND(D163&lt;&gt;"lacuna",D163&lt;&gt;"verificar"),"Sem pendência",IF(OR(G163="",H163="",K163=""),"Aguarda análise/revisão",IF(L163&lt;&gt;"Sim","NÃO – revisor = analista",IF(H163="Sem lacuna (verificado)","Sem lacuna (verificado)",IF(AND(G163="Sim",LEFT(H163,1)="L"),"Lacuna explicada","Lacuna não explicada"))))))</f>
        <v/>
      </c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6">
        <f>IF(K164="","",IF(K164&lt;&gt;J164,"Sim","NÃO"))</f>
        <v/>
      </c>
      <c r="M164" s="16">
        <f>IF(A164="","",IF(AND(D164&lt;&gt;"lacuna",D164&lt;&gt;"verificar"),"Sem pendência",IF(OR(G164="",H164="",K164=""),"Aguarda análise/revisão",IF(L164&lt;&gt;"Sim","NÃO – revisor = analista",IF(H164="Sem lacuna (verificado)","Sem lacuna (verificado)",IF(AND(G164="Sim",LEFT(H164,1)="L"),"Lacuna explicada","Lacuna não explicada"))))))</f>
        <v/>
      </c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6">
        <f>IF(K165="","",IF(K165&lt;&gt;J165,"Sim","NÃO"))</f>
        <v/>
      </c>
      <c r="M165" s="16">
        <f>IF(A165="","",IF(AND(D165&lt;&gt;"lacuna",D165&lt;&gt;"verificar"),"Sem pendência",IF(OR(G165="",H165="",K165=""),"Aguarda análise/revisão",IF(L165&lt;&gt;"Sim","NÃO – revisor = analista",IF(H165="Sem lacuna (verificado)","Sem lacuna (verificado)",IF(AND(G165="Sim",LEFT(H165,1)="L"),"Lacuna explicada","Lacuna não explicada"))))))</f>
        <v/>
      </c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6">
        <f>IF(K166="","",IF(K166&lt;&gt;J166,"Sim","NÃO"))</f>
        <v/>
      </c>
      <c r="M166" s="16">
        <f>IF(A166="","",IF(AND(D166&lt;&gt;"lacuna",D166&lt;&gt;"verificar"),"Sem pendência",IF(OR(G166="",H166="",K166=""),"Aguarda análise/revisão",IF(L166&lt;&gt;"Sim","NÃO – revisor = analista",IF(H166="Sem lacuna (verificado)","Sem lacuna (verificado)",IF(AND(G166="Sim",LEFT(H166,1)="L"),"Lacuna explicada","Lacuna não explicada"))))))</f>
        <v/>
      </c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6">
        <f>IF(K167="","",IF(K167&lt;&gt;J167,"Sim","NÃO"))</f>
        <v/>
      </c>
      <c r="M167" s="16">
        <f>IF(A167="","",IF(AND(D167&lt;&gt;"lacuna",D167&lt;&gt;"verificar"),"Sem pendência",IF(OR(G167="",H167="",K167=""),"Aguarda análise/revisão",IF(L167&lt;&gt;"Sim","NÃO – revisor = analista",IF(H167="Sem lacuna (verificado)","Sem lacuna (verificado)",IF(AND(G167="Sim",LEFT(H167,1)="L"),"Lacuna explicada","Lacuna não explicada"))))))</f>
        <v/>
      </c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6">
        <f>IF(K168="","",IF(K168&lt;&gt;J168,"Sim","NÃO"))</f>
        <v/>
      </c>
      <c r="M168" s="16">
        <f>IF(A168="","",IF(AND(D168&lt;&gt;"lacuna",D168&lt;&gt;"verificar"),"Sem pendência",IF(OR(G168="",H168="",K168=""),"Aguarda análise/revisão",IF(L168&lt;&gt;"Sim","NÃO – revisor = analista",IF(H168="Sem lacuna (verificado)","Sem lacuna (verificado)",IF(AND(G168="Sim",LEFT(H168,1)="L"),"Lacuna explicada","Lacuna não explicada"))))))</f>
        <v/>
      </c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6">
        <f>IF(K169="","",IF(K169&lt;&gt;J169,"Sim","NÃO"))</f>
        <v/>
      </c>
      <c r="M169" s="16">
        <f>IF(A169="","",IF(AND(D169&lt;&gt;"lacuna",D169&lt;&gt;"verificar"),"Sem pendência",IF(OR(G169="",H169="",K169=""),"Aguarda análise/revisão",IF(L169&lt;&gt;"Sim","NÃO – revisor = analista",IF(H169="Sem lacuna (verificado)","Sem lacuna (verificado)",IF(AND(G169="Sim",LEFT(H169,1)="L"),"Lacuna explicada","Lacuna não explicada"))))))</f>
        <v/>
      </c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6">
        <f>IF(K170="","",IF(K170&lt;&gt;J170,"Sim","NÃO"))</f>
        <v/>
      </c>
      <c r="M170" s="16">
        <f>IF(A170="","",IF(AND(D170&lt;&gt;"lacuna",D170&lt;&gt;"verificar"),"Sem pendência",IF(OR(G170="",H170="",K170=""),"Aguarda análise/revisão",IF(L170&lt;&gt;"Sim","NÃO – revisor = analista",IF(H170="Sem lacuna (verificado)","Sem lacuna (verificado)",IF(AND(G170="Sim",LEFT(H170,1)="L"),"Lacuna explicada","Lacuna não explicada"))))))</f>
        <v/>
      </c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6">
        <f>IF(K171="","",IF(K171&lt;&gt;J171,"Sim","NÃO"))</f>
        <v/>
      </c>
      <c r="M171" s="16">
        <f>IF(A171="","",IF(AND(D171&lt;&gt;"lacuna",D171&lt;&gt;"verificar"),"Sem pendência",IF(OR(G171="",H171="",K171=""),"Aguarda análise/revisão",IF(L171&lt;&gt;"Sim","NÃO – revisor = analista",IF(H171="Sem lacuna (verificado)","Sem lacuna (verificado)",IF(AND(G171="Sim",LEFT(H171,1)="L"),"Lacuna explicada","Lacuna não explicada"))))))</f>
        <v/>
      </c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6">
        <f>IF(K172="","",IF(K172&lt;&gt;J172,"Sim","NÃO"))</f>
        <v/>
      </c>
      <c r="M172" s="16">
        <f>IF(A172="","",IF(AND(D172&lt;&gt;"lacuna",D172&lt;&gt;"verificar"),"Sem pendência",IF(OR(G172="",H172="",K172=""),"Aguarda análise/revisão",IF(L172&lt;&gt;"Sim","NÃO – revisor = analista",IF(H172="Sem lacuna (verificado)","Sem lacuna (verificado)",IF(AND(G172="Sim",LEFT(H172,1)="L"),"Lacuna explicada","Lacuna não explicada"))))))</f>
        <v/>
      </c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6">
        <f>IF(K173="","",IF(K173&lt;&gt;J173,"Sim","NÃO"))</f>
        <v/>
      </c>
      <c r="M173" s="16">
        <f>IF(A173="","",IF(AND(D173&lt;&gt;"lacuna",D173&lt;&gt;"verificar"),"Sem pendência",IF(OR(G173="",H173="",K173=""),"Aguarda análise/revisão",IF(L173&lt;&gt;"Sim","NÃO – revisor = analista",IF(H173="Sem lacuna (verificado)","Sem lacuna (verificado)",IF(AND(G173="Sim",LEFT(H173,1)="L"),"Lacuna explicada","Lacuna não explicada"))))))</f>
        <v/>
      </c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6">
        <f>IF(K174="","",IF(K174&lt;&gt;J174,"Sim","NÃO"))</f>
        <v/>
      </c>
      <c r="M174" s="16">
        <f>IF(A174="","",IF(AND(D174&lt;&gt;"lacuna",D174&lt;&gt;"verificar"),"Sem pendência",IF(OR(G174="",H174="",K174=""),"Aguarda análise/revisão",IF(L174&lt;&gt;"Sim","NÃO – revisor = analista",IF(H174="Sem lacuna (verificado)","Sem lacuna (verificado)",IF(AND(G174="Sim",LEFT(H174,1)="L"),"Lacuna explicada","Lacuna não explicada"))))))</f>
        <v/>
      </c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6">
        <f>IF(K175="","",IF(K175&lt;&gt;J175,"Sim","NÃO"))</f>
        <v/>
      </c>
      <c r="M175" s="16">
        <f>IF(A175="","",IF(AND(D175&lt;&gt;"lacuna",D175&lt;&gt;"verificar"),"Sem pendência",IF(OR(G175="",H175="",K175=""),"Aguarda análise/revisão",IF(L175&lt;&gt;"Sim","NÃO – revisor = analista",IF(H175="Sem lacuna (verificado)","Sem lacuna (verificado)",IF(AND(G175="Sim",LEFT(H175,1)="L"),"Lacuna explicada","Lacuna não explicada"))))))</f>
        <v/>
      </c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6">
        <f>IF(K176="","",IF(K176&lt;&gt;J176,"Sim","NÃO"))</f>
        <v/>
      </c>
      <c r="M176" s="16">
        <f>IF(A176="","",IF(AND(D176&lt;&gt;"lacuna",D176&lt;&gt;"verificar"),"Sem pendência",IF(OR(G176="",H176="",K176=""),"Aguarda análise/revisão",IF(L176&lt;&gt;"Sim","NÃO – revisor = analista",IF(H176="Sem lacuna (verificado)","Sem lacuna (verificado)",IF(AND(G176="Sim",LEFT(H176,1)="L"),"Lacuna explicada","Lacuna não explicada"))))))</f>
        <v/>
      </c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6">
        <f>IF(K177="","",IF(K177&lt;&gt;J177,"Sim","NÃO"))</f>
        <v/>
      </c>
      <c r="M177" s="16">
        <f>IF(A177="","",IF(AND(D177&lt;&gt;"lacuna",D177&lt;&gt;"verificar"),"Sem pendência",IF(OR(G177="",H177="",K177=""),"Aguarda análise/revisão",IF(L177&lt;&gt;"Sim","NÃO – revisor = analista",IF(H177="Sem lacuna (verificado)","Sem lacuna (verificado)",IF(AND(G177="Sim",LEFT(H177,1)="L"),"Lacuna explicada","Lacuna não explicada"))))))</f>
        <v/>
      </c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6">
        <f>IF(K178="","",IF(K178&lt;&gt;J178,"Sim","NÃO"))</f>
        <v/>
      </c>
      <c r="M178" s="16">
        <f>IF(A178="","",IF(AND(D178&lt;&gt;"lacuna",D178&lt;&gt;"verificar"),"Sem pendência",IF(OR(G178="",H178="",K178=""),"Aguarda análise/revisão",IF(L178&lt;&gt;"Sim","NÃO – revisor = analista",IF(H178="Sem lacuna (verificado)","Sem lacuna (verificado)",IF(AND(G178="Sim",LEFT(H178,1)="L"),"Lacuna explicada","Lacuna não explicada"))))))</f>
        <v/>
      </c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6">
        <f>IF(K179="","",IF(K179&lt;&gt;J179,"Sim","NÃO"))</f>
        <v/>
      </c>
      <c r="M179" s="16">
        <f>IF(A179="","",IF(AND(D179&lt;&gt;"lacuna",D179&lt;&gt;"verificar"),"Sem pendência",IF(OR(G179="",H179="",K179=""),"Aguarda análise/revisão",IF(L179&lt;&gt;"Sim","NÃO – revisor = analista",IF(H179="Sem lacuna (verificado)","Sem lacuna (verificado)",IF(AND(G179="Sim",LEFT(H179,1)="L"),"Lacuna explicada","Lacuna não explicada"))))))</f>
        <v/>
      </c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6">
        <f>IF(K180="","",IF(K180&lt;&gt;J180,"Sim","NÃO"))</f>
        <v/>
      </c>
      <c r="M180" s="16">
        <f>IF(A180="","",IF(AND(D180&lt;&gt;"lacuna",D180&lt;&gt;"verificar"),"Sem pendência",IF(OR(G180="",H180="",K180=""),"Aguarda análise/revisão",IF(L180&lt;&gt;"Sim","NÃO – revisor = analista",IF(H180="Sem lacuna (verificado)","Sem lacuna (verificado)",IF(AND(G180="Sim",LEFT(H180,1)="L"),"Lacuna explicada","Lacuna não explicada"))))))</f>
        <v/>
      </c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6">
        <f>IF(K181="","",IF(K181&lt;&gt;J181,"Sim","NÃO"))</f>
        <v/>
      </c>
      <c r="M181" s="16">
        <f>IF(A181="","",IF(AND(D181&lt;&gt;"lacuna",D181&lt;&gt;"verificar"),"Sem pendência",IF(OR(G181="",H181="",K181=""),"Aguarda análise/revisão",IF(L181&lt;&gt;"Sim","NÃO – revisor = analista",IF(H181="Sem lacuna (verificado)","Sem lacuna (verificado)",IF(AND(G181="Sim",LEFT(H181,1)="L"),"Lacuna explicada","Lacuna não explicada"))))))</f>
        <v/>
      </c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6">
        <f>IF(K182="","",IF(K182&lt;&gt;J182,"Sim","NÃO"))</f>
        <v/>
      </c>
      <c r="M182" s="16">
        <f>IF(A182="","",IF(AND(D182&lt;&gt;"lacuna",D182&lt;&gt;"verificar"),"Sem pendência",IF(OR(G182="",H182="",K182=""),"Aguarda análise/revisão",IF(L182&lt;&gt;"Sim","NÃO – revisor = analista",IF(H182="Sem lacuna (verificado)","Sem lacuna (verificado)",IF(AND(G182="Sim",LEFT(H182,1)="L"),"Lacuna explicada","Lacuna não explicada"))))))</f>
        <v/>
      </c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6">
        <f>IF(K183="","",IF(K183&lt;&gt;J183,"Sim","NÃO"))</f>
        <v/>
      </c>
      <c r="M183" s="16">
        <f>IF(A183="","",IF(AND(D183&lt;&gt;"lacuna",D183&lt;&gt;"verificar"),"Sem pendência",IF(OR(G183="",H183="",K183=""),"Aguarda análise/revisão",IF(L183&lt;&gt;"Sim","NÃO – revisor = analista",IF(H183="Sem lacuna (verificado)","Sem lacuna (verificado)",IF(AND(G183="Sim",LEFT(H183,1)="L"),"Lacuna explicada","Lacuna não explicada"))))))</f>
        <v/>
      </c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6">
        <f>IF(K184="","",IF(K184&lt;&gt;J184,"Sim","NÃO"))</f>
        <v/>
      </c>
      <c r="M184" s="16">
        <f>IF(A184="","",IF(AND(D184&lt;&gt;"lacuna",D184&lt;&gt;"verificar"),"Sem pendência",IF(OR(G184="",H184="",K184=""),"Aguarda análise/revisão",IF(L184&lt;&gt;"Sim","NÃO – revisor = analista",IF(H184="Sem lacuna (verificado)","Sem lacuna (verificado)",IF(AND(G184="Sim",LEFT(H184,1)="L"),"Lacuna explicada","Lacuna não explicada"))))))</f>
        <v/>
      </c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6">
        <f>IF(K185="","",IF(K185&lt;&gt;J185,"Sim","NÃO"))</f>
        <v/>
      </c>
      <c r="M185" s="16">
        <f>IF(A185="","",IF(AND(D185&lt;&gt;"lacuna",D185&lt;&gt;"verificar"),"Sem pendência",IF(OR(G185="",H185="",K185=""),"Aguarda análise/revisão",IF(L185&lt;&gt;"Sim","NÃO – revisor = analista",IF(H185="Sem lacuna (verificado)","Sem lacuna (verificado)",IF(AND(G185="Sim",LEFT(H185,1)="L"),"Lacuna explicada","Lacuna não explicada"))))))</f>
        <v/>
      </c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6">
        <f>IF(K186="","",IF(K186&lt;&gt;J186,"Sim","NÃO"))</f>
        <v/>
      </c>
      <c r="M186" s="16">
        <f>IF(A186="","",IF(AND(D186&lt;&gt;"lacuna",D186&lt;&gt;"verificar"),"Sem pendência",IF(OR(G186="",H186="",K186=""),"Aguarda análise/revisão",IF(L186&lt;&gt;"Sim","NÃO – revisor = analista",IF(H186="Sem lacuna (verificado)","Sem lacuna (verificado)",IF(AND(G186="Sim",LEFT(H186,1)="L"),"Lacuna explicada","Lacuna não explicada"))))))</f>
        <v/>
      </c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6">
        <f>IF(K187="","",IF(K187&lt;&gt;J187,"Sim","NÃO"))</f>
        <v/>
      </c>
      <c r="M187" s="16">
        <f>IF(A187="","",IF(AND(D187&lt;&gt;"lacuna",D187&lt;&gt;"verificar"),"Sem pendência",IF(OR(G187="",H187="",K187=""),"Aguarda análise/revisão",IF(L187&lt;&gt;"Sim","NÃO – revisor = analista",IF(H187="Sem lacuna (verificado)","Sem lacuna (verificado)",IF(AND(G187="Sim",LEFT(H187,1)="L"),"Lacuna explicada","Lacuna não explicada"))))))</f>
        <v/>
      </c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6">
        <f>IF(K188="","",IF(K188&lt;&gt;J188,"Sim","NÃO"))</f>
        <v/>
      </c>
      <c r="M188" s="16">
        <f>IF(A188="","",IF(AND(D188&lt;&gt;"lacuna",D188&lt;&gt;"verificar"),"Sem pendência",IF(OR(G188="",H188="",K188=""),"Aguarda análise/revisão",IF(L188&lt;&gt;"Sim","NÃO – revisor = analista",IF(H188="Sem lacuna (verificado)","Sem lacuna (verificado)",IF(AND(G188="Sim",LEFT(H188,1)="L"),"Lacuna explicada","Lacuna não explicada"))))))</f>
        <v/>
      </c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6">
        <f>IF(K189="","",IF(K189&lt;&gt;J189,"Sim","NÃO"))</f>
        <v/>
      </c>
      <c r="M189" s="16">
        <f>IF(A189="","",IF(AND(D189&lt;&gt;"lacuna",D189&lt;&gt;"verificar"),"Sem pendência",IF(OR(G189="",H189="",K189=""),"Aguarda análise/revisão",IF(L189&lt;&gt;"Sim","NÃO – revisor = analista",IF(H189="Sem lacuna (verificado)","Sem lacuna (verificado)",IF(AND(G189="Sim",LEFT(H189,1)="L"),"Lacuna explicada","Lacuna não explicada"))))))</f>
        <v/>
      </c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6">
        <f>IF(K190="","",IF(K190&lt;&gt;J190,"Sim","NÃO"))</f>
        <v/>
      </c>
      <c r="M190" s="16">
        <f>IF(A190="","",IF(AND(D190&lt;&gt;"lacuna",D190&lt;&gt;"verificar"),"Sem pendência",IF(OR(G190="",H190="",K190=""),"Aguarda análise/revisão",IF(L190&lt;&gt;"Sim","NÃO – revisor = analista",IF(H190="Sem lacuna (verificado)","Sem lacuna (verificado)",IF(AND(G190="Sim",LEFT(H190,1)="L"),"Lacuna explicada","Lacuna não explicada"))))))</f>
        <v/>
      </c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6">
        <f>IF(K191="","",IF(K191&lt;&gt;J191,"Sim","NÃO"))</f>
        <v/>
      </c>
      <c r="M191" s="16">
        <f>IF(A191="","",IF(AND(D191&lt;&gt;"lacuna",D191&lt;&gt;"verificar"),"Sem pendência",IF(OR(G191="",H191="",K191=""),"Aguarda análise/revisão",IF(L191&lt;&gt;"Sim","NÃO – revisor = analista",IF(H191="Sem lacuna (verificado)","Sem lacuna (verificado)",IF(AND(G191="Sim",LEFT(H191,1)="L"),"Lacuna explicada","Lacuna não explicada"))))))</f>
        <v/>
      </c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6">
        <f>IF(K192="","",IF(K192&lt;&gt;J192,"Sim","NÃO"))</f>
        <v/>
      </c>
      <c r="M192" s="16">
        <f>IF(A192="","",IF(AND(D192&lt;&gt;"lacuna",D192&lt;&gt;"verificar"),"Sem pendência",IF(OR(G192="",H192="",K192=""),"Aguarda análise/revisão",IF(L192&lt;&gt;"Sim","NÃO – revisor = analista",IF(H192="Sem lacuna (verificado)","Sem lacuna (verificado)",IF(AND(G192="Sim",LEFT(H192,1)="L"),"Lacuna explicada","Lacuna não explicada"))))))</f>
        <v/>
      </c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6">
        <f>IF(K193="","",IF(K193&lt;&gt;J193,"Sim","NÃO"))</f>
        <v/>
      </c>
      <c r="M193" s="16">
        <f>IF(A193="","",IF(AND(D193&lt;&gt;"lacuna",D193&lt;&gt;"verificar"),"Sem pendência",IF(OR(G193="",H193="",K193=""),"Aguarda análise/revisão",IF(L193&lt;&gt;"Sim","NÃO – revisor = analista",IF(H193="Sem lacuna (verificado)","Sem lacuna (verificado)",IF(AND(G193="Sim",LEFT(H193,1)="L"),"Lacuna explicada","Lacuna não explicada"))))))</f>
        <v/>
      </c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6">
        <f>IF(K194="","",IF(K194&lt;&gt;J194,"Sim","NÃO"))</f>
        <v/>
      </c>
      <c r="M194" s="16">
        <f>IF(A194="","",IF(AND(D194&lt;&gt;"lacuna",D194&lt;&gt;"verificar"),"Sem pendência",IF(OR(G194="",H194="",K194=""),"Aguarda análise/revisão",IF(L194&lt;&gt;"Sim","NÃO – revisor = analista",IF(H194="Sem lacuna (verificado)","Sem lacuna (verificado)",IF(AND(G194="Sim",LEFT(H194,1)="L"),"Lacuna explicada","Lacuna não explicada"))))))</f>
        <v/>
      </c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6">
        <f>IF(K195="","",IF(K195&lt;&gt;J195,"Sim","NÃO"))</f>
        <v/>
      </c>
      <c r="M195" s="16">
        <f>IF(A195="","",IF(AND(D195&lt;&gt;"lacuna",D195&lt;&gt;"verificar"),"Sem pendência",IF(OR(G195="",H195="",K195=""),"Aguarda análise/revisão",IF(L195&lt;&gt;"Sim","NÃO – revisor = analista",IF(H195="Sem lacuna (verificado)","Sem lacuna (verificado)",IF(AND(G195="Sim",LEFT(H195,1)="L"),"Lacuna explicada","Lacuna não explicada"))))))</f>
        <v/>
      </c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6">
        <f>IF(K196="","",IF(K196&lt;&gt;J196,"Sim","NÃO"))</f>
        <v/>
      </c>
      <c r="M196" s="16">
        <f>IF(A196="","",IF(AND(D196&lt;&gt;"lacuna",D196&lt;&gt;"verificar"),"Sem pendência",IF(OR(G196="",H196="",K196=""),"Aguarda análise/revisão",IF(L196&lt;&gt;"Sim","NÃO – revisor = analista",IF(H196="Sem lacuna (verificado)","Sem lacuna (verificado)",IF(AND(G196="Sim",LEFT(H196,1)="L"),"Lacuna explicada","Lacuna não explicada"))))))</f>
        <v/>
      </c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6">
        <f>IF(K197="","",IF(K197&lt;&gt;J197,"Sim","NÃO"))</f>
        <v/>
      </c>
      <c r="M197" s="16">
        <f>IF(A197="","",IF(AND(D197&lt;&gt;"lacuna",D197&lt;&gt;"verificar"),"Sem pendência",IF(OR(G197="",H197="",K197=""),"Aguarda análise/revisão",IF(L197&lt;&gt;"Sim","NÃO – revisor = analista",IF(H197="Sem lacuna (verificado)","Sem lacuna (verificado)",IF(AND(G197="Sim",LEFT(H197,1)="L"),"Lacuna explicada","Lacuna não explicada"))))))</f>
        <v/>
      </c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6">
        <f>IF(K198="","",IF(K198&lt;&gt;J198,"Sim","NÃO"))</f>
        <v/>
      </c>
      <c r="M198" s="16">
        <f>IF(A198="","",IF(AND(D198&lt;&gt;"lacuna",D198&lt;&gt;"verificar"),"Sem pendência",IF(OR(G198="",H198="",K198=""),"Aguarda análise/revisão",IF(L198&lt;&gt;"Sim","NÃO – revisor = analista",IF(H198="Sem lacuna (verificado)","Sem lacuna (verificado)",IF(AND(G198="Sim",LEFT(H198,1)="L"),"Lacuna explicada","Lacuna não explicada"))))))</f>
        <v/>
      </c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6">
        <f>IF(K199="","",IF(K199&lt;&gt;J199,"Sim","NÃO"))</f>
        <v/>
      </c>
      <c r="M199" s="16">
        <f>IF(A199="","",IF(AND(D199&lt;&gt;"lacuna",D199&lt;&gt;"verificar"),"Sem pendência",IF(OR(G199="",H199="",K199=""),"Aguarda análise/revisão",IF(L199&lt;&gt;"Sim","NÃO – revisor = analista",IF(H199="Sem lacuna (verificado)","Sem lacuna (verificado)",IF(AND(G199="Sim",LEFT(H199,1)="L"),"Lacuna explicada","Lacuna não explicada"))))))</f>
        <v/>
      </c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6">
        <f>IF(K200="","",IF(K200&lt;&gt;J200,"Sim","NÃO"))</f>
        <v/>
      </c>
      <c r="M200" s="16">
        <f>IF(A200="","",IF(AND(D200&lt;&gt;"lacuna",D200&lt;&gt;"verificar"),"Sem pendência",IF(OR(G200="",H200="",K200=""),"Aguarda análise/revisão",IF(L200&lt;&gt;"Sim","NÃO – revisor = analista",IF(H200="Sem lacuna (verificado)","Sem lacuna (verificado)",IF(AND(G200="Sim",LEFT(H200,1)="L"),"Lacuna explicada","Lacuna não explicada"))))))</f>
        <v/>
      </c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6">
        <f>IF(K201="","",IF(K201&lt;&gt;J201,"Sim","NÃO"))</f>
        <v/>
      </c>
      <c r="M201" s="16">
        <f>IF(A201="","",IF(AND(D201&lt;&gt;"lacuna",D201&lt;&gt;"verificar"),"Sem pendência",IF(OR(G201="",H201="",K201=""),"Aguarda análise/revisão",IF(L201&lt;&gt;"Sim","NÃO – revisor = analista",IF(H201="Sem lacuna (verificado)","Sem lacuna (verificado)",IF(AND(G201="Sim",LEFT(H201,1)="L"),"Lacuna explicada","Lacuna não explicada"))))))</f>
        <v/>
      </c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6">
        <f>IF(K202="","",IF(K202&lt;&gt;J202,"Sim","NÃO"))</f>
        <v/>
      </c>
      <c r="M202" s="16">
        <f>IF(A202="","",IF(AND(D202&lt;&gt;"lacuna",D202&lt;&gt;"verificar"),"Sem pendência",IF(OR(G202="",H202="",K202=""),"Aguarda análise/revisão",IF(L202&lt;&gt;"Sim","NÃO – revisor = analista",IF(H202="Sem lacuna (verificado)","Sem lacuna (verificado)",IF(AND(G202="Sim",LEFT(H202,1)="L"),"Lacuna explicada","Lacuna não explicada"))))))</f>
        <v/>
      </c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6">
        <f>IF(K203="","",IF(K203&lt;&gt;J203,"Sim","NÃO"))</f>
        <v/>
      </c>
      <c r="M203" s="16">
        <f>IF(A203="","",IF(AND(D203&lt;&gt;"lacuna",D203&lt;&gt;"verificar"),"Sem pendência",IF(OR(G203="",H203="",K203=""),"Aguarda análise/revisão",IF(L203&lt;&gt;"Sim","NÃO – revisor = analista",IF(H203="Sem lacuna (verificado)","Sem lacuna (verificado)",IF(AND(G203="Sim",LEFT(H203,1)="L"),"Lacuna explicada","Lacuna não explicada"))))))</f>
        <v/>
      </c>
    </row>
    <row r="204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6">
        <f>IF(K204="","",IF(K204&lt;&gt;J204,"Sim","NÃO"))</f>
        <v/>
      </c>
      <c r="M204" s="16">
        <f>IF(A204="","",IF(AND(D204&lt;&gt;"lacuna",D204&lt;&gt;"verificar"),"Sem pendência",IF(OR(G204="",H204="",K204=""),"Aguarda análise/revisão",IF(L204&lt;&gt;"Sim","NÃO – revisor = analista",IF(H204="Sem lacuna (verificado)","Sem lacuna (verificado)",IF(AND(G204="Sim",LEFT(H204,1)="L"),"Lacuna explicada","Lacuna não explicada"))))))</f>
        <v/>
      </c>
    </row>
    <row r="20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6">
        <f>IF(K205="","",IF(K205&lt;&gt;J205,"Sim","NÃO"))</f>
        <v/>
      </c>
      <c r="M205" s="16">
        <f>IF(A205="","",IF(AND(D205&lt;&gt;"lacuna",D205&lt;&gt;"verificar"),"Sem pendência",IF(OR(G205="",H205="",K205=""),"Aguarda análise/revisão",IF(L205&lt;&gt;"Sim","NÃO – revisor = analista",IF(H205="Sem lacuna (verificado)","Sem lacuna (verificado)",IF(AND(G205="Sim",LEFT(H205,1)="L"),"Lacuna explicada","Lacuna não explicada"))))))</f>
        <v/>
      </c>
    </row>
    <row r="206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6">
        <f>IF(K206="","",IF(K206&lt;&gt;J206,"Sim","NÃO"))</f>
        <v/>
      </c>
      <c r="M206" s="16">
        <f>IF(A206="","",IF(AND(D206&lt;&gt;"lacuna",D206&lt;&gt;"verificar"),"Sem pendência",IF(OR(G206="",H206="",K206=""),"Aguarda análise/revisão",IF(L206&lt;&gt;"Sim","NÃO – revisor = analista",IF(H206="Sem lacuna (verificado)","Sem lacuna (verificado)",IF(AND(G206="Sim",LEFT(H206,1)="L"),"Lacuna explicada","Lacuna não explicada"))))))</f>
        <v/>
      </c>
    </row>
    <row r="207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6">
        <f>IF(K207="","",IF(K207&lt;&gt;J207,"Sim","NÃO"))</f>
        <v/>
      </c>
      <c r="M207" s="16">
        <f>IF(A207="","",IF(AND(D207&lt;&gt;"lacuna",D207&lt;&gt;"verificar"),"Sem pendência",IF(OR(G207="",H207="",K207=""),"Aguarda análise/revisão",IF(L207&lt;&gt;"Sim","NÃO – revisor = analista",IF(H207="Sem lacuna (verificado)","Sem lacuna (verificado)",IF(AND(G207="Sim",LEFT(H207,1)="L"),"Lacuna explicada","Lacuna não explicada"))))))</f>
        <v/>
      </c>
    </row>
    <row r="208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6">
        <f>IF(K208="","",IF(K208&lt;&gt;J208,"Sim","NÃO"))</f>
        <v/>
      </c>
      <c r="M208" s="16">
        <f>IF(A208="","",IF(AND(D208&lt;&gt;"lacuna",D208&lt;&gt;"verificar"),"Sem pendência",IF(OR(G208="",H208="",K208=""),"Aguarda análise/revisão",IF(L208&lt;&gt;"Sim","NÃO – revisor = analista",IF(H208="Sem lacuna (verificado)","Sem lacuna (verificado)",IF(AND(G208="Sim",LEFT(H208,1)="L"),"Lacuna explicada","Lacuna não explicada"))))))</f>
        <v/>
      </c>
    </row>
    <row r="209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6">
        <f>IF(K209="","",IF(K209&lt;&gt;J209,"Sim","NÃO"))</f>
        <v/>
      </c>
      <c r="M209" s="16">
        <f>IF(A209="","",IF(AND(D209&lt;&gt;"lacuna",D209&lt;&gt;"verificar"),"Sem pendência",IF(OR(G209="",H209="",K209=""),"Aguarda análise/revisão",IF(L209&lt;&gt;"Sim","NÃO – revisor = analista",IF(H209="Sem lacuna (verificado)","Sem lacuna (verificado)",IF(AND(G209="Sim",LEFT(H209,1)="L"),"Lacuna explicada","Lacuna não explicada"))))))</f>
        <v/>
      </c>
    </row>
    <row r="210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6">
        <f>IF(K210="","",IF(K210&lt;&gt;J210,"Sim","NÃO"))</f>
        <v/>
      </c>
      <c r="M210" s="16">
        <f>IF(A210="","",IF(AND(D210&lt;&gt;"lacuna",D210&lt;&gt;"verificar"),"Sem pendência",IF(OR(G210="",H210="",K210=""),"Aguarda análise/revisão",IF(L210&lt;&gt;"Sim","NÃO – revisor = analista",IF(H210="Sem lacuna (verificado)","Sem lacuna (verificado)",IF(AND(G210="Sim",LEFT(H210,1)="L"),"Lacuna explicada","Lacuna não explicada"))))))</f>
        <v/>
      </c>
    </row>
    <row r="21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6">
        <f>IF(K211="","",IF(K211&lt;&gt;J211,"Sim","NÃO"))</f>
        <v/>
      </c>
      <c r="M211" s="16">
        <f>IF(A211="","",IF(AND(D211&lt;&gt;"lacuna",D211&lt;&gt;"verificar"),"Sem pendência",IF(OR(G211="",H211="",K211=""),"Aguarda análise/revisão",IF(L211&lt;&gt;"Sim","NÃO – revisor = analista",IF(H211="Sem lacuna (verificado)","Sem lacuna (verificado)",IF(AND(G211="Sim",LEFT(H211,1)="L"),"Lacuna explicada","Lacuna não explicada"))))))</f>
        <v/>
      </c>
    </row>
    <row r="212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6">
        <f>IF(K212="","",IF(K212&lt;&gt;J212,"Sim","NÃO"))</f>
        <v/>
      </c>
      <c r="M212" s="16">
        <f>IF(A212="","",IF(AND(D212&lt;&gt;"lacuna",D212&lt;&gt;"verificar"),"Sem pendência",IF(OR(G212="",H212="",K212=""),"Aguarda análise/revisão",IF(L212&lt;&gt;"Sim","NÃO – revisor = analista",IF(H212="Sem lacuna (verificado)","Sem lacuna (verificado)",IF(AND(G212="Sim",LEFT(H212,1)="L"),"Lacuna explicada","Lacuna não explicada"))))))</f>
        <v/>
      </c>
    </row>
    <row r="213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6">
        <f>IF(K213="","",IF(K213&lt;&gt;J213,"Sim","NÃO"))</f>
        <v/>
      </c>
      <c r="M213" s="16">
        <f>IF(A213="","",IF(AND(D213&lt;&gt;"lacuna",D213&lt;&gt;"verificar"),"Sem pendência",IF(OR(G213="",H213="",K213=""),"Aguarda análise/revisão",IF(L213&lt;&gt;"Sim","NÃO – revisor = analista",IF(H213="Sem lacuna (verificado)","Sem lacuna (verificado)",IF(AND(G213="Sim",LEFT(H213,1)="L"),"Lacuna explicada","Lacuna não explicada"))))))</f>
        <v/>
      </c>
    </row>
    <row r="214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6">
        <f>IF(K214="","",IF(K214&lt;&gt;J214,"Sim","NÃO"))</f>
        <v/>
      </c>
      <c r="M214" s="16">
        <f>IF(A214="","",IF(AND(D214&lt;&gt;"lacuna",D214&lt;&gt;"verificar"),"Sem pendência",IF(OR(G214="",H214="",K214=""),"Aguarda análise/revisão",IF(L214&lt;&gt;"Sim","NÃO – revisor = analista",IF(H214="Sem lacuna (verificado)","Sem lacuna (verificado)",IF(AND(G214="Sim",LEFT(H214,1)="L"),"Lacuna explicada","Lacuna não explicada"))))))</f>
        <v/>
      </c>
    </row>
    <row r="2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6">
        <f>IF(K215="","",IF(K215&lt;&gt;J215,"Sim","NÃO"))</f>
        <v/>
      </c>
      <c r="M215" s="16">
        <f>IF(A215="","",IF(AND(D215&lt;&gt;"lacuna",D215&lt;&gt;"verificar"),"Sem pendência",IF(OR(G215="",H215="",K215=""),"Aguarda análise/revisão",IF(L215&lt;&gt;"Sim","NÃO – revisor = analista",IF(H215="Sem lacuna (verificado)","Sem lacuna (verificado)",IF(AND(G215="Sim",LEFT(H215,1)="L"),"Lacuna explicada","Lacuna não explicada"))))))</f>
        <v/>
      </c>
    </row>
    <row r="216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6">
        <f>IF(K216="","",IF(K216&lt;&gt;J216,"Sim","NÃO"))</f>
        <v/>
      </c>
      <c r="M216" s="16">
        <f>IF(A216="","",IF(AND(D216&lt;&gt;"lacuna",D216&lt;&gt;"verificar"),"Sem pendência",IF(OR(G216="",H216="",K216=""),"Aguarda análise/revisão",IF(L216&lt;&gt;"Sim","NÃO – revisor = analista",IF(H216="Sem lacuna (verificado)","Sem lacuna (verificado)",IF(AND(G216="Sim",LEFT(H216,1)="L"),"Lacuna explicada","Lacuna não explicada"))))))</f>
        <v/>
      </c>
    </row>
    <row r="217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6">
        <f>IF(K217="","",IF(K217&lt;&gt;J217,"Sim","NÃO"))</f>
        <v/>
      </c>
      <c r="M217" s="16">
        <f>IF(A217="","",IF(AND(D217&lt;&gt;"lacuna",D217&lt;&gt;"verificar"),"Sem pendência",IF(OR(G217="",H217="",K217=""),"Aguarda análise/revisão",IF(L217&lt;&gt;"Sim","NÃO – revisor = analista",IF(H217="Sem lacuna (verificado)","Sem lacuna (verificado)",IF(AND(G217="Sim",LEFT(H217,1)="L"),"Lacuna explicada","Lacuna não explicada"))))))</f>
        <v/>
      </c>
    </row>
    <row r="218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6">
        <f>IF(K218="","",IF(K218&lt;&gt;J218,"Sim","NÃO"))</f>
        <v/>
      </c>
      <c r="M218" s="16">
        <f>IF(A218="","",IF(AND(D218&lt;&gt;"lacuna",D218&lt;&gt;"verificar"),"Sem pendência",IF(OR(G218="",H218="",K218=""),"Aguarda análise/revisão",IF(L218&lt;&gt;"Sim","NÃO – revisor = analista",IF(H218="Sem lacuna (verificado)","Sem lacuna (verificado)",IF(AND(G218="Sim",LEFT(H218,1)="L"),"Lacuna explicada","Lacuna não explicada"))))))</f>
        <v/>
      </c>
    </row>
    <row r="219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6">
        <f>IF(K219="","",IF(K219&lt;&gt;J219,"Sim","NÃO"))</f>
        <v/>
      </c>
      <c r="M219" s="16">
        <f>IF(A219="","",IF(AND(D219&lt;&gt;"lacuna",D219&lt;&gt;"verificar"),"Sem pendência",IF(OR(G219="",H219="",K219=""),"Aguarda análise/revisão",IF(L219&lt;&gt;"Sim","NÃO – revisor = analista",IF(H219="Sem lacuna (verificado)","Sem lacuna (verificado)",IF(AND(G219="Sim",LEFT(H219,1)="L"),"Lacuna explicada","Lacuna não explicada"))))))</f>
        <v/>
      </c>
    </row>
    <row r="220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6">
        <f>IF(K220="","",IF(K220&lt;&gt;J220,"Sim","NÃO"))</f>
        <v/>
      </c>
      <c r="M220" s="16">
        <f>IF(A220="","",IF(AND(D220&lt;&gt;"lacuna",D220&lt;&gt;"verificar"),"Sem pendência",IF(OR(G220="",H220="",K220=""),"Aguarda análise/revisão",IF(L220&lt;&gt;"Sim","NÃO – revisor = analista",IF(H220="Sem lacuna (verificado)","Sem lacuna (verificado)",IF(AND(G220="Sim",LEFT(H220,1)="L"),"Lacuna explicada","Lacuna não explicada"))))))</f>
        <v/>
      </c>
    </row>
    <row r="22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6">
        <f>IF(K221="","",IF(K221&lt;&gt;J221,"Sim","NÃO"))</f>
        <v/>
      </c>
      <c r="M221" s="16">
        <f>IF(A221="","",IF(AND(D221&lt;&gt;"lacuna",D221&lt;&gt;"verificar"),"Sem pendência",IF(OR(G221="",H221="",K221=""),"Aguarda análise/revisão",IF(L221&lt;&gt;"Sim","NÃO – revisor = analista",IF(H221="Sem lacuna (verificado)","Sem lacuna (verificado)",IF(AND(G221="Sim",LEFT(H221,1)="L"),"Lacuna explicada","Lacuna não explicada"))))))</f>
        <v/>
      </c>
    </row>
    <row r="222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6">
        <f>IF(K222="","",IF(K222&lt;&gt;J222,"Sim","NÃO"))</f>
        <v/>
      </c>
      <c r="M222" s="16">
        <f>IF(A222="","",IF(AND(D222&lt;&gt;"lacuna",D222&lt;&gt;"verificar"),"Sem pendência",IF(OR(G222="",H222="",K222=""),"Aguarda análise/revisão",IF(L222&lt;&gt;"Sim","NÃO – revisor = analista",IF(H222="Sem lacuna (verificado)","Sem lacuna (verificado)",IF(AND(G222="Sim",LEFT(H222,1)="L"),"Lacuna explicada","Lacuna não explicada"))))))</f>
        <v/>
      </c>
    </row>
    <row r="223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6">
        <f>IF(K223="","",IF(K223&lt;&gt;J223,"Sim","NÃO"))</f>
        <v/>
      </c>
      <c r="M223" s="16">
        <f>IF(A223="","",IF(AND(D223&lt;&gt;"lacuna",D223&lt;&gt;"verificar"),"Sem pendência",IF(OR(G223="",H223="",K223=""),"Aguarda análise/revisão",IF(L223&lt;&gt;"Sim","NÃO – revisor = analista",IF(H223="Sem lacuna (verificado)","Sem lacuna (verificado)",IF(AND(G223="Sim",LEFT(H223,1)="L"),"Lacuna explicada","Lacuna não explicada"))))))</f>
        <v/>
      </c>
    </row>
    <row r="224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6">
        <f>IF(K224="","",IF(K224&lt;&gt;J224,"Sim","NÃO"))</f>
        <v/>
      </c>
      <c r="M224" s="16">
        <f>IF(A224="","",IF(AND(D224&lt;&gt;"lacuna",D224&lt;&gt;"verificar"),"Sem pendência",IF(OR(G224="",H224="",K224=""),"Aguarda análise/revisão",IF(L224&lt;&gt;"Sim","NÃO – revisor = analista",IF(H224="Sem lacuna (verificado)","Sem lacuna (verificado)",IF(AND(G224="Sim",LEFT(H224,1)="L"),"Lacuna explicada","Lacuna não explicada"))))))</f>
        <v/>
      </c>
    </row>
    <row r="22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6">
        <f>IF(K225="","",IF(K225&lt;&gt;J225,"Sim","NÃO"))</f>
        <v/>
      </c>
      <c r="M225" s="16">
        <f>IF(A225="","",IF(AND(D225&lt;&gt;"lacuna",D225&lt;&gt;"verificar"),"Sem pendência",IF(OR(G225="",H225="",K225=""),"Aguarda análise/revisão",IF(L225&lt;&gt;"Sim","NÃO – revisor = analista",IF(H225="Sem lacuna (verificado)","Sem lacuna (verificado)",IF(AND(G225="Sim",LEFT(H225,1)="L"),"Lacuna explicada","Lacuna não explicada"))))))</f>
        <v/>
      </c>
    </row>
    <row r="226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6">
        <f>IF(K226="","",IF(K226&lt;&gt;J226,"Sim","NÃO"))</f>
        <v/>
      </c>
      <c r="M226" s="16">
        <f>IF(A226="","",IF(AND(D226&lt;&gt;"lacuna",D226&lt;&gt;"verificar"),"Sem pendência",IF(OR(G226="",H226="",K226=""),"Aguarda análise/revisão",IF(L226&lt;&gt;"Sim","NÃO – revisor = analista",IF(H226="Sem lacuna (verificado)","Sem lacuna (verificado)",IF(AND(G226="Sim",LEFT(H226,1)="L"),"Lacuna explicada","Lacuna não explicada"))))))</f>
        <v/>
      </c>
    </row>
    <row r="227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6">
        <f>IF(K227="","",IF(K227&lt;&gt;J227,"Sim","NÃO"))</f>
        <v/>
      </c>
      <c r="M227" s="16">
        <f>IF(A227="","",IF(AND(D227&lt;&gt;"lacuna",D227&lt;&gt;"verificar"),"Sem pendência",IF(OR(G227="",H227="",K227=""),"Aguarda análise/revisão",IF(L227&lt;&gt;"Sim","NÃO – revisor = analista",IF(H227="Sem lacuna (verificado)","Sem lacuna (verificado)",IF(AND(G227="Sim",LEFT(H227,1)="L"),"Lacuna explicada","Lacuna não explicada"))))))</f>
        <v/>
      </c>
    </row>
    <row r="228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6">
        <f>IF(K228="","",IF(K228&lt;&gt;J228,"Sim","NÃO"))</f>
        <v/>
      </c>
      <c r="M228" s="16">
        <f>IF(A228="","",IF(AND(D228&lt;&gt;"lacuna",D228&lt;&gt;"verificar"),"Sem pendência",IF(OR(G228="",H228="",K228=""),"Aguarda análise/revisão",IF(L228&lt;&gt;"Sim","NÃO – revisor = analista",IF(H228="Sem lacuna (verificado)","Sem lacuna (verificado)",IF(AND(G228="Sim",LEFT(H228,1)="L"),"Lacuna explicada","Lacuna não explicada"))))))</f>
        <v/>
      </c>
    </row>
    <row r="229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6">
        <f>IF(K229="","",IF(K229&lt;&gt;J229,"Sim","NÃO"))</f>
        <v/>
      </c>
      <c r="M229" s="16">
        <f>IF(A229="","",IF(AND(D229&lt;&gt;"lacuna",D229&lt;&gt;"verificar"),"Sem pendência",IF(OR(G229="",H229="",K229=""),"Aguarda análise/revisão",IF(L229&lt;&gt;"Sim","NÃO – revisor = analista",IF(H229="Sem lacuna (verificado)","Sem lacuna (verificado)",IF(AND(G229="Sim",LEFT(H229,1)="L"),"Lacuna explicada","Lacuna não explicada"))))))</f>
        <v/>
      </c>
    </row>
    <row r="230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6">
        <f>IF(K230="","",IF(K230&lt;&gt;J230,"Sim","NÃO"))</f>
        <v/>
      </c>
      <c r="M230" s="16">
        <f>IF(A230="","",IF(AND(D230&lt;&gt;"lacuna",D230&lt;&gt;"verificar"),"Sem pendência",IF(OR(G230="",H230="",K230=""),"Aguarda análise/revisão",IF(L230&lt;&gt;"Sim","NÃO – revisor = analista",IF(H230="Sem lacuna (verificado)","Sem lacuna (verificado)",IF(AND(G230="Sim",LEFT(H230,1)="L"),"Lacuna explicada","Lacuna não explicada"))))))</f>
        <v/>
      </c>
    </row>
    <row r="23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6">
        <f>IF(K231="","",IF(K231&lt;&gt;J231,"Sim","NÃO"))</f>
        <v/>
      </c>
      <c r="M231" s="16">
        <f>IF(A231="","",IF(AND(D231&lt;&gt;"lacuna",D231&lt;&gt;"verificar"),"Sem pendência",IF(OR(G231="",H231="",K231=""),"Aguarda análise/revisão",IF(L231&lt;&gt;"Sim","NÃO – revisor = analista",IF(H231="Sem lacuna (verificado)","Sem lacuna (verificado)",IF(AND(G231="Sim",LEFT(H231,1)="L"),"Lacuna explicada","Lacuna não explicada"))))))</f>
        <v/>
      </c>
    </row>
    <row r="232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6">
        <f>IF(K232="","",IF(K232&lt;&gt;J232,"Sim","NÃO"))</f>
        <v/>
      </c>
      <c r="M232" s="16">
        <f>IF(A232="","",IF(AND(D232&lt;&gt;"lacuna",D232&lt;&gt;"verificar"),"Sem pendência",IF(OR(G232="",H232="",K232=""),"Aguarda análise/revisão",IF(L232&lt;&gt;"Sim","NÃO – revisor = analista",IF(H232="Sem lacuna (verificado)","Sem lacuna (verificado)",IF(AND(G232="Sim",LEFT(H232,1)="L"),"Lacuna explicada","Lacuna não explicada"))))))</f>
        <v/>
      </c>
    </row>
    <row r="233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6">
        <f>IF(K233="","",IF(K233&lt;&gt;J233,"Sim","NÃO"))</f>
        <v/>
      </c>
      <c r="M233" s="16">
        <f>IF(A233="","",IF(AND(D233&lt;&gt;"lacuna",D233&lt;&gt;"verificar"),"Sem pendência",IF(OR(G233="",H233="",K233=""),"Aguarda análise/revisão",IF(L233&lt;&gt;"Sim","NÃO – revisor = analista",IF(H233="Sem lacuna (verificado)","Sem lacuna (verificado)",IF(AND(G233="Sim",LEFT(H233,1)="L"),"Lacuna explicada","Lacuna não explicada"))))))</f>
        <v/>
      </c>
    </row>
    <row r="234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6">
        <f>IF(K234="","",IF(K234&lt;&gt;J234,"Sim","NÃO"))</f>
        <v/>
      </c>
      <c r="M234" s="16">
        <f>IF(A234="","",IF(AND(D234&lt;&gt;"lacuna",D234&lt;&gt;"verificar"),"Sem pendência",IF(OR(G234="",H234="",K234=""),"Aguarda análise/revisão",IF(L234&lt;&gt;"Sim","NÃO – revisor = analista",IF(H234="Sem lacuna (verificado)","Sem lacuna (verificado)",IF(AND(G234="Sim",LEFT(H234,1)="L"),"Lacuna explicada","Lacuna não explicada"))))))</f>
        <v/>
      </c>
    </row>
    <row r="23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6">
        <f>IF(K235="","",IF(K235&lt;&gt;J235,"Sim","NÃO"))</f>
        <v/>
      </c>
      <c r="M235" s="16">
        <f>IF(A235="","",IF(AND(D235&lt;&gt;"lacuna",D235&lt;&gt;"verificar"),"Sem pendência",IF(OR(G235="",H235="",K235=""),"Aguarda análise/revisão",IF(L235&lt;&gt;"Sim","NÃO – revisor = analista",IF(H235="Sem lacuna (verificado)","Sem lacuna (verificado)",IF(AND(G235="Sim",LEFT(H235,1)="L"),"Lacuna explicada","Lacuna não explicada"))))))</f>
        <v/>
      </c>
    </row>
    <row r="236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6">
        <f>IF(K236="","",IF(K236&lt;&gt;J236,"Sim","NÃO"))</f>
        <v/>
      </c>
      <c r="M236" s="16">
        <f>IF(A236="","",IF(AND(D236&lt;&gt;"lacuna",D236&lt;&gt;"verificar"),"Sem pendência",IF(OR(G236="",H236="",K236=""),"Aguarda análise/revisão",IF(L236&lt;&gt;"Sim","NÃO – revisor = analista",IF(H236="Sem lacuna (verificado)","Sem lacuna (verificado)",IF(AND(G236="Sim",LEFT(H236,1)="L"),"Lacuna explicada","Lacuna não explicada"))))))</f>
        <v/>
      </c>
    </row>
    <row r="237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6">
        <f>IF(K237="","",IF(K237&lt;&gt;J237,"Sim","NÃO"))</f>
        <v/>
      </c>
      <c r="M237" s="16">
        <f>IF(A237="","",IF(AND(D237&lt;&gt;"lacuna",D237&lt;&gt;"verificar"),"Sem pendência",IF(OR(G237="",H237="",K237=""),"Aguarda análise/revisão",IF(L237&lt;&gt;"Sim","NÃO – revisor = analista",IF(H237="Sem lacuna (verificado)","Sem lacuna (verificado)",IF(AND(G237="Sim",LEFT(H237,1)="L"),"Lacuna explicada","Lacuna não explicada"))))))</f>
        <v/>
      </c>
    </row>
    <row r="238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6">
        <f>IF(K238="","",IF(K238&lt;&gt;J238,"Sim","NÃO"))</f>
        <v/>
      </c>
      <c r="M238" s="16">
        <f>IF(A238="","",IF(AND(D238&lt;&gt;"lacuna",D238&lt;&gt;"verificar"),"Sem pendência",IF(OR(G238="",H238="",K238=""),"Aguarda análise/revisão",IF(L238&lt;&gt;"Sim","NÃO – revisor = analista",IF(H238="Sem lacuna (verificado)","Sem lacuna (verificado)",IF(AND(G238="Sim",LEFT(H238,1)="L"),"Lacuna explicada","Lacuna não explicada"))))))</f>
        <v/>
      </c>
    </row>
    <row r="239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6">
        <f>IF(K239="","",IF(K239&lt;&gt;J239,"Sim","NÃO"))</f>
        <v/>
      </c>
      <c r="M239" s="16">
        <f>IF(A239="","",IF(AND(D239&lt;&gt;"lacuna",D239&lt;&gt;"verificar"),"Sem pendência",IF(OR(G239="",H239="",K239=""),"Aguarda análise/revisão",IF(L239&lt;&gt;"Sim","NÃO – revisor = analista",IF(H239="Sem lacuna (verificado)","Sem lacuna (verificado)",IF(AND(G239="Sim",LEFT(H239,1)="L"),"Lacuna explicada","Lacuna não explicada"))))))</f>
        <v/>
      </c>
    </row>
    <row r="240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6">
        <f>IF(K240="","",IF(K240&lt;&gt;J240,"Sim","NÃO"))</f>
        <v/>
      </c>
      <c r="M240" s="16">
        <f>IF(A240="","",IF(AND(D240&lt;&gt;"lacuna",D240&lt;&gt;"verificar"),"Sem pendência",IF(OR(G240="",H240="",K240=""),"Aguarda análise/revisão",IF(L240&lt;&gt;"Sim","NÃO – revisor = analista",IF(H240="Sem lacuna (verificado)","Sem lacuna (verificado)",IF(AND(G240="Sim",LEFT(H240,1)="L"),"Lacuna explicada","Lacuna não explicada"))))))</f>
        <v/>
      </c>
    </row>
    <row r="24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6">
        <f>IF(K241="","",IF(K241&lt;&gt;J241,"Sim","NÃO"))</f>
        <v/>
      </c>
      <c r="M241" s="16">
        <f>IF(A241="","",IF(AND(D241&lt;&gt;"lacuna",D241&lt;&gt;"verificar"),"Sem pendência",IF(OR(G241="",H241="",K241=""),"Aguarda análise/revisão",IF(L241&lt;&gt;"Sim","NÃO – revisor = analista",IF(H241="Sem lacuna (verificado)","Sem lacuna (verificado)",IF(AND(G241="Sim",LEFT(H241,1)="L"),"Lacuna explicada","Lacuna não explicada"))))))</f>
        <v/>
      </c>
    </row>
    <row r="242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6">
        <f>IF(K242="","",IF(K242&lt;&gt;J242,"Sim","NÃO"))</f>
        <v/>
      </c>
      <c r="M242" s="16">
        <f>IF(A242="","",IF(AND(D242&lt;&gt;"lacuna",D242&lt;&gt;"verificar"),"Sem pendência",IF(OR(G242="",H242="",K242=""),"Aguarda análise/revisão",IF(L242&lt;&gt;"Sim","NÃO – revisor = analista",IF(H242="Sem lacuna (verificado)","Sem lacuna (verificado)",IF(AND(G242="Sim",LEFT(H242,1)="L"),"Lacuna explicada","Lacuna não explicada"))))))</f>
        <v/>
      </c>
    </row>
    <row r="243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6">
        <f>IF(K243="","",IF(K243&lt;&gt;J243,"Sim","NÃO"))</f>
        <v/>
      </c>
      <c r="M243" s="16">
        <f>IF(A243="","",IF(AND(D243&lt;&gt;"lacuna",D243&lt;&gt;"verificar"),"Sem pendência",IF(OR(G243="",H243="",K243=""),"Aguarda análise/revisão",IF(L243&lt;&gt;"Sim","NÃO – revisor = analista",IF(H243="Sem lacuna (verificado)","Sem lacuna (verificado)",IF(AND(G243="Sim",LEFT(H243,1)="L"),"Lacuna explicada","Lacuna não explicada"))))))</f>
        <v/>
      </c>
    </row>
    <row r="244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6">
        <f>IF(K244="","",IF(K244&lt;&gt;J244,"Sim","NÃO"))</f>
        <v/>
      </c>
      <c r="M244" s="16">
        <f>IF(A244="","",IF(AND(D244&lt;&gt;"lacuna",D244&lt;&gt;"verificar"),"Sem pendência",IF(OR(G244="",H244="",K244=""),"Aguarda análise/revisão",IF(L244&lt;&gt;"Sim","NÃO – revisor = analista",IF(H244="Sem lacuna (verificado)","Sem lacuna (verificado)",IF(AND(G244="Sim",LEFT(H244,1)="L"),"Lacuna explicada","Lacuna não explicada"))))))</f>
        <v/>
      </c>
    </row>
    <row r="24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6">
        <f>IF(K245="","",IF(K245&lt;&gt;J245,"Sim","NÃO"))</f>
        <v/>
      </c>
      <c r="M245" s="16">
        <f>IF(A245="","",IF(AND(D245&lt;&gt;"lacuna",D245&lt;&gt;"verificar"),"Sem pendência",IF(OR(G245="",H245="",K245=""),"Aguarda análise/revisão",IF(L245&lt;&gt;"Sim","NÃO – revisor = analista",IF(H245="Sem lacuna (verificado)","Sem lacuna (verificado)",IF(AND(G245="Sim",LEFT(H245,1)="L"),"Lacuna explicada","Lacuna não explicada"))))))</f>
        <v/>
      </c>
    </row>
    <row r="246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6">
        <f>IF(K246="","",IF(K246&lt;&gt;J246,"Sim","NÃO"))</f>
        <v/>
      </c>
      <c r="M246" s="16">
        <f>IF(A246="","",IF(AND(D246&lt;&gt;"lacuna",D246&lt;&gt;"verificar"),"Sem pendência",IF(OR(G246="",H246="",K246=""),"Aguarda análise/revisão",IF(L246&lt;&gt;"Sim","NÃO – revisor = analista",IF(H246="Sem lacuna (verificado)","Sem lacuna (verificado)",IF(AND(G246="Sim",LEFT(H246,1)="L"),"Lacuna explicada","Lacuna não explicada"))))))</f>
        <v/>
      </c>
    </row>
    <row r="247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6">
        <f>IF(K247="","",IF(K247&lt;&gt;J247,"Sim","NÃO"))</f>
        <v/>
      </c>
      <c r="M247" s="16">
        <f>IF(A247="","",IF(AND(D247&lt;&gt;"lacuna",D247&lt;&gt;"verificar"),"Sem pendência",IF(OR(G247="",H247="",K247=""),"Aguarda análise/revisão",IF(L247&lt;&gt;"Sim","NÃO – revisor = analista",IF(H247="Sem lacuna (verificado)","Sem lacuna (verificado)",IF(AND(G247="Sim",LEFT(H247,1)="L"),"Lacuna explicada","Lacuna não explicada"))))))</f>
        <v/>
      </c>
    </row>
    <row r="248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6">
        <f>IF(K248="","",IF(K248&lt;&gt;J248,"Sim","NÃO"))</f>
        <v/>
      </c>
      <c r="M248" s="16">
        <f>IF(A248="","",IF(AND(D248&lt;&gt;"lacuna",D248&lt;&gt;"verificar"),"Sem pendência",IF(OR(G248="",H248="",K248=""),"Aguarda análise/revisão",IF(L248&lt;&gt;"Sim","NÃO – revisor = analista",IF(H248="Sem lacuna (verificado)","Sem lacuna (verificado)",IF(AND(G248="Sim",LEFT(H248,1)="L"),"Lacuna explicada","Lacuna não explicada"))))))</f>
        <v/>
      </c>
    </row>
    <row r="249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6">
        <f>IF(K249="","",IF(K249&lt;&gt;J249,"Sim","NÃO"))</f>
        <v/>
      </c>
      <c r="M249" s="16">
        <f>IF(A249="","",IF(AND(D249&lt;&gt;"lacuna",D249&lt;&gt;"verificar"),"Sem pendência",IF(OR(G249="",H249="",K249=""),"Aguarda análise/revisão",IF(L249&lt;&gt;"Sim","NÃO – revisor = analista",IF(H249="Sem lacuna (verificado)","Sem lacuna (verificado)",IF(AND(G249="Sim",LEFT(H249,1)="L"),"Lacuna explicada","Lacuna não explicada"))))))</f>
        <v/>
      </c>
    </row>
    <row r="250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6">
        <f>IF(K250="","",IF(K250&lt;&gt;J250,"Sim","NÃO"))</f>
        <v/>
      </c>
      <c r="M250" s="16">
        <f>IF(A250="","",IF(AND(D250&lt;&gt;"lacuna",D250&lt;&gt;"verificar"),"Sem pendência",IF(OR(G250="",H250="",K250=""),"Aguarda análise/revisão",IF(L250&lt;&gt;"Sim","NÃO – revisor = analista",IF(H250="Sem lacuna (verificado)","Sem lacuna (verificado)",IF(AND(G250="Sim",LEFT(H250,1)="L"),"Lacuna explicada","Lacuna não explicada"))))))</f>
        <v/>
      </c>
    </row>
    <row r="25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6">
        <f>IF(K251="","",IF(K251&lt;&gt;J251,"Sim","NÃO"))</f>
        <v/>
      </c>
      <c r="M251" s="16">
        <f>IF(A251="","",IF(AND(D251&lt;&gt;"lacuna",D251&lt;&gt;"verificar"),"Sem pendência",IF(OR(G251="",H251="",K251=""),"Aguarda análise/revisão",IF(L251&lt;&gt;"Sim","NÃO – revisor = analista",IF(H251="Sem lacuna (verificado)","Sem lacuna (verificado)",IF(AND(G251="Sim",LEFT(H251,1)="L"),"Lacuna explicada","Lacuna não explicada"))))))</f>
        <v/>
      </c>
    </row>
    <row r="252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6">
        <f>IF(K252="","",IF(K252&lt;&gt;J252,"Sim","NÃO"))</f>
        <v/>
      </c>
      <c r="M252" s="16">
        <f>IF(A252="","",IF(AND(D252&lt;&gt;"lacuna",D252&lt;&gt;"verificar"),"Sem pendência",IF(OR(G252="",H252="",K252=""),"Aguarda análise/revisão",IF(L252&lt;&gt;"Sim","NÃO – revisor = analista",IF(H252="Sem lacuna (verificado)","Sem lacuna (verificado)",IF(AND(G252="Sim",LEFT(H252,1)="L"),"Lacuna explicada","Lacuna não explicada"))))))</f>
        <v/>
      </c>
    </row>
    <row r="253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6">
        <f>IF(K253="","",IF(K253&lt;&gt;J253,"Sim","NÃO"))</f>
        <v/>
      </c>
      <c r="M253" s="16">
        <f>IF(A253="","",IF(AND(D253&lt;&gt;"lacuna",D253&lt;&gt;"verificar"),"Sem pendência",IF(OR(G253="",H253="",K253=""),"Aguarda análise/revisão",IF(L253&lt;&gt;"Sim","NÃO – revisor = analista",IF(H253="Sem lacuna (verificado)","Sem lacuna (verificado)",IF(AND(G253="Sim",LEFT(H253,1)="L"),"Lacuna explicada","Lacuna não explicada"))))))</f>
        <v/>
      </c>
    </row>
    <row r="254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6">
        <f>IF(K254="","",IF(K254&lt;&gt;J254,"Sim","NÃO"))</f>
        <v/>
      </c>
      <c r="M254" s="16">
        <f>IF(A254="","",IF(AND(D254&lt;&gt;"lacuna",D254&lt;&gt;"verificar"),"Sem pendência",IF(OR(G254="",H254="",K254=""),"Aguarda análise/revisão",IF(L254&lt;&gt;"Sim","NÃO – revisor = analista",IF(H254="Sem lacuna (verificado)","Sem lacuna (verificado)",IF(AND(G254="Sim",LEFT(H254,1)="L"),"Lacuna explicada","Lacuna não explicada"))))))</f>
        <v/>
      </c>
    </row>
    <row r="255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6">
        <f>IF(K255="","",IF(K255&lt;&gt;J255,"Sim","NÃO"))</f>
        <v/>
      </c>
      <c r="M255" s="16">
        <f>IF(A255="","",IF(AND(D255&lt;&gt;"lacuna",D255&lt;&gt;"verificar"),"Sem pendência",IF(OR(G255="",H255="",K255=""),"Aguarda análise/revisão",IF(L255&lt;&gt;"Sim","NÃO – revisor = analista",IF(H255="Sem lacuna (verificado)","Sem lacuna (verificado)",IF(AND(G255="Sim",LEFT(H255,1)="L"),"Lacuna explicada","Lacuna não explicada"))))))</f>
        <v/>
      </c>
    </row>
    <row r="256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6">
        <f>IF(K256="","",IF(K256&lt;&gt;J256,"Sim","NÃO"))</f>
        <v/>
      </c>
      <c r="M256" s="16">
        <f>IF(A256="","",IF(AND(D256&lt;&gt;"lacuna",D256&lt;&gt;"verificar"),"Sem pendência",IF(OR(G256="",H256="",K256=""),"Aguarda análise/revisão",IF(L256&lt;&gt;"Sim","NÃO – revisor = analista",IF(H256="Sem lacuna (verificado)","Sem lacuna (verificado)",IF(AND(G256="Sim",LEFT(H256,1)="L"),"Lacuna explicada","Lacuna não explicada"))))))</f>
        <v/>
      </c>
    </row>
    <row r="257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6">
        <f>IF(K257="","",IF(K257&lt;&gt;J257,"Sim","NÃO"))</f>
        <v/>
      </c>
      <c r="M257" s="16">
        <f>IF(A257="","",IF(AND(D257&lt;&gt;"lacuna",D257&lt;&gt;"verificar"),"Sem pendência",IF(OR(G257="",H257="",K257=""),"Aguarda análise/revisão",IF(L257&lt;&gt;"Sim","NÃO – revisor = analista",IF(H257="Sem lacuna (verificado)","Sem lacuna (verificado)",IF(AND(G257="Sim",LEFT(H257,1)="L"),"Lacuna explicada","Lacuna não explicada"))))))</f>
        <v/>
      </c>
    </row>
    <row r="258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6">
        <f>IF(K258="","",IF(K258&lt;&gt;J258,"Sim","NÃO"))</f>
        <v/>
      </c>
      <c r="M258" s="16">
        <f>IF(A258="","",IF(AND(D258&lt;&gt;"lacuna",D258&lt;&gt;"verificar"),"Sem pendência",IF(OR(G258="",H258="",K258=""),"Aguarda análise/revisão",IF(L258&lt;&gt;"Sim","NÃO – revisor = analista",IF(H258="Sem lacuna (verificado)","Sem lacuna (verificado)",IF(AND(G258="Sim",LEFT(H258,1)="L"),"Lacuna explicada","Lacuna não explicada"))))))</f>
        <v/>
      </c>
    </row>
    <row r="259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6">
        <f>IF(K259="","",IF(K259&lt;&gt;J259,"Sim","NÃO"))</f>
        <v/>
      </c>
      <c r="M259" s="16">
        <f>IF(A259="","",IF(AND(D259&lt;&gt;"lacuna",D259&lt;&gt;"verificar"),"Sem pendência",IF(OR(G259="",H259="",K259=""),"Aguarda análise/revisão",IF(L259&lt;&gt;"Sim","NÃO – revisor = analista",IF(H259="Sem lacuna (verificado)","Sem lacuna (verificado)",IF(AND(G259="Sim",LEFT(H259,1)="L"),"Lacuna explicada","Lacuna não explicada"))))))</f>
        <v/>
      </c>
    </row>
    <row r="260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6">
        <f>IF(K260="","",IF(K260&lt;&gt;J260,"Sim","NÃO"))</f>
        <v/>
      </c>
      <c r="M260" s="16">
        <f>IF(A260="","",IF(AND(D260&lt;&gt;"lacuna",D260&lt;&gt;"verificar"),"Sem pendência",IF(OR(G260="",H260="",K260=""),"Aguarda análise/revisão",IF(L260&lt;&gt;"Sim","NÃO – revisor = analista",IF(H260="Sem lacuna (verificado)","Sem lacuna (verificado)",IF(AND(G260="Sim",LEFT(H260,1)="L"),"Lacuna explicada","Lacuna não explicada"))))))</f>
        <v/>
      </c>
    </row>
    <row r="26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6">
        <f>IF(K261="","",IF(K261&lt;&gt;J261,"Sim","NÃO"))</f>
        <v/>
      </c>
      <c r="M261" s="16">
        <f>IF(A261="","",IF(AND(D261&lt;&gt;"lacuna",D261&lt;&gt;"verificar"),"Sem pendência",IF(OR(G261="",H261="",K261=""),"Aguarda análise/revisão",IF(L261&lt;&gt;"Sim","NÃO – revisor = analista",IF(H261="Sem lacuna (verificado)","Sem lacuna (verificado)",IF(AND(G261="Sim",LEFT(H261,1)="L"),"Lacuna explicada","Lacuna não explicada"))))))</f>
        <v/>
      </c>
    </row>
    <row r="262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6">
        <f>IF(K262="","",IF(K262&lt;&gt;J262,"Sim","NÃO"))</f>
        <v/>
      </c>
      <c r="M262" s="16">
        <f>IF(A262="","",IF(AND(D262&lt;&gt;"lacuna",D262&lt;&gt;"verificar"),"Sem pendência",IF(OR(G262="",H262="",K262=""),"Aguarda análise/revisão",IF(L262&lt;&gt;"Sim","NÃO – revisor = analista",IF(H262="Sem lacuna (verificado)","Sem lacuna (verificado)",IF(AND(G262="Sim",LEFT(H262,1)="L"),"Lacuna explicada","Lacuna não explicada"))))))</f>
        <v/>
      </c>
    </row>
    <row r="263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6">
        <f>IF(K263="","",IF(K263&lt;&gt;J263,"Sim","NÃO"))</f>
        <v/>
      </c>
      <c r="M263" s="16">
        <f>IF(A263="","",IF(AND(D263&lt;&gt;"lacuna",D263&lt;&gt;"verificar"),"Sem pendência",IF(OR(G263="",H263="",K263=""),"Aguarda análise/revisão",IF(L263&lt;&gt;"Sim","NÃO – revisor = analista",IF(H263="Sem lacuna (verificado)","Sem lacuna (verificado)",IF(AND(G263="Sim",LEFT(H263,1)="L"),"Lacuna explicada","Lacuna não explicada"))))))</f>
        <v/>
      </c>
    </row>
    <row r="264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6">
        <f>IF(K264="","",IF(K264&lt;&gt;J264,"Sim","NÃO"))</f>
        <v/>
      </c>
      <c r="M264" s="16">
        <f>IF(A264="","",IF(AND(D264&lt;&gt;"lacuna",D264&lt;&gt;"verificar"),"Sem pendência",IF(OR(G264="",H264="",K264=""),"Aguarda análise/revisão",IF(L264&lt;&gt;"Sim","NÃO – revisor = analista",IF(H264="Sem lacuna (verificado)","Sem lacuna (verificado)",IF(AND(G264="Sim",LEFT(H264,1)="L"),"Lacuna explicada","Lacuna não explicada"))))))</f>
        <v/>
      </c>
    </row>
    <row r="265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6">
        <f>IF(K265="","",IF(K265&lt;&gt;J265,"Sim","NÃO"))</f>
        <v/>
      </c>
      <c r="M265" s="16">
        <f>IF(A265="","",IF(AND(D265&lt;&gt;"lacuna",D265&lt;&gt;"verificar"),"Sem pendência",IF(OR(G265="",H265="",K265=""),"Aguarda análise/revisão",IF(L265&lt;&gt;"Sim","NÃO – revisor = analista",IF(H265="Sem lacuna (verificado)","Sem lacuna (verificado)",IF(AND(G265="Sim",LEFT(H265,1)="L"),"Lacuna explicada","Lacuna não explicada"))))))</f>
        <v/>
      </c>
    </row>
    <row r="266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6">
        <f>IF(K266="","",IF(K266&lt;&gt;J266,"Sim","NÃO"))</f>
        <v/>
      </c>
      <c r="M266" s="16">
        <f>IF(A266="","",IF(AND(D266&lt;&gt;"lacuna",D266&lt;&gt;"verificar"),"Sem pendência",IF(OR(G266="",H266="",K266=""),"Aguarda análise/revisão",IF(L266&lt;&gt;"Sim","NÃO – revisor = analista",IF(H266="Sem lacuna (verificado)","Sem lacuna (verificado)",IF(AND(G266="Sim",LEFT(H266,1)="L"),"Lacuna explicada","Lacuna não explicada"))))))</f>
        <v/>
      </c>
    </row>
    <row r="267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6">
        <f>IF(K267="","",IF(K267&lt;&gt;J267,"Sim","NÃO"))</f>
        <v/>
      </c>
      <c r="M267" s="16">
        <f>IF(A267="","",IF(AND(D267&lt;&gt;"lacuna",D267&lt;&gt;"verificar"),"Sem pendência",IF(OR(G267="",H267="",K267=""),"Aguarda análise/revisão",IF(L267&lt;&gt;"Sim","NÃO – revisor = analista",IF(H267="Sem lacuna (verificado)","Sem lacuna (verificado)",IF(AND(G267="Sim",LEFT(H267,1)="L"),"Lacuna explicada","Lacuna não explicada"))))))</f>
        <v/>
      </c>
    </row>
    <row r="268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6">
        <f>IF(K268="","",IF(K268&lt;&gt;J268,"Sim","NÃO"))</f>
        <v/>
      </c>
      <c r="M268" s="16">
        <f>IF(A268="","",IF(AND(D268&lt;&gt;"lacuna",D268&lt;&gt;"verificar"),"Sem pendência",IF(OR(G268="",H268="",K268=""),"Aguarda análise/revisão",IF(L268&lt;&gt;"Sim","NÃO – revisor = analista",IF(H268="Sem lacuna (verificado)","Sem lacuna (verificado)",IF(AND(G268="Sim",LEFT(H268,1)="L"),"Lacuna explicada","Lacuna não explicada"))))))</f>
        <v/>
      </c>
    </row>
    <row r="269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6">
        <f>IF(K269="","",IF(K269&lt;&gt;J269,"Sim","NÃO"))</f>
        <v/>
      </c>
      <c r="M269" s="16">
        <f>IF(A269="","",IF(AND(D269&lt;&gt;"lacuna",D269&lt;&gt;"verificar"),"Sem pendência",IF(OR(G269="",H269="",K269=""),"Aguarda análise/revisão",IF(L269&lt;&gt;"Sim","NÃO – revisor = analista",IF(H269="Sem lacuna (verificado)","Sem lacuna (verificado)",IF(AND(G269="Sim",LEFT(H269,1)="L"),"Lacuna explicada","Lacuna não explicada"))))))</f>
        <v/>
      </c>
    </row>
    <row r="270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6">
        <f>IF(K270="","",IF(K270&lt;&gt;J270,"Sim","NÃO"))</f>
        <v/>
      </c>
      <c r="M270" s="16">
        <f>IF(A270="","",IF(AND(D270&lt;&gt;"lacuna",D270&lt;&gt;"verificar"),"Sem pendência",IF(OR(G270="",H270="",K270=""),"Aguarda análise/revisão",IF(L270&lt;&gt;"Sim","NÃO – revisor = analista",IF(H270="Sem lacuna (verificado)","Sem lacuna (verificado)",IF(AND(G270="Sim",LEFT(H270,1)="L"),"Lacuna explicada","Lacuna não explicada"))))))</f>
        <v/>
      </c>
    </row>
    <row r="27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6">
        <f>IF(K271="","",IF(K271&lt;&gt;J271,"Sim","NÃO"))</f>
        <v/>
      </c>
      <c r="M271" s="16">
        <f>IF(A271="","",IF(AND(D271&lt;&gt;"lacuna",D271&lt;&gt;"verificar"),"Sem pendência",IF(OR(G271="",H271="",K271=""),"Aguarda análise/revisão",IF(L271&lt;&gt;"Sim","NÃO – revisor = analista",IF(H271="Sem lacuna (verificado)","Sem lacuna (verificado)",IF(AND(G271="Sim",LEFT(H271,1)="L"),"Lacuna explicada","Lacuna não explicada"))))))</f>
        <v/>
      </c>
    </row>
    <row r="272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6">
        <f>IF(K272="","",IF(K272&lt;&gt;J272,"Sim","NÃO"))</f>
        <v/>
      </c>
      <c r="M272" s="16">
        <f>IF(A272="","",IF(AND(D272&lt;&gt;"lacuna",D272&lt;&gt;"verificar"),"Sem pendência",IF(OR(G272="",H272="",K272=""),"Aguarda análise/revisão",IF(L272&lt;&gt;"Sim","NÃO – revisor = analista",IF(H272="Sem lacuna (verificado)","Sem lacuna (verificado)",IF(AND(G272="Sim",LEFT(H272,1)="L"),"Lacuna explicada","Lacuna não explicada"))))))</f>
        <v/>
      </c>
    </row>
    <row r="273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6">
        <f>IF(K273="","",IF(K273&lt;&gt;J273,"Sim","NÃO"))</f>
        <v/>
      </c>
      <c r="M273" s="16">
        <f>IF(A273="","",IF(AND(D273&lt;&gt;"lacuna",D273&lt;&gt;"verificar"),"Sem pendência",IF(OR(G273="",H273="",K273=""),"Aguarda análise/revisão",IF(L273&lt;&gt;"Sim","NÃO – revisor = analista",IF(H273="Sem lacuna (verificado)","Sem lacuna (verificado)",IF(AND(G273="Sim",LEFT(H273,1)="L"),"Lacuna explicada","Lacuna não explicada"))))))</f>
        <v/>
      </c>
    </row>
    <row r="274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6">
        <f>IF(K274="","",IF(K274&lt;&gt;J274,"Sim","NÃO"))</f>
        <v/>
      </c>
      <c r="M274" s="16">
        <f>IF(A274="","",IF(AND(D274&lt;&gt;"lacuna",D274&lt;&gt;"verificar"),"Sem pendência",IF(OR(G274="",H274="",K274=""),"Aguarda análise/revisão",IF(L274&lt;&gt;"Sim","NÃO – revisor = analista",IF(H274="Sem lacuna (verificado)","Sem lacuna (verificado)",IF(AND(G274="Sim",LEFT(H274,1)="L"),"Lacuna explicada","Lacuna não explicada"))))))</f>
        <v/>
      </c>
    </row>
    <row r="275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6">
        <f>IF(K275="","",IF(K275&lt;&gt;J275,"Sim","NÃO"))</f>
        <v/>
      </c>
      <c r="M275" s="16">
        <f>IF(A275="","",IF(AND(D275&lt;&gt;"lacuna",D275&lt;&gt;"verificar"),"Sem pendência",IF(OR(G275="",H275="",K275=""),"Aguarda análise/revisão",IF(L275&lt;&gt;"Sim","NÃO – revisor = analista",IF(H275="Sem lacuna (verificado)","Sem lacuna (verificado)",IF(AND(G275="Sim",LEFT(H275,1)="L"),"Lacuna explicada","Lacuna não explicada"))))))</f>
        <v/>
      </c>
    </row>
    <row r="276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6">
        <f>IF(K276="","",IF(K276&lt;&gt;J276,"Sim","NÃO"))</f>
        <v/>
      </c>
      <c r="M276" s="16">
        <f>IF(A276="","",IF(AND(D276&lt;&gt;"lacuna",D276&lt;&gt;"verificar"),"Sem pendência",IF(OR(G276="",H276="",K276=""),"Aguarda análise/revisão",IF(L276&lt;&gt;"Sim","NÃO – revisor = analista",IF(H276="Sem lacuna (verificado)","Sem lacuna (verificado)",IF(AND(G276="Sim",LEFT(H276,1)="L"),"Lacuna explicada","Lacuna não explicada"))))))</f>
        <v/>
      </c>
    </row>
    <row r="277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6">
        <f>IF(K277="","",IF(K277&lt;&gt;J277,"Sim","NÃO"))</f>
        <v/>
      </c>
      <c r="M277" s="16">
        <f>IF(A277="","",IF(AND(D277&lt;&gt;"lacuna",D277&lt;&gt;"verificar"),"Sem pendência",IF(OR(G277="",H277="",K277=""),"Aguarda análise/revisão",IF(L277&lt;&gt;"Sim","NÃO – revisor = analista",IF(H277="Sem lacuna (verificado)","Sem lacuna (verificado)",IF(AND(G277="Sim",LEFT(H277,1)="L"),"Lacuna explicada","Lacuna não explicada"))))))</f>
        <v/>
      </c>
    </row>
    <row r="278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6">
        <f>IF(K278="","",IF(K278&lt;&gt;J278,"Sim","NÃO"))</f>
        <v/>
      </c>
      <c r="M278" s="16">
        <f>IF(A278="","",IF(AND(D278&lt;&gt;"lacuna",D278&lt;&gt;"verificar"),"Sem pendência",IF(OR(G278="",H278="",K278=""),"Aguarda análise/revisão",IF(L278&lt;&gt;"Sim","NÃO – revisor = analista",IF(H278="Sem lacuna (verificado)","Sem lacuna (verificado)",IF(AND(G278="Sim",LEFT(H278,1)="L"),"Lacuna explicada","Lacuna não explicada"))))))</f>
        <v/>
      </c>
    </row>
    <row r="279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6">
        <f>IF(K279="","",IF(K279&lt;&gt;J279,"Sim","NÃO"))</f>
        <v/>
      </c>
      <c r="M279" s="16">
        <f>IF(A279="","",IF(AND(D279&lt;&gt;"lacuna",D279&lt;&gt;"verificar"),"Sem pendência",IF(OR(G279="",H279="",K279=""),"Aguarda análise/revisão",IF(L279&lt;&gt;"Sim","NÃO – revisor = analista",IF(H279="Sem lacuna (verificado)","Sem lacuna (verificado)",IF(AND(G279="Sim",LEFT(H279,1)="L"),"Lacuna explicada","Lacuna não explicada"))))))</f>
        <v/>
      </c>
    </row>
    <row r="280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6">
        <f>IF(K280="","",IF(K280&lt;&gt;J280,"Sim","NÃO"))</f>
        <v/>
      </c>
      <c r="M280" s="16">
        <f>IF(A280="","",IF(AND(D280&lt;&gt;"lacuna",D280&lt;&gt;"verificar"),"Sem pendência",IF(OR(G280="",H280="",K280=""),"Aguarda análise/revisão",IF(L280&lt;&gt;"Sim","NÃO – revisor = analista",IF(H280="Sem lacuna (verificado)","Sem lacuna (verificado)",IF(AND(G280="Sim",LEFT(H280,1)="L"),"Lacuna explicada","Lacuna não explicada"))))))</f>
        <v/>
      </c>
    </row>
    <row r="28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6">
        <f>IF(K281="","",IF(K281&lt;&gt;J281,"Sim","NÃO"))</f>
        <v/>
      </c>
      <c r="M281" s="16">
        <f>IF(A281="","",IF(AND(D281&lt;&gt;"lacuna",D281&lt;&gt;"verificar"),"Sem pendência",IF(OR(G281="",H281="",K281=""),"Aguarda análise/revisão",IF(L281&lt;&gt;"Sim","NÃO – revisor = analista",IF(H281="Sem lacuna (verificado)","Sem lacuna (verificado)",IF(AND(G281="Sim",LEFT(H281,1)="L"),"Lacuna explicada","Lacuna não explicada"))))))</f>
        <v/>
      </c>
    </row>
    <row r="282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6">
        <f>IF(K282="","",IF(K282&lt;&gt;J282,"Sim","NÃO"))</f>
        <v/>
      </c>
      <c r="M282" s="16">
        <f>IF(A282="","",IF(AND(D282&lt;&gt;"lacuna",D282&lt;&gt;"verificar"),"Sem pendência",IF(OR(G282="",H282="",K282=""),"Aguarda análise/revisão",IF(L282&lt;&gt;"Sim","NÃO – revisor = analista",IF(H282="Sem lacuna (verificado)","Sem lacuna (verificado)",IF(AND(G282="Sim",LEFT(H282,1)="L"),"Lacuna explicada","Lacuna não explicada"))))))</f>
        <v/>
      </c>
    </row>
    <row r="283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6">
        <f>IF(K283="","",IF(K283&lt;&gt;J283,"Sim","NÃO"))</f>
        <v/>
      </c>
      <c r="M283" s="16">
        <f>IF(A283="","",IF(AND(D283&lt;&gt;"lacuna",D283&lt;&gt;"verificar"),"Sem pendência",IF(OR(G283="",H283="",K283=""),"Aguarda análise/revisão",IF(L283&lt;&gt;"Sim","NÃO – revisor = analista",IF(H283="Sem lacuna (verificado)","Sem lacuna (verificado)",IF(AND(G283="Sim",LEFT(H283,1)="L"),"Lacuna explicada","Lacuna não explicada"))))))</f>
        <v/>
      </c>
    </row>
    <row r="284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6">
        <f>IF(K284="","",IF(K284&lt;&gt;J284,"Sim","NÃO"))</f>
        <v/>
      </c>
      <c r="M284" s="16">
        <f>IF(A284="","",IF(AND(D284&lt;&gt;"lacuna",D284&lt;&gt;"verificar"),"Sem pendência",IF(OR(G284="",H284="",K284=""),"Aguarda análise/revisão",IF(L284&lt;&gt;"Sim","NÃO – revisor = analista",IF(H284="Sem lacuna (verificado)","Sem lacuna (verificado)",IF(AND(G284="Sim",LEFT(H284,1)="L"),"Lacuna explicada","Lacuna não explicada"))))))</f>
        <v/>
      </c>
    </row>
    <row r="285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6">
        <f>IF(K285="","",IF(K285&lt;&gt;J285,"Sim","NÃO"))</f>
        <v/>
      </c>
      <c r="M285" s="16">
        <f>IF(A285="","",IF(AND(D285&lt;&gt;"lacuna",D285&lt;&gt;"verificar"),"Sem pendência",IF(OR(G285="",H285="",K285=""),"Aguarda análise/revisão",IF(L285&lt;&gt;"Sim","NÃO – revisor = analista",IF(H285="Sem lacuna (verificado)","Sem lacuna (verificado)",IF(AND(G285="Sim",LEFT(H285,1)="L"),"Lacuna explicada","Lacuna não explicada"))))))</f>
        <v/>
      </c>
    </row>
    <row r="286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6">
        <f>IF(K286="","",IF(K286&lt;&gt;J286,"Sim","NÃO"))</f>
        <v/>
      </c>
      <c r="M286" s="16">
        <f>IF(A286="","",IF(AND(D286&lt;&gt;"lacuna",D286&lt;&gt;"verificar"),"Sem pendência",IF(OR(G286="",H286="",K286=""),"Aguarda análise/revisão",IF(L286&lt;&gt;"Sim","NÃO – revisor = analista",IF(H286="Sem lacuna (verificado)","Sem lacuna (verificado)",IF(AND(G286="Sim",LEFT(H286,1)="L"),"Lacuna explicada","Lacuna não explicada"))))))</f>
        <v/>
      </c>
    </row>
    <row r="287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6">
        <f>IF(K287="","",IF(K287&lt;&gt;J287,"Sim","NÃO"))</f>
        <v/>
      </c>
      <c r="M287" s="16">
        <f>IF(A287="","",IF(AND(D287&lt;&gt;"lacuna",D287&lt;&gt;"verificar"),"Sem pendência",IF(OR(G287="",H287="",K287=""),"Aguarda análise/revisão",IF(L287&lt;&gt;"Sim","NÃO – revisor = analista",IF(H287="Sem lacuna (verificado)","Sem lacuna (verificado)",IF(AND(G287="Sim",LEFT(H287,1)="L"),"Lacuna explicada","Lacuna não explicada"))))))</f>
        <v/>
      </c>
    </row>
    <row r="288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6">
        <f>IF(K288="","",IF(K288&lt;&gt;J288,"Sim","NÃO"))</f>
        <v/>
      </c>
      <c r="M288" s="16">
        <f>IF(A288="","",IF(AND(D288&lt;&gt;"lacuna",D288&lt;&gt;"verificar"),"Sem pendência",IF(OR(G288="",H288="",K288=""),"Aguarda análise/revisão",IF(L288&lt;&gt;"Sim","NÃO – revisor = analista",IF(H288="Sem lacuna (verificado)","Sem lacuna (verificado)",IF(AND(G288="Sim",LEFT(H288,1)="L"),"Lacuna explicada","Lacuna não explicada"))))))</f>
        <v/>
      </c>
    </row>
    <row r="289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6">
        <f>IF(K289="","",IF(K289&lt;&gt;J289,"Sim","NÃO"))</f>
        <v/>
      </c>
      <c r="M289" s="16">
        <f>IF(A289="","",IF(AND(D289&lt;&gt;"lacuna",D289&lt;&gt;"verificar"),"Sem pendência",IF(OR(G289="",H289="",K289=""),"Aguarda análise/revisão",IF(L289&lt;&gt;"Sim","NÃO – revisor = analista",IF(H289="Sem lacuna (verificado)","Sem lacuna (verificado)",IF(AND(G289="Sim",LEFT(H289,1)="L"),"Lacuna explicada","Lacuna não explicada"))))))</f>
        <v/>
      </c>
    </row>
    <row r="290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6">
        <f>IF(K290="","",IF(K290&lt;&gt;J290,"Sim","NÃO"))</f>
        <v/>
      </c>
      <c r="M290" s="16">
        <f>IF(A290="","",IF(AND(D290&lt;&gt;"lacuna",D290&lt;&gt;"verificar"),"Sem pendência",IF(OR(G290="",H290="",K290=""),"Aguarda análise/revisão",IF(L290&lt;&gt;"Sim","NÃO – revisor = analista",IF(H290="Sem lacuna (verificado)","Sem lacuna (verificado)",IF(AND(G290="Sim",LEFT(H290,1)="L"),"Lacuna explicada","Lacuna não explicada"))))))</f>
        <v/>
      </c>
    </row>
    <row r="29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6">
        <f>IF(K291="","",IF(K291&lt;&gt;J291,"Sim","NÃO"))</f>
        <v/>
      </c>
      <c r="M291" s="16">
        <f>IF(A291="","",IF(AND(D291&lt;&gt;"lacuna",D291&lt;&gt;"verificar"),"Sem pendência",IF(OR(G291="",H291="",K291=""),"Aguarda análise/revisão",IF(L291&lt;&gt;"Sim","NÃO – revisor = analista",IF(H291="Sem lacuna (verificado)","Sem lacuna (verificado)",IF(AND(G291="Sim",LEFT(H291,1)="L"),"Lacuna explicada","Lacuna não explicada"))))))</f>
        <v/>
      </c>
    </row>
    <row r="292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6">
        <f>IF(K292="","",IF(K292&lt;&gt;J292,"Sim","NÃO"))</f>
        <v/>
      </c>
      <c r="M292" s="16">
        <f>IF(A292="","",IF(AND(D292&lt;&gt;"lacuna",D292&lt;&gt;"verificar"),"Sem pendência",IF(OR(G292="",H292="",K292=""),"Aguarda análise/revisão",IF(L292&lt;&gt;"Sim","NÃO – revisor = analista",IF(H292="Sem lacuna (verificado)","Sem lacuna (verificado)",IF(AND(G292="Sim",LEFT(H292,1)="L"),"Lacuna explicada","Lacuna não explicada"))))))</f>
        <v/>
      </c>
    </row>
    <row r="293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6">
        <f>IF(K293="","",IF(K293&lt;&gt;J293,"Sim","NÃO"))</f>
        <v/>
      </c>
      <c r="M293" s="16">
        <f>IF(A293="","",IF(AND(D293&lt;&gt;"lacuna",D293&lt;&gt;"verificar"),"Sem pendência",IF(OR(G293="",H293="",K293=""),"Aguarda análise/revisão",IF(L293&lt;&gt;"Sim","NÃO – revisor = analista",IF(H293="Sem lacuna (verificado)","Sem lacuna (verificado)",IF(AND(G293="Sim",LEFT(H293,1)="L"),"Lacuna explicada","Lacuna não explicada"))))))</f>
        <v/>
      </c>
    </row>
    <row r="294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6">
        <f>IF(K294="","",IF(K294&lt;&gt;J294,"Sim","NÃO"))</f>
        <v/>
      </c>
      <c r="M294" s="16">
        <f>IF(A294="","",IF(AND(D294&lt;&gt;"lacuna",D294&lt;&gt;"verificar"),"Sem pendência",IF(OR(G294="",H294="",K294=""),"Aguarda análise/revisão",IF(L294&lt;&gt;"Sim","NÃO – revisor = analista",IF(H294="Sem lacuna (verificado)","Sem lacuna (verificado)",IF(AND(G294="Sim",LEFT(H294,1)="L"),"Lacuna explicada","Lacuna não explicada"))))))</f>
        <v/>
      </c>
    </row>
    <row r="295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6">
        <f>IF(K295="","",IF(K295&lt;&gt;J295,"Sim","NÃO"))</f>
        <v/>
      </c>
      <c r="M295" s="16">
        <f>IF(A295="","",IF(AND(D295&lt;&gt;"lacuna",D295&lt;&gt;"verificar"),"Sem pendência",IF(OR(G295="",H295="",K295=""),"Aguarda análise/revisão",IF(L295&lt;&gt;"Sim","NÃO – revisor = analista",IF(H295="Sem lacuna (verificado)","Sem lacuna (verificado)",IF(AND(G295="Sim",LEFT(H295,1)="L"),"Lacuna explicada","Lacuna não explicada"))))))</f>
        <v/>
      </c>
    </row>
    <row r="296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6">
        <f>IF(K296="","",IF(K296&lt;&gt;J296,"Sim","NÃO"))</f>
        <v/>
      </c>
      <c r="M296" s="16">
        <f>IF(A296="","",IF(AND(D296&lt;&gt;"lacuna",D296&lt;&gt;"verificar"),"Sem pendência",IF(OR(G296="",H296="",K296=""),"Aguarda análise/revisão",IF(L296&lt;&gt;"Sim","NÃO – revisor = analista",IF(H296="Sem lacuna (verificado)","Sem lacuna (verificado)",IF(AND(G296="Sim",LEFT(H296,1)="L"),"Lacuna explicada","Lacuna não explicada"))))))</f>
        <v/>
      </c>
    </row>
    <row r="297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6">
        <f>IF(K297="","",IF(K297&lt;&gt;J297,"Sim","NÃO"))</f>
        <v/>
      </c>
      <c r="M297" s="16">
        <f>IF(A297="","",IF(AND(D297&lt;&gt;"lacuna",D297&lt;&gt;"verificar"),"Sem pendência",IF(OR(G297="",H297="",K297=""),"Aguarda análise/revisão",IF(L297&lt;&gt;"Sim","NÃO – revisor = analista",IF(H297="Sem lacuna (verificado)","Sem lacuna (verificado)",IF(AND(G297="Sim",LEFT(H297,1)="L"),"Lacuna explicada","Lacuna não explicada"))))))</f>
        <v/>
      </c>
    </row>
    <row r="298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6">
        <f>IF(K298="","",IF(K298&lt;&gt;J298,"Sim","NÃO"))</f>
        <v/>
      </c>
      <c r="M298" s="16">
        <f>IF(A298="","",IF(AND(D298&lt;&gt;"lacuna",D298&lt;&gt;"verificar"),"Sem pendência",IF(OR(G298="",H298="",K298=""),"Aguarda análise/revisão",IF(L298&lt;&gt;"Sim","NÃO – revisor = analista",IF(H298="Sem lacuna (verificado)","Sem lacuna (verificado)",IF(AND(G298="Sim",LEFT(H298,1)="L"),"Lacuna explicada","Lacuna não explicada"))))))</f>
        <v/>
      </c>
    </row>
    <row r="299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6">
        <f>IF(K299="","",IF(K299&lt;&gt;J299,"Sim","NÃO"))</f>
        <v/>
      </c>
      <c r="M299" s="16">
        <f>IF(A299="","",IF(AND(D299&lt;&gt;"lacuna",D299&lt;&gt;"verificar"),"Sem pendência",IF(OR(G299="",H299="",K299=""),"Aguarda análise/revisão",IF(L299&lt;&gt;"Sim","NÃO – revisor = analista",IF(H299="Sem lacuna (verificado)","Sem lacuna (verificado)",IF(AND(G299="Sim",LEFT(H299,1)="L"),"Lacuna explicada","Lacuna não explicada"))))))</f>
        <v/>
      </c>
    </row>
    <row r="300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6">
        <f>IF(K300="","",IF(K300&lt;&gt;J300,"Sim","NÃO"))</f>
        <v/>
      </c>
      <c r="M300" s="16">
        <f>IF(A300="","",IF(AND(D300&lt;&gt;"lacuna",D300&lt;&gt;"verificar"),"Sem pendência",IF(OR(G300="",H300="",K300=""),"Aguarda análise/revisão",IF(L300&lt;&gt;"Sim","NÃO – revisor = analista",IF(H300="Sem lacuna (verificado)","Sem lacuna (verificado)",IF(AND(G300="Sim",LEFT(H300,1)="L"),"Lacuna explicada","Lacuna não explicada"))))))</f>
        <v/>
      </c>
    </row>
    <row r="30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6">
        <f>IF(K301="","",IF(K301&lt;&gt;J301,"Sim","NÃO"))</f>
        <v/>
      </c>
      <c r="M301" s="16">
        <f>IF(A301="","",IF(AND(D301&lt;&gt;"lacuna",D301&lt;&gt;"verificar"),"Sem pendência",IF(OR(G301="",H301="",K301=""),"Aguarda análise/revisão",IF(L301&lt;&gt;"Sim","NÃO – revisor = analista",IF(H301="Sem lacuna (verificado)","Sem lacuna (verificado)",IF(AND(G301="Sim",LEFT(H301,1)="L"),"Lacuna explicada","Lacuna não explicada"))))))</f>
        <v/>
      </c>
    </row>
  </sheetData>
  <autoFilter ref="A1:M301"/>
  <conditionalFormatting sqref="M2:M301">
    <cfRule type="expression" priority="1" dxfId="1">
      <formula>OR(LEFT(M2,3)="NÃO",M2="Lacuna não explicada")</formula>
    </cfRule>
    <cfRule type="expression" priority="2" dxfId="0">
      <formula>OR(M2="Sem pendência",M2="Sem lacuna (verificado)",M2="Lacuna explicada")</formula>
    </cfRule>
  </conditionalFormatting>
  <conditionalFormatting sqref="L2:L301">
    <cfRule type="expression" priority="3" dxfId="1">
      <formula>L2="NÃO"</formula>
    </cfRule>
  </conditionalFormatting>
  <dataValidations count="4">
    <dataValidation sqref="B2:B301" showDropDown="0" showInputMessage="0" showErrorMessage="0" allowBlank="1" errorTitle="Valor inválido" error="Escolha um valor da lista." type="list">
      <formula1>Listas!$J$2:$J$3</formula1>
    </dataValidation>
    <dataValidation sqref="D2:D301" showDropDown="0" showInputMessage="0" showErrorMessage="0" allowBlank="1" errorTitle="Valor inválido" error="Escolha um valor da lista." type="list">
      <formula1>Listas!$K$2:$K$6</formula1>
    </dataValidation>
    <dataValidation sqref="G2:G301" showDropDown="0" showInputMessage="0" showErrorMessage="0" allowBlank="1" errorTitle="Valor inválido" error="Escolha um valor da lista." type="list">
      <formula1>Listas!$B$2:$B$3</formula1>
    </dataValidation>
    <dataValidation sqref="H2:H301" showDropDown="0" showInputMessage="0" showErrorMessage="0" allowBlank="1" errorTitle="Valor inválido" error="Escolha um valor da lista." type="list">
      <formula1>Listas!$L$2:$L$6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1" customWidth="1" min="5" max="5"/>
    <col width="11" customWidth="1" min="6" max="6"/>
    <col width="30" customWidth="1" min="7" max="7"/>
    <col width="24" customWidth="1" min="8" max="8"/>
    <col width="10" customWidth="1" min="9" max="9"/>
    <col width="10" customWidth="1" min="10" max="10"/>
    <col width="34" customWidth="1" min="11" max="11"/>
  </cols>
  <sheetData>
    <row r="1" ht="36" customHeight="1">
      <c r="A1" s="10" t="inlineStr">
        <is>
          <t>ID conjunto</t>
        </is>
      </c>
      <c r="B1" s="10" t="inlineStr">
        <is>
          <t>Conjunto</t>
        </is>
      </c>
      <c r="C1" s="10" t="inlineStr">
        <is>
          <t>Itens registrados</t>
        </is>
      </c>
      <c r="D1" s="10" t="inlineStr">
        <is>
          <t>Pendentes</t>
        </is>
      </c>
      <c r="E1" s="10" t="inlineStr">
        <is>
          <t>Lacunas não explicadas</t>
        </is>
      </c>
      <c r="F1" s="10" t="inlineStr">
        <is>
          <t>Lacunas explicadas</t>
        </is>
      </c>
      <c r="G1" s="10" t="inlineStr">
        <is>
          <t>Resultado automático</t>
        </is>
      </c>
      <c r="H1" s="10" t="inlineStr">
        <is>
          <t>Resultado do Comitê</t>
        </is>
      </c>
      <c r="I1" s="10" t="inlineStr">
        <is>
          <t>Votos a favor (0–3)</t>
        </is>
      </c>
      <c r="J1" s="10" t="inlineStr">
        <is>
          <t>ID da ata</t>
        </is>
      </c>
      <c r="K1" s="10" t="inlineStr">
        <is>
          <t>Resultado válido?</t>
        </is>
      </c>
    </row>
    <row r="2">
      <c r="A2" s="14" t="inlineStr">
        <is>
          <t>CONJ-01</t>
        </is>
      </c>
      <c r="B2" s="14" t="inlineStr">
        <is>
          <t>bancário</t>
        </is>
      </c>
      <c r="C2" s="16">
        <f>IF(A2="","",COUNTIFS(Completude!$F$2:$F$301,A2,Completude!$B$2:$B$301,B2))</f>
        <v/>
      </c>
      <c r="D2" s="16">
        <f>IF(A2="","",COUNTIFS(Completude!$F$2:$F$301,A2,Completude!$B$2:$B$301,B2,Completude!$M$2:$M$301,"Aguarda*")+COUNTIFS(Completude!$F$2:$F$301,A2,Completude!$B$2:$B$301,B2,Completude!$M$2:$M$301,"NÃO*"))</f>
        <v/>
      </c>
      <c r="E2" s="16">
        <f>IF(A2="","",COUNTIFS(Completude!$F$2:$F$301,A2,Completude!$B$2:$B$301,B2,Completude!$M$2:$M$301,"Lacuna não explicada"))</f>
        <v/>
      </c>
      <c r="F2" s="16">
        <f>IF(A2="","",COUNTIFS(Completude!$F$2:$F$301,A2,Completude!$B$2:$B$301,B2,Completude!$M$2:$M$301,"Lacuna explicada"))</f>
        <v/>
      </c>
      <c r="G2" s="16">
        <f>IF(A2="","",IF(C2=0,"Sem registros: confirme que o F5 rodou",IF(D2&gt;0,"Pendente de análise",IF(E2&gt;0,"Lacunas não explicadas",IF(F2&gt;0,"Lacunas explicadas","Completo")))))</f>
        <v/>
      </c>
      <c r="H2" s="14" t="inlineStr">
        <is>
          <t>Lacunas não explicadas</t>
        </is>
      </c>
      <c r="I2" s="14" t="n">
        <v>3</v>
      </c>
      <c r="J2" s="14" t="inlineStr">
        <is>
          <t>A-002</t>
        </is>
      </c>
      <c r="K2" s="16">
        <f>IF(H2="","",IF(D2&gt;0,"NÃO – há pendências",IF(AND(H2&lt;&gt;G2,H2&lt;&gt;"Não avaliável"),"NÃO – difere do automático: justificar em ata",IF(H2="Lacunas não explicadas",IF(I2=3,"Sim","NÃO – exige unanimidade"),IF(I2&gt;=2,"Sim","NÃO – sem maioria")))))</f>
        <v/>
      </c>
    </row>
    <row r="3">
      <c r="A3" s="15" t="n"/>
      <c r="B3" s="15" t="n"/>
      <c r="C3" s="16">
        <f>IF(A3="","",COUNTIFS(Completude!$F$2:$F$301,A3,Completude!$B$2:$B$301,B3))</f>
        <v/>
      </c>
      <c r="D3" s="16">
        <f>IF(A3="","",COUNTIFS(Completude!$F$2:$F$301,A3,Completude!$B$2:$B$301,B3,Completude!$M$2:$M$301,"Aguarda*")+COUNTIFS(Completude!$F$2:$F$301,A3,Completude!$B$2:$B$301,B3,Completude!$M$2:$M$301,"NÃO*"))</f>
        <v/>
      </c>
      <c r="E3" s="16">
        <f>IF(A3="","",COUNTIFS(Completude!$F$2:$F$301,A3,Completude!$B$2:$B$301,B3,Completude!$M$2:$M$301,"Lacuna não explicada"))</f>
        <v/>
      </c>
      <c r="F3" s="16">
        <f>IF(A3="","",COUNTIFS(Completude!$F$2:$F$301,A3,Completude!$B$2:$B$301,B3,Completude!$M$2:$M$301,"Lacuna explicada"))</f>
        <v/>
      </c>
      <c r="G3" s="16">
        <f>IF(A3="","",IF(C3=0,"Sem registros: confirme que o F5 rodou",IF(D3&gt;0,"Pendente de análise",IF(E3&gt;0,"Lacunas não explicadas",IF(F3&gt;0,"Lacunas explicadas","Completo")))))</f>
        <v/>
      </c>
      <c r="H3" s="15" t="n"/>
      <c r="I3" s="15" t="n"/>
      <c r="J3" s="15" t="n"/>
      <c r="K3" s="16">
        <f>IF(H3="","",IF(D3&gt;0,"NÃO – há pendências",IF(AND(H3&lt;&gt;G3,H3&lt;&gt;"Não avaliável"),"NÃO – difere do automático: justificar em ata",IF(H3="Lacunas não explicadas",IF(I3=3,"Sim","NÃO – exige unanimidade"),IF(I3&gt;=2,"Sim","NÃO – sem maioria")))))</f>
        <v/>
      </c>
    </row>
    <row r="4">
      <c r="A4" s="15" t="n"/>
      <c r="B4" s="15" t="n"/>
      <c r="C4" s="16">
        <f>IF(A4="","",COUNTIFS(Completude!$F$2:$F$301,A4,Completude!$B$2:$B$301,B4))</f>
        <v/>
      </c>
      <c r="D4" s="16">
        <f>IF(A4="","",COUNTIFS(Completude!$F$2:$F$301,A4,Completude!$B$2:$B$301,B4,Completude!$M$2:$M$301,"Aguarda*")+COUNTIFS(Completude!$F$2:$F$301,A4,Completude!$B$2:$B$301,B4,Completude!$M$2:$M$301,"NÃO*"))</f>
        <v/>
      </c>
      <c r="E4" s="16">
        <f>IF(A4="","",COUNTIFS(Completude!$F$2:$F$301,A4,Completude!$B$2:$B$301,B4,Completude!$M$2:$M$301,"Lacuna não explicada"))</f>
        <v/>
      </c>
      <c r="F4" s="16">
        <f>IF(A4="","",COUNTIFS(Completude!$F$2:$F$301,A4,Completude!$B$2:$B$301,B4,Completude!$M$2:$M$301,"Lacuna explicada"))</f>
        <v/>
      </c>
      <c r="G4" s="16">
        <f>IF(A4="","",IF(C4=0,"Sem registros: confirme que o F5 rodou",IF(D4&gt;0,"Pendente de análise",IF(E4&gt;0,"Lacunas não explicadas",IF(F4&gt;0,"Lacunas explicadas","Completo")))))</f>
        <v/>
      </c>
      <c r="H4" s="15" t="n"/>
      <c r="I4" s="15" t="n"/>
      <c r="J4" s="15" t="n"/>
      <c r="K4" s="16">
        <f>IF(H4="","",IF(D4&gt;0,"NÃO – há pendências",IF(AND(H4&lt;&gt;G4,H4&lt;&gt;"Não avaliável"),"NÃO – difere do automático: justificar em ata",IF(H4="Lacunas não explicadas",IF(I4=3,"Sim","NÃO – exige unanimidade"),IF(I4&gt;=2,"Sim","NÃO – sem maioria")))))</f>
        <v/>
      </c>
    </row>
    <row r="5">
      <c r="A5" s="15" t="n"/>
      <c r="B5" s="15" t="n"/>
      <c r="C5" s="16">
        <f>IF(A5="","",COUNTIFS(Completude!$F$2:$F$301,A5,Completude!$B$2:$B$301,B5))</f>
        <v/>
      </c>
      <c r="D5" s="16">
        <f>IF(A5="","",COUNTIFS(Completude!$F$2:$F$301,A5,Completude!$B$2:$B$301,B5,Completude!$M$2:$M$301,"Aguarda*")+COUNTIFS(Completude!$F$2:$F$301,A5,Completude!$B$2:$B$301,B5,Completude!$M$2:$M$301,"NÃO*"))</f>
        <v/>
      </c>
      <c r="E5" s="16">
        <f>IF(A5="","",COUNTIFS(Completude!$F$2:$F$301,A5,Completude!$B$2:$B$301,B5,Completude!$M$2:$M$301,"Lacuna não explicada"))</f>
        <v/>
      </c>
      <c r="F5" s="16">
        <f>IF(A5="","",COUNTIFS(Completude!$F$2:$F$301,A5,Completude!$B$2:$B$301,B5,Completude!$M$2:$M$301,"Lacuna explicada"))</f>
        <v/>
      </c>
      <c r="G5" s="16">
        <f>IF(A5="","",IF(C5=0,"Sem registros: confirme que o F5 rodou",IF(D5&gt;0,"Pendente de análise",IF(E5&gt;0,"Lacunas não explicadas",IF(F5&gt;0,"Lacunas explicadas","Completo")))))</f>
        <v/>
      </c>
      <c r="H5" s="15" t="n"/>
      <c r="I5" s="15" t="n"/>
      <c r="J5" s="15" t="n"/>
      <c r="K5" s="16">
        <f>IF(H5="","",IF(D5&gt;0,"NÃO – há pendências",IF(AND(H5&lt;&gt;G5,H5&lt;&gt;"Não avaliável"),"NÃO – difere do automático: justificar em ata",IF(H5="Lacunas não explicadas",IF(I5=3,"Sim","NÃO – exige unanimidade"),IF(I5&gt;=2,"Sim","NÃO – sem maioria")))))</f>
        <v/>
      </c>
    </row>
    <row r="6">
      <c r="A6" s="15" t="n"/>
      <c r="B6" s="15" t="n"/>
      <c r="C6" s="16">
        <f>IF(A6="","",COUNTIFS(Completude!$F$2:$F$301,A6,Completude!$B$2:$B$301,B6))</f>
        <v/>
      </c>
      <c r="D6" s="16">
        <f>IF(A6="","",COUNTIFS(Completude!$F$2:$F$301,A6,Completude!$B$2:$B$301,B6,Completude!$M$2:$M$301,"Aguarda*")+COUNTIFS(Completude!$F$2:$F$301,A6,Completude!$B$2:$B$301,B6,Completude!$M$2:$M$301,"NÃO*"))</f>
        <v/>
      </c>
      <c r="E6" s="16">
        <f>IF(A6="","",COUNTIFS(Completude!$F$2:$F$301,A6,Completude!$B$2:$B$301,B6,Completude!$M$2:$M$301,"Lacuna não explicada"))</f>
        <v/>
      </c>
      <c r="F6" s="16">
        <f>IF(A6="","",COUNTIFS(Completude!$F$2:$F$301,A6,Completude!$B$2:$B$301,B6,Completude!$M$2:$M$301,"Lacuna explicada"))</f>
        <v/>
      </c>
      <c r="G6" s="16">
        <f>IF(A6="","",IF(C6=0,"Sem registros: confirme que o F5 rodou",IF(D6&gt;0,"Pendente de análise",IF(E6&gt;0,"Lacunas não explicadas",IF(F6&gt;0,"Lacunas explicadas","Completo")))))</f>
        <v/>
      </c>
      <c r="H6" s="15" t="n"/>
      <c r="I6" s="15" t="n"/>
      <c r="J6" s="15" t="n"/>
      <c r="K6" s="16">
        <f>IF(H6="","",IF(D6&gt;0,"NÃO – há pendências",IF(AND(H6&lt;&gt;G6,H6&lt;&gt;"Não avaliável"),"NÃO – difere do automático: justificar em ata",IF(H6="Lacunas não explicadas",IF(I6=3,"Sim","NÃO – exige unanimidade"),IF(I6&gt;=2,"Sim","NÃO – sem maioria")))))</f>
        <v/>
      </c>
    </row>
    <row r="7">
      <c r="A7" s="15" t="n"/>
      <c r="B7" s="15" t="n"/>
      <c r="C7" s="16">
        <f>IF(A7="","",COUNTIFS(Completude!$F$2:$F$301,A7,Completude!$B$2:$B$301,B7))</f>
        <v/>
      </c>
      <c r="D7" s="16">
        <f>IF(A7="","",COUNTIFS(Completude!$F$2:$F$301,A7,Completude!$B$2:$B$301,B7,Completude!$M$2:$M$301,"Aguarda*")+COUNTIFS(Completude!$F$2:$F$301,A7,Completude!$B$2:$B$301,B7,Completude!$M$2:$M$301,"NÃO*"))</f>
        <v/>
      </c>
      <c r="E7" s="16">
        <f>IF(A7="","",COUNTIFS(Completude!$F$2:$F$301,A7,Completude!$B$2:$B$301,B7,Completude!$M$2:$M$301,"Lacuna não explicada"))</f>
        <v/>
      </c>
      <c r="F7" s="16">
        <f>IF(A7="","",COUNTIFS(Completude!$F$2:$F$301,A7,Completude!$B$2:$B$301,B7,Completude!$M$2:$M$301,"Lacuna explicada"))</f>
        <v/>
      </c>
      <c r="G7" s="16">
        <f>IF(A7="","",IF(C7=0,"Sem registros: confirme que o F5 rodou",IF(D7&gt;0,"Pendente de análise",IF(E7&gt;0,"Lacunas não explicadas",IF(F7&gt;0,"Lacunas explicadas","Completo")))))</f>
        <v/>
      </c>
      <c r="H7" s="15" t="n"/>
      <c r="I7" s="15" t="n"/>
      <c r="J7" s="15" t="n"/>
      <c r="K7" s="16">
        <f>IF(H7="","",IF(D7&gt;0,"NÃO – há pendências",IF(AND(H7&lt;&gt;G7,H7&lt;&gt;"Não avaliável"),"NÃO – difere do automático: justificar em ata",IF(H7="Lacunas não explicadas",IF(I7=3,"Sim","NÃO – exige unanimidade"),IF(I7&gt;=2,"Sim","NÃO – sem maioria")))))</f>
        <v/>
      </c>
    </row>
    <row r="8">
      <c r="A8" s="15" t="n"/>
      <c r="B8" s="15" t="n"/>
      <c r="C8" s="16">
        <f>IF(A8="","",COUNTIFS(Completude!$F$2:$F$301,A8,Completude!$B$2:$B$301,B8))</f>
        <v/>
      </c>
      <c r="D8" s="16">
        <f>IF(A8="","",COUNTIFS(Completude!$F$2:$F$301,A8,Completude!$B$2:$B$301,B8,Completude!$M$2:$M$301,"Aguarda*")+COUNTIFS(Completude!$F$2:$F$301,A8,Completude!$B$2:$B$301,B8,Completude!$M$2:$M$301,"NÃO*"))</f>
        <v/>
      </c>
      <c r="E8" s="16">
        <f>IF(A8="","",COUNTIFS(Completude!$F$2:$F$301,A8,Completude!$B$2:$B$301,B8,Completude!$M$2:$M$301,"Lacuna não explicada"))</f>
        <v/>
      </c>
      <c r="F8" s="16">
        <f>IF(A8="","",COUNTIFS(Completude!$F$2:$F$301,A8,Completude!$B$2:$B$301,B8,Completude!$M$2:$M$301,"Lacuna explicada"))</f>
        <v/>
      </c>
      <c r="G8" s="16">
        <f>IF(A8="","",IF(C8=0,"Sem registros: confirme que o F5 rodou",IF(D8&gt;0,"Pendente de análise",IF(E8&gt;0,"Lacunas não explicadas",IF(F8&gt;0,"Lacunas explicadas","Completo")))))</f>
        <v/>
      </c>
      <c r="H8" s="15" t="n"/>
      <c r="I8" s="15" t="n"/>
      <c r="J8" s="15" t="n"/>
      <c r="K8" s="16">
        <f>IF(H8="","",IF(D8&gt;0,"NÃO – há pendências",IF(AND(H8&lt;&gt;G8,H8&lt;&gt;"Não avaliável"),"NÃO – difere do automático: justificar em ata",IF(H8="Lacunas não explicadas",IF(I8=3,"Sim","NÃO – exige unanimidade"),IF(I8&gt;=2,"Sim","NÃO – sem maioria")))))</f>
        <v/>
      </c>
    </row>
    <row r="9">
      <c r="A9" s="15" t="n"/>
      <c r="B9" s="15" t="n"/>
      <c r="C9" s="16">
        <f>IF(A9="","",COUNTIFS(Completude!$F$2:$F$301,A9,Completude!$B$2:$B$301,B9))</f>
        <v/>
      </c>
      <c r="D9" s="16">
        <f>IF(A9="","",COUNTIFS(Completude!$F$2:$F$301,A9,Completude!$B$2:$B$301,B9,Completude!$M$2:$M$301,"Aguarda*")+COUNTIFS(Completude!$F$2:$F$301,A9,Completude!$B$2:$B$301,B9,Completude!$M$2:$M$301,"NÃO*"))</f>
        <v/>
      </c>
      <c r="E9" s="16">
        <f>IF(A9="","",COUNTIFS(Completude!$F$2:$F$301,A9,Completude!$B$2:$B$301,B9,Completude!$M$2:$M$301,"Lacuna não explicada"))</f>
        <v/>
      </c>
      <c r="F9" s="16">
        <f>IF(A9="","",COUNTIFS(Completude!$F$2:$F$301,A9,Completude!$B$2:$B$301,B9,Completude!$M$2:$M$301,"Lacuna explicada"))</f>
        <v/>
      </c>
      <c r="G9" s="16">
        <f>IF(A9="","",IF(C9=0,"Sem registros: confirme que o F5 rodou",IF(D9&gt;0,"Pendente de análise",IF(E9&gt;0,"Lacunas não explicadas",IF(F9&gt;0,"Lacunas explicadas","Completo")))))</f>
        <v/>
      </c>
      <c r="H9" s="15" t="n"/>
      <c r="I9" s="15" t="n"/>
      <c r="J9" s="15" t="n"/>
      <c r="K9" s="16">
        <f>IF(H9="","",IF(D9&gt;0,"NÃO – há pendências",IF(AND(H9&lt;&gt;G9,H9&lt;&gt;"Não avaliável"),"NÃO – difere do automático: justificar em ata",IF(H9="Lacunas não explicadas",IF(I9=3,"Sim","NÃO – exige unanimidade"),IF(I9&gt;=2,"Sim","NÃO – sem maioria")))))</f>
        <v/>
      </c>
    </row>
    <row r="10">
      <c r="A10" s="15" t="n"/>
      <c r="B10" s="15" t="n"/>
      <c r="C10" s="16">
        <f>IF(A10="","",COUNTIFS(Completude!$F$2:$F$301,A10,Completude!$B$2:$B$301,B10))</f>
        <v/>
      </c>
      <c r="D10" s="16">
        <f>IF(A10="","",COUNTIFS(Completude!$F$2:$F$301,A10,Completude!$B$2:$B$301,B10,Completude!$M$2:$M$301,"Aguarda*")+COUNTIFS(Completude!$F$2:$F$301,A10,Completude!$B$2:$B$301,B10,Completude!$M$2:$M$301,"NÃO*"))</f>
        <v/>
      </c>
      <c r="E10" s="16">
        <f>IF(A10="","",COUNTIFS(Completude!$F$2:$F$301,A10,Completude!$B$2:$B$301,B10,Completude!$M$2:$M$301,"Lacuna não explicada"))</f>
        <v/>
      </c>
      <c r="F10" s="16">
        <f>IF(A10="","",COUNTIFS(Completude!$F$2:$F$301,A10,Completude!$B$2:$B$301,B10,Completude!$M$2:$M$301,"Lacuna explicada"))</f>
        <v/>
      </c>
      <c r="G10" s="16">
        <f>IF(A10="","",IF(C10=0,"Sem registros: confirme que o F5 rodou",IF(D10&gt;0,"Pendente de análise",IF(E10&gt;0,"Lacunas não explicadas",IF(F10&gt;0,"Lacunas explicadas","Completo")))))</f>
        <v/>
      </c>
      <c r="H10" s="15" t="n"/>
      <c r="I10" s="15" t="n"/>
      <c r="J10" s="15" t="n"/>
      <c r="K10" s="16">
        <f>IF(H10="","",IF(D10&gt;0,"NÃO – há pendências",IF(AND(H10&lt;&gt;G10,H10&lt;&gt;"Não avaliável"),"NÃO – difere do automático: justificar em ata",IF(H10="Lacunas não explicadas",IF(I10=3,"Sim","NÃO – exige unanimidade"),IF(I10&gt;=2,"Sim","NÃO – sem maioria")))))</f>
        <v/>
      </c>
    </row>
    <row r="11">
      <c r="A11" s="15" t="n"/>
      <c r="B11" s="15" t="n"/>
      <c r="C11" s="16">
        <f>IF(A11="","",COUNTIFS(Completude!$F$2:$F$301,A11,Completude!$B$2:$B$301,B11))</f>
        <v/>
      </c>
      <c r="D11" s="16">
        <f>IF(A11="","",COUNTIFS(Completude!$F$2:$F$301,A11,Completude!$B$2:$B$301,B11,Completude!$M$2:$M$301,"Aguarda*")+COUNTIFS(Completude!$F$2:$F$301,A11,Completude!$B$2:$B$301,B11,Completude!$M$2:$M$301,"NÃO*"))</f>
        <v/>
      </c>
      <c r="E11" s="16">
        <f>IF(A11="","",COUNTIFS(Completude!$F$2:$F$301,A11,Completude!$B$2:$B$301,B11,Completude!$M$2:$M$301,"Lacuna não explicada"))</f>
        <v/>
      </c>
      <c r="F11" s="16">
        <f>IF(A11="","",COUNTIFS(Completude!$F$2:$F$301,A11,Completude!$B$2:$B$301,B11,Completude!$M$2:$M$301,"Lacuna explicada"))</f>
        <v/>
      </c>
      <c r="G11" s="16">
        <f>IF(A11="","",IF(C11=0,"Sem registros: confirme que o F5 rodou",IF(D11&gt;0,"Pendente de análise",IF(E11&gt;0,"Lacunas não explicadas",IF(F11&gt;0,"Lacunas explicadas","Completo")))))</f>
        <v/>
      </c>
      <c r="H11" s="15" t="n"/>
      <c r="I11" s="15" t="n"/>
      <c r="J11" s="15" t="n"/>
      <c r="K11" s="16">
        <f>IF(H11="","",IF(D11&gt;0,"NÃO – há pendências",IF(AND(H11&lt;&gt;G11,H11&lt;&gt;"Não avaliável"),"NÃO – difere do automático: justificar em ata",IF(H11="Lacunas não explicadas",IF(I11=3,"Sim","NÃO – exige unanimidade"),IF(I11&gt;=2,"Sim","NÃO – sem maioria")))))</f>
        <v/>
      </c>
    </row>
    <row r="12">
      <c r="A12" s="15" t="n"/>
      <c r="B12" s="15" t="n"/>
      <c r="C12" s="16">
        <f>IF(A12="","",COUNTIFS(Completude!$F$2:$F$301,A12,Completude!$B$2:$B$301,B12))</f>
        <v/>
      </c>
      <c r="D12" s="16">
        <f>IF(A12="","",COUNTIFS(Completude!$F$2:$F$301,A12,Completude!$B$2:$B$301,B12,Completude!$M$2:$M$301,"Aguarda*")+COUNTIFS(Completude!$F$2:$F$301,A12,Completude!$B$2:$B$301,B12,Completude!$M$2:$M$301,"NÃO*"))</f>
        <v/>
      </c>
      <c r="E12" s="16">
        <f>IF(A12="","",COUNTIFS(Completude!$F$2:$F$301,A12,Completude!$B$2:$B$301,B12,Completude!$M$2:$M$301,"Lacuna não explicada"))</f>
        <v/>
      </c>
      <c r="F12" s="16">
        <f>IF(A12="","",COUNTIFS(Completude!$F$2:$F$301,A12,Completude!$B$2:$B$301,B12,Completude!$M$2:$M$301,"Lacuna explicada"))</f>
        <v/>
      </c>
      <c r="G12" s="16">
        <f>IF(A12="","",IF(C12=0,"Sem registros: confirme que o F5 rodou",IF(D12&gt;0,"Pendente de análise",IF(E12&gt;0,"Lacunas não explicadas",IF(F12&gt;0,"Lacunas explicadas","Completo")))))</f>
        <v/>
      </c>
      <c r="H12" s="15" t="n"/>
      <c r="I12" s="15" t="n"/>
      <c r="J12" s="15" t="n"/>
      <c r="K12" s="16">
        <f>IF(H12="","",IF(D12&gt;0,"NÃO – há pendências",IF(AND(H12&lt;&gt;G12,H12&lt;&gt;"Não avaliável"),"NÃO – difere do automático: justificar em ata",IF(H12="Lacunas não explicadas",IF(I12=3,"Sim","NÃO – exige unanimidade"),IF(I12&gt;=2,"Sim","NÃO – sem maioria")))))</f>
        <v/>
      </c>
    </row>
    <row r="13">
      <c r="A13" s="15" t="n"/>
      <c r="B13" s="15" t="n"/>
      <c r="C13" s="16">
        <f>IF(A13="","",COUNTIFS(Completude!$F$2:$F$301,A13,Completude!$B$2:$B$301,B13))</f>
        <v/>
      </c>
      <c r="D13" s="16">
        <f>IF(A13="","",COUNTIFS(Completude!$F$2:$F$301,A13,Completude!$B$2:$B$301,B13,Completude!$M$2:$M$301,"Aguarda*")+COUNTIFS(Completude!$F$2:$F$301,A13,Completude!$B$2:$B$301,B13,Completude!$M$2:$M$301,"NÃO*"))</f>
        <v/>
      </c>
      <c r="E13" s="16">
        <f>IF(A13="","",COUNTIFS(Completude!$F$2:$F$301,A13,Completude!$B$2:$B$301,B13,Completude!$M$2:$M$301,"Lacuna não explicada"))</f>
        <v/>
      </c>
      <c r="F13" s="16">
        <f>IF(A13="","",COUNTIFS(Completude!$F$2:$F$301,A13,Completude!$B$2:$B$301,B13,Completude!$M$2:$M$301,"Lacuna explicada"))</f>
        <v/>
      </c>
      <c r="G13" s="16">
        <f>IF(A13="","",IF(C13=0,"Sem registros: confirme que o F5 rodou",IF(D13&gt;0,"Pendente de análise",IF(E13&gt;0,"Lacunas não explicadas",IF(F13&gt;0,"Lacunas explicadas","Completo")))))</f>
        <v/>
      </c>
      <c r="H13" s="15" t="n"/>
      <c r="I13" s="15" t="n"/>
      <c r="J13" s="15" t="n"/>
      <c r="K13" s="16">
        <f>IF(H13="","",IF(D13&gt;0,"NÃO – há pendências",IF(AND(H13&lt;&gt;G13,H13&lt;&gt;"Não avaliável"),"NÃO – difere do automático: justificar em ata",IF(H13="Lacunas não explicadas",IF(I13=3,"Sim","NÃO – exige unanimidade"),IF(I13&gt;=2,"Sim","NÃO – sem maioria")))))</f>
        <v/>
      </c>
    </row>
    <row r="14">
      <c r="A14" s="15" t="n"/>
      <c r="B14" s="15" t="n"/>
      <c r="C14" s="16">
        <f>IF(A14="","",COUNTIFS(Completude!$F$2:$F$301,A14,Completude!$B$2:$B$301,B14))</f>
        <v/>
      </c>
      <c r="D14" s="16">
        <f>IF(A14="","",COUNTIFS(Completude!$F$2:$F$301,A14,Completude!$B$2:$B$301,B14,Completude!$M$2:$M$301,"Aguarda*")+COUNTIFS(Completude!$F$2:$F$301,A14,Completude!$B$2:$B$301,B14,Completude!$M$2:$M$301,"NÃO*"))</f>
        <v/>
      </c>
      <c r="E14" s="16">
        <f>IF(A14="","",COUNTIFS(Completude!$F$2:$F$301,A14,Completude!$B$2:$B$301,B14,Completude!$M$2:$M$301,"Lacuna não explicada"))</f>
        <v/>
      </c>
      <c r="F14" s="16">
        <f>IF(A14="","",COUNTIFS(Completude!$F$2:$F$301,A14,Completude!$B$2:$B$301,B14,Completude!$M$2:$M$301,"Lacuna explicada"))</f>
        <v/>
      </c>
      <c r="G14" s="16">
        <f>IF(A14="","",IF(C14=0,"Sem registros: confirme que o F5 rodou",IF(D14&gt;0,"Pendente de análise",IF(E14&gt;0,"Lacunas não explicadas",IF(F14&gt;0,"Lacunas explicadas","Completo")))))</f>
        <v/>
      </c>
      <c r="H14" s="15" t="n"/>
      <c r="I14" s="15" t="n"/>
      <c r="J14" s="15" t="n"/>
      <c r="K14" s="16">
        <f>IF(H14="","",IF(D14&gt;0,"NÃO – há pendências",IF(AND(H14&lt;&gt;G14,H14&lt;&gt;"Não avaliável"),"NÃO – difere do automático: justificar em ata",IF(H14="Lacunas não explicadas",IF(I14=3,"Sim","NÃO – exige unanimidade"),IF(I14&gt;=2,"Sim","NÃO – sem maioria")))))</f>
        <v/>
      </c>
    </row>
    <row r="15">
      <c r="A15" s="15" t="n"/>
      <c r="B15" s="15" t="n"/>
      <c r="C15" s="16">
        <f>IF(A15="","",COUNTIFS(Completude!$F$2:$F$301,A15,Completude!$B$2:$B$301,B15))</f>
        <v/>
      </c>
      <c r="D15" s="16">
        <f>IF(A15="","",COUNTIFS(Completude!$F$2:$F$301,A15,Completude!$B$2:$B$301,B15,Completude!$M$2:$M$301,"Aguarda*")+COUNTIFS(Completude!$F$2:$F$301,A15,Completude!$B$2:$B$301,B15,Completude!$M$2:$M$301,"NÃO*"))</f>
        <v/>
      </c>
      <c r="E15" s="16">
        <f>IF(A15="","",COUNTIFS(Completude!$F$2:$F$301,A15,Completude!$B$2:$B$301,B15,Completude!$M$2:$M$301,"Lacuna não explicada"))</f>
        <v/>
      </c>
      <c r="F15" s="16">
        <f>IF(A15="","",COUNTIFS(Completude!$F$2:$F$301,A15,Completude!$B$2:$B$301,B15,Completude!$M$2:$M$301,"Lacuna explicada"))</f>
        <v/>
      </c>
      <c r="G15" s="16">
        <f>IF(A15="","",IF(C15=0,"Sem registros: confirme que o F5 rodou",IF(D15&gt;0,"Pendente de análise",IF(E15&gt;0,"Lacunas não explicadas",IF(F15&gt;0,"Lacunas explicadas","Completo")))))</f>
        <v/>
      </c>
      <c r="H15" s="15" t="n"/>
      <c r="I15" s="15" t="n"/>
      <c r="J15" s="15" t="n"/>
      <c r="K15" s="16">
        <f>IF(H15="","",IF(D15&gt;0,"NÃO – há pendências",IF(AND(H15&lt;&gt;G15,H15&lt;&gt;"Não avaliável"),"NÃO – difere do automático: justificar em ata",IF(H15="Lacunas não explicadas",IF(I15=3,"Sim","NÃO – exige unanimidade"),IF(I15&gt;=2,"Sim","NÃO – sem maioria")))))</f>
        <v/>
      </c>
    </row>
    <row r="16">
      <c r="A16" s="15" t="n"/>
      <c r="B16" s="15" t="n"/>
      <c r="C16" s="16">
        <f>IF(A16="","",COUNTIFS(Completude!$F$2:$F$301,A16,Completude!$B$2:$B$301,B16))</f>
        <v/>
      </c>
      <c r="D16" s="16">
        <f>IF(A16="","",COUNTIFS(Completude!$F$2:$F$301,A16,Completude!$B$2:$B$301,B16,Completude!$M$2:$M$301,"Aguarda*")+COUNTIFS(Completude!$F$2:$F$301,A16,Completude!$B$2:$B$301,B16,Completude!$M$2:$M$301,"NÃO*"))</f>
        <v/>
      </c>
      <c r="E16" s="16">
        <f>IF(A16="","",COUNTIFS(Completude!$F$2:$F$301,A16,Completude!$B$2:$B$301,B16,Completude!$M$2:$M$301,"Lacuna não explicada"))</f>
        <v/>
      </c>
      <c r="F16" s="16">
        <f>IF(A16="","",COUNTIFS(Completude!$F$2:$F$301,A16,Completude!$B$2:$B$301,B16,Completude!$M$2:$M$301,"Lacuna explicada"))</f>
        <v/>
      </c>
      <c r="G16" s="16">
        <f>IF(A16="","",IF(C16=0,"Sem registros: confirme que o F5 rodou",IF(D16&gt;0,"Pendente de análise",IF(E16&gt;0,"Lacunas não explicadas",IF(F16&gt;0,"Lacunas explicadas","Completo")))))</f>
        <v/>
      </c>
      <c r="H16" s="15" t="n"/>
      <c r="I16" s="15" t="n"/>
      <c r="J16" s="15" t="n"/>
      <c r="K16" s="16">
        <f>IF(H16="","",IF(D16&gt;0,"NÃO – há pendências",IF(AND(H16&lt;&gt;G16,H16&lt;&gt;"Não avaliável"),"NÃO – difere do automático: justificar em ata",IF(H16="Lacunas não explicadas",IF(I16=3,"Sim","NÃO – exige unanimidade"),IF(I16&gt;=2,"Sim","NÃO – sem maioria")))))</f>
        <v/>
      </c>
    </row>
    <row r="17">
      <c r="A17" s="15" t="n"/>
      <c r="B17" s="15" t="n"/>
      <c r="C17" s="16">
        <f>IF(A17="","",COUNTIFS(Completude!$F$2:$F$301,A17,Completude!$B$2:$B$301,B17))</f>
        <v/>
      </c>
      <c r="D17" s="16">
        <f>IF(A17="","",COUNTIFS(Completude!$F$2:$F$301,A17,Completude!$B$2:$B$301,B17,Completude!$M$2:$M$301,"Aguarda*")+COUNTIFS(Completude!$F$2:$F$301,A17,Completude!$B$2:$B$301,B17,Completude!$M$2:$M$301,"NÃO*"))</f>
        <v/>
      </c>
      <c r="E17" s="16">
        <f>IF(A17="","",COUNTIFS(Completude!$F$2:$F$301,A17,Completude!$B$2:$B$301,B17,Completude!$M$2:$M$301,"Lacuna não explicada"))</f>
        <v/>
      </c>
      <c r="F17" s="16">
        <f>IF(A17="","",COUNTIFS(Completude!$F$2:$F$301,A17,Completude!$B$2:$B$301,B17,Completude!$M$2:$M$301,"Lacuna explicada"))</f>
        <v/>
      </c>
      <c r="G17" s="16">
        <f>IF(A17="","",IF(C17=0,"Sem registros: confirme que o F5 rodou",IF(D17&gt;0,"Pendente de análise",IF(E17&gt;0,"Lacunas não explicadas",IF(F17&gt;0,"Lacunas explicadas","Completo")))))</f>
        <v/>
      </c>
      <c r="H17" s="15" t="n"/>
      <c r="I17" s="15" t="n"/>
      <c r="J17" s="15" t="n"/>
      <c r="K17" s="16">
        <f>IF(H17="","",IF(D17&gt;0,"NÃO – há pendências",IF(AND(H17&lt;&gt;G17,H17&lt;&gt;"Não avaliável"),"NÃO – difere do automático: justificar em ata",IF(H17="Lacunas não explicadas",IF(I17=3,"Sim","NÃO – exige unanimidade"),IF(I17&gt;=2,"Sim","NÃO – sem maioria")))))</f>
        <v/>
      </c>
    </row>
    <row r="18">
      <c r="A18" s="15" t="n"/>
      <c r="B18" s="15" t="n"/>
      <c r="C18" s="16">
        <f>IF(A18="","",COUNTIFS(Completude!$F$2:$F$301,A18,Completude!$B$2:$B$301,B18))</f>
        <v/>
      </c>
      <c r="D18" s="16">
        <f>IF(A18="","",COUNTIFS(Completude!$F$2:$F$301,A18,Completude!$B$2:$B$301,B18,Completude!$M$2:$M$301,"Aguarda*")+COUNTIFS(Completude!$F$2:$F$301,A18,Completude!$B$2:$B$301,B18,Completude!$M$2:$M$301,"NÃO*"))</f>
        <v/>
      </c>
      <c r="E18" s="16">
        <f>IF(A18="","",COUNTIFS(Completude!$F$2:$F$301,A18,Completude!$B$2:$B$301,B18,Completude!$M$2:$M$301,"Lacuna não explicada"))</f>
        <v/>
      </c>
      <c r="F18" s="16">
        <f>IF(A18="","",COUNTIFS(Completude!$F$2:$F$301,A18,Completude!$B$2:$B$301,B18,Completude!$M$2:$M$301,"Lacuna explicada"))</f>
        <v/>
      </c>
      <c r="G18" s="16">
        <f>IF(A18="","",IF(C18=0,"Sem registros: confirme que o F5 rodou",IF(D18&gt;0,"Pendente de análise",IF(E18&gt;0,"Lacunas não explicadas",IF(F18&gt;0,"Lacunas explicadas","Completo")))))</f>
        <v/>
      </c>
      <c r="H18" s="15" t="n"/>
      <c r="I18" s="15" t="n"/>
      <c r="J18" s="15" t="n"/>
      <c r="K18" s="16">
        <f>IF(H18="","",IF(D18&gt;0,"NÃO – há pendências",IF(AND(H18&lt;&gt;G18,H18&lt;&gt;"Não avaliável"),"NÃO – difere do automático: justificar em ata",IF(H18="Lacunas não explicadas",IF(I18=3,"Sim","NÃO – exige unanimidade"),IF(I18&gt;=2,"Sim","NÃO – sem maioria")))))</f>
        <v/>
      </c>
    </row>
    <row r="19">
      <c r="A19" s="15" t="n"/>
      <c r="B19" s="15" t="n"/>
      <c r="C19" s="16">
        <f>IF(A19="","",COUNTIFS(Completude!$F$2:$F$301,A19,Completude!$B$2:$B$301,B19))</f>
        <v/>
      </c>
      <c r="D19" s="16">
        <f>IF(A19="","",COUNTIFS(Completude!$F$2:$F$301,A19,Completude!$B$2:$B$301,B19,Completude!$M$2:$M$301,"Aguarda*")+COUNTIFS(Completude!$F$2:$F$301,A19,Completude!$B$2:$B$301,B19,Completude!$M$2:$M$301,"NÃO*"))</f>
        <v/>
      </c>
      <c r="E19" s="16">
        <f>IF(A19="","",COUNTIFS(Completude!$F$2:$F$301,A19,Completude!$B$2:$B$301,B19,Completude!$M$2:$M$301,"Lacuna não explicada"))</f>
        <v/>
      </c>
      <c r="F19" s="16">
        <f>IF(A19="","",COUNTIFS(Completude!$F$2:$F$301,A19,Completude!$B$2:$B$301,B19,Completude!$M$2:$M$301,"Lacuna explicada"))</f>
        <v/>
      </c>
      <c r="G19" s="16">
        <f>IF(A19="","",IF(C19=0,"Sem registros: confirme que o F5 rodou",IF(D19&gt;0,"Pendente de análise",IF(E19&gt;0,"Lacunas não explicadas",IF(F19&gt;0,"Lacunas explicadas","Completo")))))</f>
        <v/>
      </c>
      <c r="H19" s="15" t="n"/>
      <c r="I19" s="15" t="n"/>
      <c r="J19" s="15" t="n"/>
      <c r="K19" s="16">
        <f>IF(H19="","",IF(D19&gt;0,"NÃO – há pendências",IF(AND(H19&lt;&gt;G19,H19&lt;&gt;"Não avaliável"),"NÃO – difere do automático: justificar em ata",IF(H19="Lacunas não explicadas",IF(I19=3,"Sim","NÃO – exige unanimidade"),IF(I19&gt;=2,"Sim","NÃO – sem maioria")))))</f>
        <v/>
      </c>
    </row>
    <row r="20">
      <c r="A20" s="15" t="n"/>
      <c r="B20" s="15" t="n"/>
      <c r="C20" s="16">
        <f>IF(A20="","",COUNTIFS(Completude!$F$2:$F$301,A20,Completude!$B$2:$B$301,B20))</f>
        <v/>
      </c>
      <c r="D20" s="16">
        <f>IF(A20="","",COUNTIFS(Completude!$F$2:$F$301,A20,Completude!$B$2:$B$301,B20,Completude!$M$2:$M$301,"Aguarda*")+COUNTIFS(Completude!$F$2:$F$301,A20,Completude!$B$2:$B$301,B20,Completude!$M$2:$M$301,"NÃO*"))</f>
        <v/>
      </c>
      <c r="E20" s="16">
        <f>IF(A20="","",COUNTIFS(Completude!$F$2:$F$301,A20,Completude!$B$2:$B$301,B20,Completude!$M$2:$M$301,"Lacuna não explicada"))</f>
        <v/>
      </c>
      <c r="F20" s="16">
        <f>IF(A20="","",COUNTIFS(Completude!$F$2:$F$301,A20,Completude!$B$2:$B$301,B20,Completude!$M$2:$M$301,"Lacuna explicada"))</f>
        <v/>
      </c>
      <c r="G20" s="16">
        <f>IF(A20="","",IF(C20=0,"Sem registros: confirme que o F5 rodou",IF(D20&gt;0,"Pendente de análise",IF(E20&gt;0,"Lacunas não explicadas",IF(F20&gt;0,"Lacunas explicadas","Completo")))))</f>
        <v/>
      </c>
      <c r="H20" s="15" t="n"/>
      <c r="I20" s="15" t="n"/>
      <c r="J20" s="15" t="n"/>
      <c r="K20" s="16">
        <f>IF(H20="","",IF(D20&gt;0,"NÃO – há pendências",IF(AND(H20&lt;&gt;G20,H20&lt;&gt;"Não avaliável"),"NÃO – difere do automático: justificar em ata",IF(H20="Lacunas não explicadas",IF(I20=3,"Sim","NÃO – exige unanimidade"),IF(I20&gt;=2,"Sim","NÃO – sem maioria")))))</f>
        <v/>
      </c>
    </row>
    <row r="21">
      <c r="A21" s="15" t="n"/>
      <c r="B21" s="15" t="n"/>
      <c r="C21" s="16">
        <f>IF(A21="","",COUNTIFS(Completude!$F$2:$F$301,A21,Completude!$B$2:$B$301,B21))</f>
        <v/>
      </c>
      <c r="D21" s="16">
        <f>IF(A21="","",COUNTIFS(Completude!$F$2:$F$301,A21,Completude!$B$2:$B$301,B21,Completude!$M$2:$M$301,"Aguarda*")+COUNTIFS(Completude!$F$2:$F$301,A21,Completude!$B$2:$B$301,B21,Completude!$M$2:$M$301,"NÃO*"))</f>
        <v/>
      </c>
      <c r="E21" s="16">
        <f>IF(A21="","",COUNTIFS(Completude!$F$2:$F$301,A21,Completude!$B$2:$B$301,B21,Completude!$M$2:$M$301,"Lacuna não explicada"))</f>
        <v/>
      </c>
      <c r="F21" s="16">
        <f>IF(A21="","",COUNTIFS(Completude!$F$2:$F$301,A21,Completude!$B$2:$B$301,B21,Completude!$M$2:$M$301,"Lacuna explicada"))</f>
        <v/>
      </c>
      <c r="G21" s="16">
        <f>IF(A21="","",IF(C21=0,"Sem registros: confirme que o F5 rodou",IF(D21&gt;0,"Pendente de análise",IF(E21&gt;0,"Lacunas não explicadas",IF(F21&gt;0,"Lacunas explicadas","Completo")))))</f>
        <v/>
      </c>
      <c r="H21" s="15" t="n"/>
      <c r="I21" s="15" t="n"/>
      <c r="J21" s="15" t="n"/>
      <c r="K21" s="16">
        <f>IF(H21="","",IF(D21&gt;0,"NÃO – há pendências",IF(AND(H21&lt;&gt;G21,H21&lt;&gt;"Não avaliável"),"NÃO – difere do automático: justificar em ata",IF(H21="Lacunas não explicadas",IF(I21=3,"Sim","NÃO – exige unanimidade"),IF(I21&gt;=2,"Sim","NÃO – sem maioria")))))</f>
        <v/>
      </c>
    </row>
    <row r="22">
      <c r="A22" s="15" t="n"/>
      <c r="B22" s="15" t="n"/>
      <c r="C22" s="16">
        <f>IF(A22="","",COUNTIFS(Completude!$F$2:$F$301,A22,Completude!$B$2:$B$301,B22))</f>
        <v/>
      </c>
      <c r="D22" s="16">
        <f>IF(A22="","",COUNTIFS(Completude!$F$2:$F$301,A22,Completude!$B$2:$B$301,B22,Completude!$M$2:$M$301,"Aguarda*")+COUNTIFS(Completude!$F$2:$F$301,A22,Completude!$B$2:$B$301,B22,Completude!$M$2:$M$301,"NÃO*"))</f>
        <v/>
      </c>
      <c r="E22" s="16">
        <f>IF(A22="","",COUNTIFS(Completude!$F$2:$F$301,A22,Completude!$B$2:$B$301,B22,Completude!$M$2:$M$301,"Lacuna não explicada"))</f>
        <v/>
      </c>
      <c r="F22" s="16">
        <f>IF(A22="","",COUNTIFS(Completude!$F$2:$F$301,A22,Completude!$B$2:$B$301,B22,Completude!$M$2:$M$301,"Lacuna explicada"))</f>
        <v/>
      </c>
      <c r="G22" s="16">
        <f>IF(A22="","",IF(C22=0,"Sem registros: confirme que o F5 rodou",IF(D22&gt;0,"Pendente de análise",IF(E22&gt;0,"Lacunas não explicadas",IF(F22&gt;0,"Lacunas explicadas","Completo")))))</f>
        <v/>
      </c>
      <c r="H22" s="15" t="n"/>
      <c r="I22" s="15" t="n"/>
      <c r="J22" s="15" t="n"/>
      <c r="K22" s="16">
        <f>IF(H22="","",IF(D22&gt;0,"NÃO – há pendências",IF(AND(H22&lt;&gt;G22,H22&lt;&gt;"Não avaliável"),"NÃO – difere do automático: justificar em ata",IF(H22="Lacunas não explicadas",IF(I22=3,"Sim","NÃO – exige unanimidade"),IF(I22&gt;=2,"Sim","NÃO – sem maioria")))))</f>
        <v/>
      </c>
    </row>
    <row r="23">
      <c r="A23" s="15" t="n"/>
      <c r="B23" s="15" t="n"/>
      <c r="C23" s="16">
        <f>IF(A23="","",COUNTIFS(Completude!$F$2:$F$301,A23,Completude!$B$2:$B$301,B23))</f>
        <v/>
      </c>
      <c r="D23" s="16">
        <f>IF(A23="","",COUNTIFS(Completude!$F$2:$F$301,A23,Completude!$B$2:$B$301,B23,Completude!$M$2:$M$301,"Aguarda*")+COUNTIFS(Completude!$F$2:$F$301,A23,Completude!$B$2:$B$301,B23,Completude!$M$2:$M$301,"NÃO*"))</f>
        <v/>
      </c>
      <c r="E23" s="16">
        <f>IF(A23="","",COUNTIFS(Completude!$F$2:$F$301,A23,Completude!$B$2:$B$301,B23,Completude!$M$2:$M$301,"Lacuna não explicada"))</f>
        <v/>
      </c>
      <c r="F23" s="16">
        <f>IF(A23="","",COUNTIFS(Completude!$F$2:$F$301,A23,Completude!$B$2:$B$301,B23,Completude!$M$2:$M$301,"Lacuna explicada"))</f>
        <v/>
      </c>
      <c r="G23" s="16">
        <f>IF(A23="","",IF(C23=0,"Sem registros: confirme que o F5 rodou",IF(D23&gt;0,"Pendente de análise",IF(E23&gt;0,"Lacunas não explicadas",IF(F23&gt;0,"Lacunas explicadas","Completo")))))</f>
        <v/>
      </c>
      <c r="H23" s="15" t="n"/>
      <c r="I23" s="15" t="n"/>
      <c r="J23" s="15" t="n"/>
      <c r="K23" s="16">
        <f>IF(H23="","",IF(D23&gt;0,"NÃO – há pendências",IF(AND(H23&lt;&gt;G23,H23&lt;&gt;"Não avaliável"),"NÃO – difere do automático: justificar em ata",IF(H23="Lacunas não explicadas",IF(I23=3,"Sim","NÃO – exige unanimidade"),IF(I23&gt;=2,"Sim","NÃO – sem maioria")))))</f>
        <v/>
      </c>
    </row>
    <row r="24">
      <c r="A24" s="15" t="n"/>
      <c r="B24" s="15" t="n"/>
      <c r="C24" s="16">
        <f>IF(A24="","",COUNTIFS(Completude!$F$2:$F$301,A24,Completude!$B$2:$B$301,B24))</f>
        <v/>
      </c>
      <c r="D24" s="16">
        <f>IF(A24="","",COUNTIFS(Completude!$F$2:$F$301,A24,Completude!$B$2:$B$301,B24,Completude!$M$2:$M$301,"Aguarda*")+COUNTIFS(Completude!$F$2:$F$301,A24,Completude!$B$2:$B$301,B24,Completude!$M$2:$M$301,"NÃO*"))</f>
        <v/>
      </c>
      <c r="E24" s="16">
        <f>IF(A24="","",COUNTIFS(Completude!$F$2:$F$301,A24,Completude!$B$2:$B$301,B24,Completude!$M$2:$M$301,"Lacuna não explicada"))</f>
        <v/>
      </c>
      <c r="F24" s="16">
        <f>IF(A24="","",COUNTIFS(Completude!$F$2:$F$301,A24,Completude!$B$2:$B$301,B24,Completude!$M$2:$M$301,"Lacuna explicada"))</f>
        <v/>
      </c>
      <c r="G24" s="16">
        <f>IF(A24="","",IF(C24=0,"Sem registros: confirme que o F5 rodou",IF(D24&gt;0,"Pendente de análise",IF(E24&gt;0,"Lacunas não explicadas",IF(F24&gt;0,"Lacunas explicadas","Completo")))))</f>
        <v/>
      </c>
      <c r="H24" s="15" t="n"/>
      <c r="I24" s="15" t="n"/>
      <c r="J24" s="15" t="n"/>
      <c r="K24" s="16">
        <f>IF(H24="","",IF(D24&gt;0,"NÃO – há pendências",IF(AND(H24&lt;&gt;G24,H24&lt;&gt;"Não avaliável"),"NÃO – difere do automático: justificar em ata",IF(H24="Lacunas não explicadas",IF(I24=3,"Sim","NÃO – exige unanimidade"),IF(I24&gt;=2,"Sim","NÃO – sem maioria")))))</f>
        <v/>
      </c>
    </row>
    <row r="25">
      <c r="A25" s="15" t="n"/>
      <c r="B25" s="15" t="n"/>
      <c r="C25" s="16">
        <f>IF(A25="","",COUNTIFS(Completude!$F$2:$F$301,A25,Completude!$B$2:$B$301,B25))</f>
        <v/>
      </c>
      <c r="D25" s="16">
        <f>IF(A25="","",COUNTIFS(Completude!$F$2:$F$301,A25,Completude!$B$2:$B$301,B25,Completude!$M$2:$M$301,"Aguarda*")+COUNTIFS(Completude!$F$2:$F$301,A25,Completude!$B$2:$B$301,B25,Completude!$M$2:$M$301,"NÃO*"))</f>
        <v/>
      </c>
      <c r="E25" s="16">
        <f>IF(A25="","",COUNTIFS(Completude!$F$2:$F$301,A25,Completude!$B$2:$B$301,B25,Completude!$M$2:$M$301,"Lacuna não explicada"))</f>
        <v/>
      </c>
      <c r="F25" s="16">
        <f>IF(A25="","",COUNTIFS(Completude!$F$2:$F$301,A25,Completude!$B$2:$B$301,B25,Completude!$M$2:$M$301,"Lacuna explicada"))</f>
        <v/>
      </c>
      <c r="G25" s="16">
        <f>IF(A25="","",IF(C25=0,"Sem registros: confirme que o F5 rodou",IF(D25&gt;0,"Pendente de análise",IF(E25&gt;0,"Lacunas não explicadas",IF(F25&gt;0,"Lacunas explicadas","Completo")))))</f>
        <v/>
      </c>
      <c r="H25" s="15" t="n"/>
      <c r="I25" s="15" t="n"/>
      <c r="J25" s="15" t="n"/>
      <c r="K25" s="16">
        <f>IF(H25="","",IF(D25&gt;0,"NÃO – há pendências",IF(AND(H25&lt;&gt;G25,H25&lt;&gt;"Não avaliável"),"NÃO – difere do automático: justificar em ata",IF(H25="Lacunas não explicadas",IF(I25=3,"Sim","NÃO – exige unanimidade"),IF(I25&gt;=2,"Sim","NÃO – sem maioria")))))</f>
        <v/>
      </c>
    </row>
    <row r="26">
      <c r="A26" s="15" t="n"/>
      <c r="B26" s="15" t="n"/>
      <c r="C26" s="16">
        <f>IF(A26="","",COUNTIFS(Completude!$F$2:$F$301,A26,Completude!$B$2:$B$301,B26))</f>
        <v/>
      </c>
      <c r="D26" s="16">
        <f>IF(A26="","",COUNTIFS(Completude!$F$2:$F$301,A26,Completude!$B$2:$B$301,B26,Completude!$M$2:$M$301,"Aguarda*")+COUNTIFS(Completude!$F$2:$F$301,A26,Completude!$B$2:$B$301,B26,Completude!$M$2:$M$301,"NÃO*"))</f>
        <v/>
      </c>
      <c r="E26" s="16">
        <f>IF(A26="","",COUNTIFS(Completude!$F$2:$F$301,A26,Completude!$B$2:$B$301,B26,Completude!$M$2:$M$301,"Lacuna não explicada"))</f>
        <v/>
      </c>
      <c r="F26" s="16">
        <f>IF(A26="","",COUNTIFS(Completude!$F$2:$F$301,A26,Completude!$B$2:$B$301,B26,Completude!$M$2:$M$301,"Lacuna explicada"))</f>
        <v/>
      </c>
      <c r="G26" s="16">
        <f>IF(A26="","",IF(C26=0,"Sem registros: confirme que o F5 rodou",IF(D26&gt;0,"Pendente de análise",IF(E26&gt;0,"Lacunas não explicadas",IF(F26&gt;0,"Lacunas explicadas","Completo")))))</f>
        <v/>
      </c>
      <c r="H26" s="15" t="n"/>
      <c r="I26" s="15" t="n"/>
      <c r="J26" s="15" t="n"/>
      <c r="K26" s="16">
        <f>IF(H26="","",IF(D26&gt;0,"NÃO – há pendências",IF(AND(H26&lt;&gt;G26,H26&lt;&gt;"Não avaliável"),"NÃO – difere do automático: justificar em ata",IF(H26="Lacunas não explicadas",IF(I26=3,"Sim","NÃO – exige unanimidade"),IF(I26&gt;=2,"Sim","NÃO – sem maioria")))))</f>
        <v/>
      </c>
    </row>
    <row r="27">
      <c r="A27" s="15" t="n"/>
      <c r="B27" s="15" t="n"/>
      <c r="C27" s="16">
        <f>IF(A27="","",COUNTIFS(Completude!$F$2:$F$301,A27,Completude!$B$2:$B$301,B27))</f>
        <v/>
      </c>
      <c r="D27" s="16">
        <f>IF(A27="","",COUNTIFS(Completude!$F$2:$F$301,A27,Completude!$B$2:$B$301,B27,Completude!$M$2:$M$301,"Aguarda*")+COUNTIFS(Completude!$F$2:$F$301,A27,Completude!$B$2:$B$301,B27,Completude!$M$2:$M$301,"NÃO*"))</f>
        <v/>
      </c>
      <c r="E27" s="16">
        <f>IF(A27="","",COUNTIFS(Completude!$F$2:$F$301,A27,Completude!$B$2:$B$301,B27,Completude!$M$2:$M$301,"Lacuna não explicada"))</f>
        <v/>
      </c>
      <c r="F27" s="16">
        <f>IF(A27="","",COUNTIFS(Completude!$F$2:$F$301,A27,Completude!$B$2:$B$301,B27,Completude!$M$2:$M$301,"Lacuna explicada"))</f>
        <v/>
      </c>
      <c r="G27" s="16">
        <f>IF(A27="","",IF(C27=0,"Sem registros: confirme que o F5 rodou",IF(D27&gt;0,"Pendente de análise",IF(E27&gt;0,"Lacunas não explicadas",IF(F27&gt;0,"Lacunas explicadas","Completo")))))</f>
        <v/>
      </c>
      <c r="H27" s="15" t="n"/>
      <c r="I27" s="15" t="n"/>
      <c r="J27" s="15" t="n"/>
      <c r="K27" s="16">
        <f>IF(H27="","",IF(D27&gt;0,"NÃO – há pendências",IF(AND(H27&lt;&gt;G27,H27&lt;&gt;"Não avaliável"),"NÃO – difere do automático: justificar em ata",IF(H27="Lacunas não explicadas",IF(I27=3,"Sim","NÃO – exige unanimidade"),IF(I27&gt;=2,"Sim","NÃO – sem maioria")))))</f>
        <v/>
      </c>
    </row>
    <row r="28">
      <c r="A28" s="15" t="n"/>
      <c r="B28" s="15" t="n"/>
      <c r="C28" s="16">
        <f>IF(A28="","",COUNTIFS(Completude!$F$2:$F$301,A28,Completude!$B$2:$B$301,B28))</f>
        <v/>
      </c>
      <c r="D28" s="16">
        <f>IF(A28="","",COUNTIFS(Completude!$F$2:$F$301,A28,Completude!$B$2:$B$301,B28,Completude!$M$2:$M$301,"Aguarda*")+COUNTIFS(Completude!$F$2:$F$301,A28,Completude!$B$2:$B$301,B28,Completude!$M$2:$M$301,"NÃO*"))</f>
        <v/>
      </c>
      <c r="E28" s="16">
        <f>IF(A28="","",COUNTIFS(Completude!$F$2:$F$301,A28,Completude!$B$2:$B$301,B28,Completude!$M$2:$M$301,"Lacuna não explicada"))</f>
        <v/>
      </c>
      <c r="F28" s="16">
        <f>IF(A28="","",COUNTIFS(Completude!$F$2:$F$301,A28,Completude!$B$2:$B$301,B28,Completude!$M$2:$M$301,"Lacuna explicada"))</f>
        <v/>
      </c>
      <c r="G28" s="16">
        <f>IF(A28="","",IF(C28=0,"Sem registros: confirme que o F5 rodou",IF(D28&gt;0,"Pendente de análise",IF(E28&gt;0,"Lacunas não explicadas",IF(F28&gt;0,"Lacunas explicadas","Completo")))))</f>
        <v/>
      </c>
      <c r="H28" s="15" t="n"/>
      <c r="I28" s="15" t="n"/>
      <c r="J28" s="15" t="n"/>
      <c r="K28" s="16">
        <f>IF(H28="","",IF(D28&gt;0,"NÃO – há pendências",IF(AND(H28&lt;&gt;G28,H28&lt;&gt;"Não avaliável"),"NÃO – difere do automático: justificar em ata",IF(H28="Lacunas não explicadas",IF(I28=3,"Sim","NÃO – exige unanimidade"),IF(I28&gt;=2,"Sim","NÃO – sem maioria")))))</f>
        <v/>
      </c>
    </row>
    <row r="29">
      <c r="A29" s="15" t="n"/>
      <c r="B29" s="15" t="n"/>
      <c r="C29" s="16">
        <f>IF(A29="","",COUNTIFS(Completude!$F$2:$F$301,A29,Completude!$B$2:$B$301,B29))</f>
        <v/>
      </c>
      <c r="D29" s="16">
        <f>IF(A29="","",COUNTIFS(Completude!$F$2:$F$301,A29,Completude!$B$2:$B$301,B29,Completude!$M$2:$M$301,"Aguarda*")+COUNTIFS(Completude!$F$2:$F$301,A29,Completude!$B$2:$B$301,B29,Completude!$M$2:$M$301,"NÃO*"))</f>
        <v/>
      </c>
      <c r="E29" s="16">
        <f>IF(A29="","",COUNTIFS(Completude!$F$2:$F$301,A29,Completude!$B$2:$B$301,B29,Completude!$M$2:$M$301,"Lacuna não explicada"))</f>
        <v/>
      </c>
      <c r="F29" s="16">
        <f>IF(A29="","",COUNTIFS(Completude!$F$2:$F$301,A29,Completude!$B$2:$B$301,B29,Completude!$M$2:$M$301,"Lacuna explicada"))</f>
        <v/>
      </c>
      <c r="G29" s="16">
        <f>IF(A29="","",IF(C29=0,"Sem registros: confirme que o F5 rodou",IF(D29&gt;0,"Pendente de análise",IF(E29&gt;0,"Lacunas não explicadas",IF(F29&gt;0,"Lacunas explicadas","Completo")))))</f>
        <v/>
      </c>
      <c r="H29" s="15" t="n"/>
      <c r="I29" s="15" t="n"/>
      <c r="J29" s="15" t="n"/>
      <c r="K29" s="16">
        <f>IF(H29="","",IF(D29&gt;0,"NÃO – há pendências",IF(AND(H29&lt;&gt;G29,H29&lt;&gt;"Não avaliável"),"NÃO – difere do automático: justificar em ata",IF(H29="Lacunas não explicadas",IF(I29=3,"Sim","NÃO – exige unanimidade"),IF(I29&gt;=2,"Sim","NÃO – sem maioria")))))</f>
        <v/>
      </c>
    </row>
    <row r="30">
      <c r="A30" s="15" t="n"/>
      <c r="B30" s="15" t="n"/>
      <c r="C30" s="16">
        <f>IF(A30="","",COUNTIFS(Completude!$F$2:$F$301,A30,Completude!$B$2:$B$301,B30))</f>
        <v/>
      </c>
      <c r="D30" s="16">
        <f>IF(A30="","",COUNTIFS(Completude!$F$2:$F$301,A30,Completude!$B$2:$B$301,B30,Completude!$M$2:$M$301,"Aguarda*")+COUNTIFS(Completude!$F$2:$F$301,A30,Completude!$B$2:$B$301,B30,Completude!$M$2:$M$301,"NÃO*"))</f>
        <v/>
      </c>
      <c r="E30" s="16">
        <f>IF(A30="","",COUNTIFS(Completude!$F$2:$F$301,A30,Completude!$B$2:$B$301,B30,Completude!$M$2:$M$301,"Lacuna não explicada"))</f>
        <v/>
      </c>
      <c r="F30" s="16">
        <f>IF(A30="","",COUNTIFS(Completude!$F$2:$F$301,A30,Completude!$B$2:$B$301,B30,Completude!$M$2:$M$301,"Lacuna explicada"))</f>
        <v/>
      </c>
      <c r="G30" s="16">
        <f>IF(A30="","",IF(C30=0,"Sem registros: confirme que o F5 rodou",IF(D30&gt;0,"Pendente de análise",IF(E30&gt;0,"Lacunas não explicadas",IF(F30&gt;0,"Lacunas explicadas","Completo")))))</f>
        <v/>
      </c>
      <c r="H30" s="15" t="n"/>
      <c r="I30" s="15" t="n"/>
      <c r="J30" s="15" t="n"/>
      <c r="K30" s="16">
        <f>IF(H30="","",IF(D30&gt;0,"NÃO – há pendências",IF(AND(H30&lt;&gt;G30,H30&lt;&gt;"Não avaliável"),"NÃO – difere do automático: justificar em ata",IF(H30="Lacunas não explicadas",IF(I30=3,"Sim","NÃO – exige unanimidade"),IF(I30&gt;=2,"Sim","NÃO – sem maioria")))))</f>
        <v/>
      </c>
    </row>
    <row r="31">
      <c r="A31" s="15" t="n"/>
      <c r="B31" s="15" t="n"/>
      <c r="C31" s="16">
        <f>IF(A31="","",COUNTIFS(Completude!$F$2:$F$301,A31,Completude!$B$2:$B$301,B31))</f>
        <v/>
      </c>
      <c r="D31" s="16">
        <f>IF(A31="","",COUNTIFS(Completude!$F$2:$F$301,A31,Completude!$B$2:$B$301,B31,Completude!$M$2:$M$301,"Aguarda*")+COUNTIFS(Completude!$F$2:$F$301,A31,Completude!$B$2:$B$301,B31,Completude!$M$2:$M$301,"NÃO*"))</f>
        <v/>
      </c>
      <c r="E31" s="16">
        <f>IF(A31="","",COUNTIFS(Completude!$F$2:$F$301,A31,Completude!$B$2:$B$301,B31,Completude!$M$2:$M$301,"Lacuna não explicada"))</f>
        <v/>
      </c>
      <c r="F31" s="16">
        <f>IF(A31="","",COUNTIFS(Completude!$F$2:$F$301,A31,Completude!$B$2:$B$301,B31,Completude!$M$2:$M$301,"Lacuna explicada"))</f>
        <v/>
      </c>
      <c r="G31" s="16">
        <f>IF(A31="","",IF(C31=0,"Sem registros: confirme que o F5 rodou",IF(D31&gt;0,"Pendente de análise",IF(E31&gt;0,"Lacunas não explicadas",IF(F31&gt;0,"Lacunas explicadas","Completo")))))</f>
        <v/>
      </c>
      <c r="H31" s="15" t="n"/>
      <c r="I31" s="15" t="n"/>
      <c r="J31" s="15" t="n"/>
      <c r="K31" s="16">
        <f>IF(H31="","",IF(D31&gt;0,"NÃO – há pendências",IF(AND(H31&lt;&gt;G31,H31&lt;&gt;"Não avaliável"),"NÃO – difere do automático: justificar em ata",IF(H31="Lacunas não explicadas",IF(I31=3,"Sim","NÃO – exige unanimidade"),IF(I31&gt;=2,"Sim","NÃO – sem maioria")))))</f>
        <v/>
      </c>
    </row>
    <row r="32">
      <c r="A32" s="15" t="n"/>
      <c r="B32" s="15" t="n"/>
      <c r="C32" s="16">
        <f>IF(A32="","",COUNTIFS(Completude!$F$2:$F$301,A32,Completude!$B$2:$B$301,B32))</f>
        <v/>
      </c>
      <c r="D32" s="16">
        <f>IF(A32="","",COUNTIFS(Completude!$F$2:$F$301,A32,Completude!$B$2:$B$301,B32,Completude!$M$2:$M$301,"Aguarda*")+COUNTIFS(Completude!$F$2:$F$301,A32,Completude!$B$2:$B$301,B32,Completude!$M$2:$M$301,"NÃO*"))</f>
        <v/>
      </c>
      <c r="E32" s="16">
        <f>IF(A32="","",COUNTIFS(Completude!$F$2:$F$301,A32,Completude!$B$2:$B$301,B32,Completude!$M$2:$M$301,"Lacuna não explicada"))</f>
        <v/>
      </c>
      <c r="F32" s="16">
        <f>IF(A32="","",COUNTIFS(Completude!$F$2:$F$301,A32,Completude!$B$2:$B$301,B32,Completude!$M$2:$M$301,"Lacuna explicada"))</f>
        <v/>
      </c>
      <c r="G32" s="16">
        <f>IF(A32="","",IF(C32=0,"Sem registros: confirme que o F5 rodou",IF(D32&gt;0,"Pendente de análise",IF(E32&gt;0,"Lacunas não explicadas",IF(F32&gt;0,"Lacunas explicadas","Completo")))))</f>
        <v/>
      </c>
      <c r="H32" s="15" t="n"/>
      <c r="I32" s="15" t="n"/>
      <c r="J32" s="15" t="n"/>
      <c r="K32" s="16">
        <f>IF(H32="","",IF(D32&gt;0,"NÃO – há pendências",IF(AND(H32&lt;&gt;G32,H32&lt;&gt;"Não avaliável"),"NÃO – difere do automático: justificar em ata",IF(H32="Lacunas não explicadas",IF(I32=3,"Sim","NÃO – exige unanimidade"),IF(I32&gt;=2,"Sim","NÃO – sem maioria")))))</f>
        <v/>
      </c>
    </row>
    <row r="33">
      <c r="A33" s="15" t="n"/>
      <c r="B33" s="15" t="n"/>
      <c r="C33" s="16">
        <f>IF(A33="","",COUNTIFS(Completude!$F$2:$F$301,A33,Completude!$B$2:$B$301,B33))</f>
        <v/>
      </c>
      <c r="D33" s="16">
        <f>IF(A33="","",COUNTIFS(Completude!$F$2:$F$301,A33,Completude!$B$2:$B$301,B33,Completude!$M$2:$M$301,"Aguarda*")+COUNTIFS(Completude!$F$2:$F$301,A33,Completude!$B$2:$B$301,B33,Completude!$M$2:$M$301,"NÃO*"))</f>
        <v/>
      </c>
      <c r="E33" s="16">
        <f>IF(A33="","",COUNTIFS(Completude!$F$2:$F$301,A33,Completude!$B$2:$B$301,B33,Completude!$M$2:$M$301,"Lacuna não explicada"))</f>
        <v/>
      </c>
      <c r="F33" s="16">
        <f>IF(A33="","",COUNTIFS(Completude!$F$2:$F$301,A33,Completude!$B$2:$B$301,B33,Completude!$M$2:$M$301,"Lacuna explicada"))</f>
        <v/>
      </c>
      <c r="G33" s="16">
        <f>IF(A33="","",IF(C33=0,"Sem registros: confirme que o F5 rodou",IF(D33&gt;0,"Pendente de análise",IF(E33&gt;0,"Lacunas não explicadas",IF(F33&gt;0,"Lacunas explicadas","Completo")))))</f>
        <v/>
      </c>
      <c r="H33" s="15" t="n"/>
      <c r="I33" s="15" t="n"/>
      <c r="J33" s="15" t="n"/>
      <c r="K33" s="16">
        <f>IF(H33="","",IF(D33&gt;0,"NÃO – há pendências",IF(AND(H33&lt;&gt;G33,H33&lt;&gt;"Não avaliável"),"NÃO – difere do automático: justificar em ata",IF(H33="Lacunas não explicadas",IF(I33=3,"Sim","NÃO – exige unanimidade"),IF(I33&gt;=2,"Sim","NÃO – sem maioria")))))</f>
        <v/>
      </c>
    </row>
    <row r="34">
      <c r="A34" s="15" t="n"/>
      <c r="B34" s="15" t="n"/>
      <c r="C34" s="16">
        <f>IF(A34="","",COUNTIFS(Completude!$F$2:$F$301,A34,Completude!$B$2:$B$301,B34))</f>
        <v/>
      </c>
      <c r="D34" s="16">
        <f>IF(A34="","",COUNTIFS(Completude!$F$2:$F$301,A34,Completude!$B$2:$B$301,B34,Completude!$M$2:$M$301,"Aguarda*")+COUNTIFS(Completude!$F$2:$F$301,A34,Completude!$B$2:$B$301,B34,Completude!$M$2:$M$301,"NÃO*"))</f>
        <v/>
      </c>
      <c r="E34" s="16">
        <f>IF(A34="","",COUNTIFS(Completude!$F$2:$F$301,A34,Completude!$B$2:$B$301,B34,Completude!$M$2:$M$301,"Lacuna não explicada"))</f>
        <v/>
      </c>
      <c r="F34" s="16">
        <f>IF(A34="","",COUNTIFS(Completude!$F$2:$F$301,A34,Completude!$B$2:$B$301,B34,Completude!$M$2:$M$301,"Lacuna explicada"))</f>
        <v/>
      </c>
      <c r="G34" s="16">
        <f>IF(A34="","",IF(C34=0,"Sem registros: confirme que o F5 rodou",IF(D34&gt;0,"Pendente de análise",IF(E34&gt;0,"Lacunas não explicadas",IF(F34&gt;0,"Lacunas explicadas","Completo")))))</f>
        <v/>
      </c>
      <c r="H34" s="15" t="n"/>
      <c r="I34" s="15" t="n"/>
      <c r="J34" s="15" t="n"/>
      <c r="K34" s="16">
        <f>IF(H34="","",IF(D34&gt;0,"NÃO – há pendências",IF(AND(H34&lt;&gt;G34,H34&lt;&gt;"Não avaliável"),"NÃO – difere do automático: justificar em ata",IF(H34="Lacunas não explicadas",IF(I34=3,"Sim","NÃO – exige unanimidade"),IF(I34&gt;=2,"Sim","NÃO – sem maioria")))))</f>
        <v/>
      </c>
    </row>
    <row r="35">
      <c r="A35" s="15" t="n"/>
      <c r="B35" s="15" t="n"/>
      <c r="C35" s="16">
        <f>IF(A35="","",COUNTIFS(Completude!$F$2:$F$301,A35,Completude!$B$2:$B$301,B35))</f>
        <v/>
      </c>
      <c r="D35" s="16">
        <f>IF(A35="","",COUNTIFS(Completude!$F$2:$F$301,A35,Completude!$B$2:$B$301,B35,Completude!$M$2:$M$301,"Aguarda*")+COUNTIFS(Completude!$F$2:$F$301,A35,Completude!$B$2:$B$301,B35,Completude!$M$2:$M$301,"NÃO*"))</f>
        <v/>
      </c>
      <c r="E35" s="16">
        <f>IF(A35="","",COUNTIFS(Completude!$F$2:$F$301,A35,Completude!$B$2:$B$301,B35,Completude!$M$2:$M$301,"Lacuna não explicada"))</f>
        <v/>
      </c>
      <c r="F35" s="16">
        <f>IF(A35="","",COUNTIFS(Completude!$F$2:$F$301,A35,Completude!$B$2:$B$301,B35,Completude!$M$2:$M$301,"Lacuna explicada"))</f>
        <v/>
      </c>
      <c r="G35" s="16">
        <f>IF(A35="","",IF(C35=0,"Sem registros: confirme que o F5 rodou",IF(D35&gt;0,"Pendente de análise",IF(E35&gt;0,"Lacunas não explicadas",IF(F35&gt;0,"Lacunas explicadas","Completo")))))</f>
        <v/>
      </c>
      <c r="H35" s="15" t="n"/>
      <c r="I35" s="15" t="n"/>
      <c r="J35" s="15" t="n"/>
      <c r="K35" s="16">
        <f>IF(H35="","",IF(D35&gt;0,"NÃO – há pendências",IF(AND(H35&lt;&gt;G35,H35&lt;&gt;"Não avaliável"),"NÃO – difere do automático: justificar em ata",IF(H35="Lacunas não explicadas",IF(I35=3,"Sim","NÃO – exige unanimidade"),IF(I35&gt;=2,"Sim","NÃO – sem maioria")))))</f>
        <v/>
      </c>
    </row>
    <row r="36">
      <c r="A36" s="15" t="n"/>
      <c r="B36" s="15" t="n"/>
      <c r="C36" s="16">
        <f>IF(A36="","",COUNTIFS(Completude!$F$2:$F$301,A36,Completude!$B$2:$B$301,B36))</f>
        <v/>
      </c>
      <c r="D36" s="16">
        <f>IF(A36="","",COUNTIFS(Completude!$F$2:$F$301,A36,Completude!$B$2:$B$301,B36,Completude!$M$2:$M$301,"Aguarda*")+COUNTIFS(Completude!$F$2:$F$301,A36,Completude!$B$2:$B$301,B36,Completude!$M$2:$M$301,"NÃO*"))</f>
        <v/>
      </c>
      <c r="E36" s="16">
        <f>IF(A36="","",COUNTIFS(Completude!$F$2:$F$301,A36,Completude!$B$2:$B$301,B36,Completude!$M$2:$M$301,"Lacuna não explicada"))</f>
        <v/>
      </c>
      <c r="F36" s="16">
        <f>IF(A36="","",COUNTIFS(Completude!$F$2:$F$301,A36,Completude!$B$2:$B$301,B36,Completude!$M$2:$M$301,"Lacuna explicada"))</f>
        <v/>
      </c>
      <c r="G36" s="16">
        <f>IF(A36="","",IF(C36=0,"Sem registros: confirme que o F5 rodou",IF(D36&gt;0,"Pendente de análise",IF(E36&gt;0,"Lacunas não explicadas",IF(F36&gt;0,"Lacunas explicadas","Completo")))))</f>
        <v/>
      </c>
      <c r="H36" s="15" t="n"/>
      <c r="I36" s="15" t="n"/>
      <c r="J36" s="15" t="n"/>
      <c r="K36" s="16">
        <f>IF(H36="","",IF(D36&gt;0,"NÃO – há pendências",IF(AND(H36&lt;&gt;G36,H36&lt;&gt;"Não avaliável"),"NÃO – difere do automático: justificar em ata",IF(H36="Lacunas não explicadas",IF(I36=3,"Sim","NÃO – exige unanimidade"),IF(I36&gt;=2,"Sim","NÃO – sem maioria")))))</f>
        <v/>
      </c>
    </row>
    <row r="37">
      <c r="A37" s="15" t="n"/>
      <c r="B37" s="15" t="n"/>
      <c r="C37" s="16">
        <f>IF(A37="","",COUNTIFS(Completude!$F$2:$F$301,A37,Completude!$B$2:$B$301,B37))</f>
        <v/>
      </c>
      <c r="D37" s="16">
        <f>IF(A37="","",COUNTIFS(Completude!$F$2:$F$301,A37,Completude!$B$2:$B$301,B37,Completude!$M$2:$M$301,"Aguarda*")+COUNTIFS(Completude!$F$2:$F$301,A37,Completude!$B$2:$B$301,B37,Completude!$M$2:$M$301,"NÃO*"))</f>
        <v/>
      </c>
      <c r="E37" s="16">
        <f>IF(A37="","",COUNTIFS(Completude!$F$2:$F$301,A37,Completude!$B$2:$B$301,B37,Completude!$M$2:$M$301,"Lacuna não explicada"))</f>
        <v/>
      </c>
      <c r="F37" s="16">
        <f>IF(A37="","",COUNTIFS(Completude!$F$2:$F$301,A37,Completude!$B$2:$B$301,B37,Completude!$M$2:$M$301,"Lacuna explicada"))</f>
        <v/>
      </c>
      <c r="G37" s="16">
        <f>IF(A37="","",IF(C37=0,"Sem registros: confirme que o F5 rodou",IF(D37&gt;0,"Pendente de análise",IF(E37&gt;0,"Lacunas não explicadas",IF(F37&gt;0,"Lacunas explicadas","Completo")))))</f>
        <v/>
      </c>
      <c r="H37" s="15" t="n"/>
      <c r="I37" s="15" t="n"/>
      <c r="J37" s="15" t="n"/>
      <c r="K37" s="16">
        <f>IF(H37="","",IF(D37&gt;0,"NÃO – há pendências",IF(AND(H37&lt;&gt;G37,H37&lt;&gt;"Não avaliável"),"NÃO – difere do automático: justificar em ata",IF(H37="Lacunas não explicadas",IF(I37=3,"Sim","NÃO – exige unanimidade"),IF(I37&gt;=2,"Sim","NÃO – sem maioria")))))</f>
        <v/>
      </c>
    </row>
    <row r="38">
      <c r="A38" s="15" t="n"/>
      <c r="B38" s="15" t="n"/>
      <c r="C38" s="16">
        <f>IF(A38="","",COUNTIFS(Completude!$F$2:$F$301,A38,Completude!$B$2:$B$301,B38))</f>
        <v/>
      </c>
      <c r="D38" s="16">
        <f>IF(A38="","",COUNTIFS(Completude!$F$2:$F$301,A38,Completude!$B$2:$B$301,B38,Completude!$M$2:$M$301,"Aguarda*")+COUNTIFS(Completude!$F$2:$F$301,A38,Completude!$B$2:$B$301,B38,Completude!$M$2:$M$301,"NÃO*"))</f>
        <v/>
      </c>
      <c r="E38" s="16">
        <f>IF(A38="","",COUNTIFS(Completude!$F$2:$F$301,A38,Completude!$B$2:$B$301,B38,Completude!$M$2:$M$301,"Lacuna não explicada"))</f>
        <v/>
      </c>
      <c r="F38" s="16">
        <f>IF(A38="","",COUNTIFS(Completude!$F$2:$F$301,A38,Completude!$B$2:$B$301,B38,Completude!$M$2:$M$301,"Lacuna explicada"))</f>
        <v/>
      </c>
      <c r="G38" s="16">
        <f>IF(A38="","",IF(C38=0,"Sem registros: confirme que o F5 rodou",IF(D38&gt;0,"Pendente de análise",IF(E38&gt;0,"Lacunas não explicadas",IF(F38&gt;0,"Lacunas explicadas","Completo")))))</f>
        <v/>
      </c>
      <c r="H38" s="15" t="n"/>
      <c r="I38" s="15" t="n"/>
      <c r="J38" s="15" t="n"/>
      <c r="K38" s="16">
        <f>IF(H38="","",IF(D38&gt;0,"NÃO – há pendências",IF(AND(H38&lt;&gt;G38,H38&lt;&gt;"Não avaliável"),"NÃO – difere do automático: justificar em ata",IF(H38="Lacunas não explicadas",IF(I38=3,"Sim","NÃO – exige unanimidade"),IF(I38&gt;=2,"Sim","NÃO – sem maioria")))))</f>
        <v/>
      </c>
    </row>
    <row r="39">
      <c r="A39" s="15" t="n"/>
      <c r="B39" s="15" t="n"/>
      <c r="C39" s="16">
        <f>IF(A39="","",COUNTIFS(Completude!$F$2:$F$301,A39,Completude!$B$2:$B$301,B39))</f>
        <v/>
      </c>
      <c r="D39" s="16">
        <f>IF(A39="","",COUNTIFS(Completude!$F$2:$F$301,A39,Completude!$B$2:$B$301,B39,Completude!$M$2:$M$301,"Aguarda*")+COUNTIFS(Completude!$F$2:$F$301,A39,Completude!$B$2:$B$301,B39,Completude!$M$2:$M$301,"NÃO*"))</f>
        <v/>
      </c>
      <c r="E39" s="16">
        <f>IF(A39="","",COUNTIFS(Completude!$F$2:$F$301,A39,Completude!$B$2:$B$301,B39,Completude!$M$2:$M$301,"Lacuna não explicada"))</f>
        <v/>
      </c>
      <c r="F39" s="16">
        <f>IF(A39="","",COUNTIFS(Completude!$F$2:$F$301,A39,Completude!$B$2:$B$301,B39,Completude!$M$2:$M$301,"Lacuna explicada"))</f>
        <v/>
      </c>
      <c r="G39" s="16">
        <f>IF(A39="","",IF(C39=0,"Sem registros: confirme que o F5 rodou",IF(D39&gt;0,"Pendente de análise",IF(E39&gt;0,"Lacunas não explicadas",IF(F39&gt;0,"Lacunas explicadas","Completo")))))</f>
        <v/>
      </c>
      <c r="H39" s="15" t="n"/>
      <c r="I39" s="15" t="n"/>
      <c r="J39" s="15" t="n"/>
      <c r="K39" s="16">
        <f>IF(H39="","",IF(D39&gt;0,"NÃO – há pendências",IF(AND(H39&lt;&gt;G39,H39&lt;&gt;"Não avaliável"),"NÃO – difere do automático: justificar em ata",IF(H39="Lacunas não explicadas",IF(I39=3,"Sim","NÃO – exige unanimidade"),IF(I39&gt;=2,"Sim","NÃO – sem maioria")))))</f>
        <v/>
      </c>
    </row>
    <row r="40">
      <c r="A40" s="15" t="n"/>
      <c r="B40" s="15" t="n"/>
      <c r="C40" s="16">
        <f>IF(A40="","",COUNTIFS(Completude!$F$2:$F$301,A40,Completude!$B$2:$B$301,B40))</f>
        <v/>
      </c>
      <c r="D40" s="16">
        <f>IF(A40="","",COUNTIFS(Completude!$F$2:$F$301,A40,Completude!$B$2:$B$301,B40,Completude!$M$2:$M$301,"Aguarda*")+COUNTIFS(Completude!$F$2:$F$301,A40,Completude!$B$2:$B$301,B40,Completude!$M$2:$M$301,"NÃO*"))</f>
        <v/>
      </c>
      <c r="E40" s="16">
        <f>IF(A40="","",COUNTIFS(Completude!$F$2:$F$301,A40,Completude!$B$2:$B$301,B40,Completude!$M$2:$M$301,"Lacuna não explicada"))</f>
        <v/>
      </c>
      <c r="F40" s="16">
        <f>IF(A40="","",COUNTIFS(Completude!$F$2:$F$301,A40,Completude!$B$2:$B$301,B40,Completude!$M$2:$M$301,"Lacuna explicada"))</f>
        <v/>
      </c>
      <c r="G40" s="16">
        <f>IF(A40="","",IF(C40=0,"Sem registros: confirme que o F5 rodou",IF(D40&gt;0,"Pendente de análise",IF(E40&gt;0,"Lacunas não explicadas",IF(F40&gt;0,"Lacunas explicadas","Completo")))))</f>
        <v/>
      </c>
      <c r="H40" s="15" t="n"/>
      <c r="I40" s="15" t="n"/>
      <c r="J40" s="15" t="n"/>
      <c r="K40" s="16">
        <f>IF(H40="","",IF(D40&gt;0,"NÃO – há pendências",IF(AND(H40&lt;&gt;G40,H40&lt;&gt;"Não avaliável"),"NÃO – difere do automático: justificar em ata",IF(H40="Lacunas não explicadas",IF(I40=3,"Sim","NÃO – exige unanimidade"),IF(I40&gt;=2,"Sim","NÃO – sem maioria")))))</f>
        <v/>
      </c>
    </row>
    <row r="41">
      <c r="A41" s="15" t="n"/>
      <c r="B41" s="15" t="n"/>
      <c r="C41" s="16">
        <f>IF(A41="","",COUNTIFS(Completude!$F$2:$F$301,A41,Completude!$B$2:$B$301,B41))</f>
        <v/>
      </c>
      <c r="D41" s="16">
        <f>IF(A41="","",COUNTIFS(Completude!$F$2:$F$301,A41,Completude!$B$2:$B$301,B41,Completude!$M$2:$M$301,"Aguarda*")+COUNTIFS(Completude!$F$2:$F$301,A41,Completude!$B$2:$B$301,B41,Completude!$M$2:$M$301,"NÃO*"))</f>
        <v/>
      </c>
      <c r="E41" s="16">
        <f>IF(A41="","",COUNTIFS(Completude!$F$2:$F$301,A41,Completude!$B$2:$B$301,B41,Completude!$M$2:$M$301,"Lacuna não explicada"))</f>
        <v/>
      </c>
      <c r="F41" s="16">
        <f>IF(A41="","",COUNTIFS(Completude!$F$2:$F$301,A41,Completude!$B$2:$B$301,B41,Completude!$M$2:$M$301,"Lacuna explicada"))</f>
        <v/>
      </c>
      <c r="G41" s="16">
        <f>IF(A41="","",IF(C41=0,"Sem registros: confirme que o F5 rodou",IF(D41&gt;0,"Pendente de análise",IF(E41&gt;0,"Lacunas não explicadas",IF(F41&gt;0,"Lacunas explicadas","Completo")))))</f>
        <v/>
      </c>
      <c r="H41" s="15" t="n"/>
      <c r="I41" s="15" t="n"/>
      <c r="J41" s="15" t="n"/>
      <c r="K41" s="16">
        <f>IF(H41="","",IF(D41&gt;0,"NÃO – há pendências",IF(AND(H41&lt;&gt;G41,H41&lt;&gt;"Não avaliável"),"NÃO – difere do automático: justificar em ata",IF(H41="Lacunas não explicadas",IF(I41=3,"Sim","NÃO – exige unanimidade"),IF(I41&gt;=2,"Sim","NÃO – sem maioria")))))</f>
        <v/>
      </c>
    </row>
    <row r="42">
      <c r="A42" s="15" t="n"/>
      <c r="B42" s="15" t="n"/>
      <c r="C42" s="16">
        <f>IF(A42="","",COUNTIFS(Completude!$F$2:$F$301,A42,Completude!$B$2:$B$301,B42))</f>
        <v/>
      </c>
      <c r="D42" s="16">
        <f>IF(A42="","",COUNTIFS(Completude!$F$2:$F$301,A42,Completude!$B$2:$B$301,B42,Completude!$M$2:$M$301,"Aguarda*")+COUNTIFS(Completude!$F$2:$F$301,A42,Completude!$B$2:$B$301,B42,Completude!$M$2:$M$301,"NÃO*"))</f>
        <v/>
      </c>
      <c r="E42" s="16">
        <f>IF(A42="","",COUNTIFS(Completude!$F$2:$F$301,A42,Completude!$B$2:$B$301,B42,Completude!$M$2:$M$301,"Lacuna não explicada"))</f>
        <v/>
      </c>
      <c r="F42" s="16">
        <f>IF(A42="","",COUNTIFS(Completude!$F$2:$F$301,A42,Completude!$B$2:$B$301,B42,Completude!$M$2:$M$301,"Lacuna explicada"))</f>
        <v/>
      </c>
      <c r="G42" s="16">
        <f>IF(A42="","",IF(C42=0,"Sem registros: confirme que o F5 rodou",IF(D42&gt;0,"Pendente de análise",IF(E42&gt;0,"Lacunas não explicadas",IF(F42&gt;0,"Lacunas explicadas","Completo")))))</f>
        <v/>
      </c>
      <c r="H42" s="15" t="n"/>
      <c r="I42" s="15" t="n"/>
      <c r="J42" s="15" t="n"/>
      <c r="K42" s="16">
        <f>IF(H42="","",IF(D42&gt;0,"NÃO – há pendências",IF(AND(H42&lt;&gt;G42,H42&lt;&gt;"Não avaliável"),"NÃO – difere do automático: justificar em ata",IF(H42="Lacunas não explicadas",IF(I42=3,"Sim","NÃO – exige unanimidade"),IF(I42&gt;=2,"Sim","NÃO – sem maioria")))))</f>
        <v/>
      </c>
    </row>
    <row r="43">
      <c r="A43" s="15" t="n"/>
      <c r="B43" s="15" t="n"/>
      <c r="C43" s="16">
        <f>IF(A43="","",COUNTIFS(Completude!$F$2:$F$301,A43,Completude!$B$2:$B$301,B43))</f>
        <v/>
      </c>
      <c r="D43" s="16">
        <f>IF(A43="","",COUNTIFS(Completude!$F$2:$F$301,A43,Completude!$B$2:$B$301,B43,Completude!$M$2:$M$301,"Aguarda*")+COUNTIFS(Completude!$F$2:$F$301,A43,Completude!$B$2:$B$301,B43,Completude!$M$2:$M$301,"NÃO*"))</f>
        <v/>
      </c>
      <c r="E43" s="16">
        <f>IF(A43="","",COUNTIFS(Completude!$F$2:$F$301,A43,Completude!$B$2:$B$301,B43,Completude!$M$2:$M$301,"Lacuna não explicada"))</f>
        <v/>
      </c>
      <c r="F43" s="16">
        <f>IF(A43="","",COUNTIFS(Completude!$F$2:$F$301,A43,Completude!$B$2:$B$301,B43,Completude!$M$2:$M$301,"Lacuna explicada"))</f>
        <v/>
      </c>
      <c r="G43" s="16">
        <f>IF(A43="","",IF(C43=0,"Sem registros: confirme que o F5 rodou",IF(D43&gt;0,"Pendente de análise",IF(E43&gt;0,"Lacunas não explicadas",IF(F43&gt;0,"Lacunas explicadas","Completo")))))</f>
        <v/>
      </c>
      <c r="H43" s="15" t="n"/>
      <c r="I43" s="15" t="n"/>
      <c r="J43" s="15" t="n"/>
      <c r="K43" s="16">
        <f>IF(H43="","",IF(D43&gt;0,"NÃO – há pendências",IF(AND(H43&lt;&gt;G43,H43&lt;&gt;"Não avaliável"),"NÃO – difere do automático: justificar em ata",IF(H43="Lacunas não explicadas",IF(I43=3,"Sim","NÃO – exige unanimidade"),IF(I43&gt;=2,"Sim","NÃO – sem maioria")))))</f>
        <v/>
      </c>
    </row>
    <row r="44">
      <c r="A44" s="15" t="n"/>
      <c r="B44" s="15" t="n"/>
      <c r="C44" s="16">
        <f>IF(A44="","",COUNTIFS(Completude!$F$2:$F$301,A44,Completude!$B$2:$B$301,B44))</f>
        <v/>
      </c>
      <c r="D44" s="16">
        <f>IF(A44="","",COUNTIFS(Completude!$F$2:$F$301,A44,Completude!$B$2:$B$301,B44,Completude!$M$2:$M$301,"Aguarda*")+COUNTIFS(Completude!$F$2:$F$301,A44,Completude!$B$2:$B$301,B44,Completude!$M$2:$M$301,"NÃO*"))</f>
        <v/>
      </c>
      <c r="E44" s="16">
        <f>IF(A44="","",COUNTIFS(Completude!$F$2:$F$301,A44,Completude!$B$2:$B$301,B44,Completude!$M$2:$M$301,"Lacuna não explicada"))</f>
        <v/>
      </c>
      <c r="F44" s="16">
        <f>IF(A44="","",COUNTIFS(Completude!$F$2:$F$301,A44,Completude!$B$2:$B$301,B44,Completude!$M$2:$M$301,"Lacuna explicada"))</f>
        <v/>
      </c>
      <c r="G44" s="16">
        <f>IF(A44="","",IF(C44=0,"Sem registros: confirme que o F5 rodou",IF(D44&gt;0,"Pendente de análise",IF(E44&gt;0,"Lacunas não explicadas",IF(F44&gt;0,"Lacunas explicadas","Completo")))))</f>
        <v/>
      </c>
      <c r="H44" s="15" t="n"/>
      <c r="I44" s="15" t="n"/>
      <c r="J44" s="15" t="n"/>
      <c r="K44" s="16">
        <f>IF(H44="","",IF(D44&gt;0,"NÃO – há pendências",IF(AND(H44&lt;&gt;G44,H44&lt;&gt;"Não avaliável"),"NÃO – difere do automático: justificar em ata",IF(H44="Lacunas não explicadas",IF(I44=3,"Sim","NÃO – exige unanimidade"),IF(I44&gt;=2,"Sim","NÃO – sem maioria")))))</f>
        <v/>
      </c>
    </row>
    <row r="45">
      <c r="A45" s="15" t="n"/>
      <c r="B45" s="15" t="n"/>
      <c r="C45" s="16">
        <f>IF(A45="","",COUNTIFS(Completude!$F$2:$F$301,A45,Completude!$B$2:$B$301,B45))</f>
        <v/>
      </c>
      <c r="D45" s="16">
        <f>IF(A45="","",COUNTIFS(Completude!$F$2:$F$301,A45,Completude!$B$2:$B$301,B45,Completude!$M$2:$M$301,"Aguarda*")+COUNTIFS(Completude!$F$2:$F$301,A45,Completude!$B$2:$B$301,B45,Completude!$M$2:$M$301,"NÃO*"))</f>
        <v/>
      </c>
      <c r="E45" s="16">
        <f>IF(A45="","",COUNTIFS(Completude!$F$2:$F$301,A45,Completude!$B$2:$B$301,B45,Completude!$M$2:$M$301,"Lacuna não explicada"))</f>
        <v/>
      </c>
      <c r="F45" s="16">
        <f>IF(A45="","",COUNTIFS(Completude!$F$2:$F$301,A45,Completude!$B$2:$B$301,B45,Completude!$M$2:$M$301,"Lacuna explicada"))</f>
        <v/>
      </c>
      <c r="G45" s="16">
        <f>IF(A45="","",IF(C45=0,"Sem registros: confirme que o F5 rodou",IF(D45&gt;0,"Pendente de análise",IF(E45&gt;0,"Lacunas não explicadas",IF(F45&gt;0,"Lacunas explicadas","Completo")))))</f>
        <v/>
      </c>
      <c r="H45" s="15" t="n"/>
      <c r="I45" s="15" t="n"/>
      <c r="J45" s="15" t="n"/>
      <c r="K45" s="16">
        <f>IF(H45="","",IF(D45&gt;0,"NÃO – há pendências",IF(AND(H45&lt;&gt;G45,H45&lt;&gt;"Não avaliável"),"NÃO – difere do automático: justificar em ata",IF(H45="Lacunas não explicadas",IF(I45=3,"Sim","NÃO – exige unanimidade"),IF(I45&gt;=2,"Sim","NÃO – sem maioria")))))</f>
        <v/>
      </c>
    </row>
    <row r="46">
      <c r="A46" s="15" t="n"/>
      <c r="B46" s="15" t="n"/>
      <c r="C46" s="16">
        <f>IF(A46="","",COUNTIFS(Completude!$F$2:$F$301,A46,Completude!$B$2:$B$301,B46))</f>
        <v/>
      </c>
      <c r="D46" s="16">
        <f>IF(A46="","",COUNTIFS(Completude!$F$2:$F$301,A46,Completude!$B$2:$B$301,B46,Completude!$M$2:$M$301,"Aguarda*")+COUNTIFS(Completude!$F$2:$F$301,A46,Completude!$B$2:$B$301,B46,Completude!$M$2:$M$301,"NÃO*"))</f>
        <v/>
      </c>
      <c r="E46" s="16">
        <f>IF(A46="","",COUNTIFS(Completude!$F$2:$F$301,A46,Completude!$B$2:$B$301,B46,Completude!$M$2:$M$301,"Lacuna não explicada"))</f>
        <v/>
      </c>
      <c r="F46" s="16">
        <f>IF(A46="","",COUNTIFS(Completude!$F$2:$F$301,A46,Completude!$B$2:$B$301,B46,Completude!$M$2:$M$301,"Lacuna explicada"))</f>
        <v/>
      </c>
      <c r="G46" s="16">
        <f>IF(A46="","",IF(C46=0,"Sem registros: confirme que o F5 rodou",IF(D46&gt;0,"Pendente de análise",IF(E46&gt;0,"Lacunas não explicadas",IF(F46&gt;0,"Lacunas explicadas","Completo")))))</f>
        <v/>
      </c>
      <c r="H46" s="15" t="n"/>
      <c r="I46" s="15" t="n"/>
      <c r="J46" s="15" t="n"/>
      <c r="K46" s="16">
        <f>IF(H46="","",IF(D46&gt;0,"NÃO – há pendências",IF(AND(H46&lt;&gt;G46,H46&lt;&gt;"Não avaliável"),"NÃO – difere do automático: justificar em ata",IF(H46="Lacunas não explicadas",IF(I46=3,"Sim","NÃO – exige unanimidade"),IF(I46&gt;=2,"Sim","NÃO – sem maioria")))))</f>
        <v/>
      </c>
    </row>
    <row r="47">
      <c r="A47" s="15" t="n"/>
      <c r="B47" s="15" t="n"/>
      <c r="C47" s="16">
        <f>IF(A47="","",COUNTIFS(Completude!$F$2:$F$301,A47,Completude!$B$2:$B$301,B47))</f>
        <v/>
      </c>
      <c r="D47" s="16">
        <f>IF(A47="","",COUNTIFS(Completude!$F$2:$F$301,A47,Completude!$B$2:$B$301,B47,Completude!$M$2:$M$301,"Aguarda*")+COUNTIFS(Completude!$F$2:$F$301,A47,Completude!$B$2:$B$301,B47,Completude!$M$2:$M$301,"NÃO*"))</f>
        <v/>
      </c>
      <c r="E47" s="16">
        <f>IF(A47="","",COUNTIFS(Completude!$F$2:$F$301,A47,Completude!$B$2:$B$301,B47,Completude!$M$2:$M$301,"Lacuna não explicada"))</f>
        <v/>
      </c>
      <c r="F47" s="16">
        <f>IF(A47="","",COUNTIFS(Completude!$F$2:$F$301,A47,Completude!$B$2:$B$301,B47,Completude!$M$2:$M$301,"Lacuna explicada"))</f>
        <v/>
      </c>
      <c r="G47" s="16">
        <f>IF(A47="","",IF(C47=0,"Sem registros: confirme que o F5 rodou",IF(D47&gt;0,"Pendente de análise",IF(E47&gt;0,"Lacunas não explicadas",IF(F47&gt;0,"Lacunas explicadas","Completo")))))</f>
        <v/>
      </c>
      <c r="H47" s="15" t="n"/>
      <c r="I47" s="15" t="n"/>
      <c r="J47" s="15" t="n"/>
      <c r="K47" s="16">
        <f>IF(H47="","",IF(D47&gt;0,"NÃO – há pendências",IF(AND(H47&lt;&gt;G47,H47&lt;&gt;"Não avaliável"),"NÃO – difere do automático: justificar em ata",IF(H47="Lacunas não explicadas",IF(I47=3,"Sim","NÃO – exige unanimidade"),IF(I47&gt;=2,"Sim","NÃO – sem maioria")))))</f>
        <v/>
      </c>
    </row>
    <row r="48">
      <c r="A48" s="15" t="n"/>
      <c r="B48" s="15" t="n"/>
      <c r="C48" s="16">
        <f>IF(A48="","",COUNTIFS(Completude!$F$2:$F$301,A48,Completude!$B$2:$B$301,B48))</f>
        <v/>
      </c>
      <c r="D48" s="16">
        <f>IF(A48="","",COUNTIFS(Completude!$F$2:$F$301,A48,Completude!$B$2:$B$301,B48,Completude!$M$2:$M$301,"Aguarda*")+COUNTIFS(Completude!$F$2:$F$301,A48,Completude!$B$2:$B$301,B48,Completude!$M$2:$M$301,"NÃO*"))</f>
        <v/>
      </c>
      <c r="E48" s="16">
        <f>IF(A48="","",COUNTIFS(Completude!$F$2:$F$301,A48,Completude!$B$2:$B$301,B48,Completude!$M$2:$M$301,"Lacuna não explicada"))</f>
        <v/>
      </c>
      <c r="F48" s="16">
        <f>IF(A48="","",COUNTIFS(Completude!$F$2:$F$301,A48,Completude!$B$2:$B$301,B48,Completude!$M$2:$M$301,"Lacuna explicada"))</f>
        <v/>
      </c>
      <c r="G48" s="16">
        <f>IF(A48="","",IF(C48=0,"Sem registros: confirme que o F5 rodou",IF(D48&gt;0,"Pendente de análise",IF(E48&gt;0,"Lacunas não explicadas",IF(F48&gt;0,"Lacunas explicadas","Completo")))))</f>
        <v/>
      </c>
      <c r="H48" s="15" t="n"/>
      <c r="I48" s="15" t="n"/>
      <c r="J48" s="15" t="n"/>
      <c r="K48" s="16">
        <f>IF(H48="","",IF(D48&gt;0,"NÃO – há pendências",IF(AND(H48&lt;&gt;G48,H48&lt;&gt;"Não avaliável"),"NÃO – difere do automático: justificar em ata",IF(H48="Lacunas não explicadas",IF(I48=3,"Sim","NÃO – exige unanimidade"),IF(I48&gt;=2,"Sim","NÃO – sem maioria")))))</f>
        <v/>
      </c>
    </row>
    <row r="49">
      <c r="A49" s="15" t="n"/>
      <c r="B49" s="15" t="n"/>
      <c r="C49" s="16">
        <f>IF(A49="","",COUNTIFS(Completude!$F$2:$F$301,A49,Completude!$B$2:$B$301,B49))</f>
        <v/>
      </c>
      <c r="D49" s="16">
        <f>IF(A49="","",COUNTIFS(Completude!$F$2:$F$301,A49,Completude!$B$2:$B$301,B49,Completude!$M$2:$M$301,"Aguarda*")+COUNTIFS(Completude!$F$2:$F$301,A49,Completude!$B$2:$B$301,B49,Completude!$M$2:$M$301,"NÃO*"))</f>
        <v/>
      </c>
      <c r="E49" s="16">
        <f>IF(A49="","",COUNTIFS(Completude!$F$2:$F$301,A49,Completude!$B$2:$B$301,B49,Completude!$M$2:$M$301,"Lacuna não explicada"))</f>
        <v/>
      </c>
      <c r="F49" s="16">
        <f>IF(A49="","",COUNTIFS(Completude!$F$2:$F$301,A49,Completude!$B$2:$B$301,B49,Completude!$M$2:$M$301,"Lacuna explicada"))</f>
        <v/>
      </c>
      <c r="G49" s="16">
        <f>IF(A49="","",IF(C49=0,"Sem registros: confirme que o F5 rodou",IF(D49&gt;0,"Pendente de análise",IF(E49&gt;0,"Lacunas não explicadas",IF(F49&gt;0,"Lacunas explicadas","Completo")))))</f>
        <v/>
      </c>
      <c r="H49" s="15" t="n"/>
      <c r="I49" s="15" t="n"/>
      <c r="J49" s="15" t="n"/>
      <c r="K49" s="16">
        <f>IF(H49="","",IF(D49&gt;0,"NÃO – há pendências",IF(AND(H49&lt;&gt;G49,H49&lt;&gt;"Não avaliável"),"NÃO – difere do automático: justificar em ata",IF(H49="Lacunas não explicadas",IF(I49=3,"Sim","NÃO – exige unanimidade"),IF(I49&gt;=2,"Sim","NÃO – sem maioria")))))</f>
        <v/>
      </c>
    </row>
    <row r="50">
      <c r="A50" s="15" t="n"/>
      <c r="B50" s="15" t="n"/>
      <c r="C50" s="16">
        <f>IF(A50="","",COUNTIFS(Completude!$F$2:$F$301,A50,Completude!$B$2:$B$301,B50))</f>
        <v/>
      </c>
      <c r="D50" s="16">
        <f>IF(A50="","",COUNTIFS(Completude!$F$2:$F$301,A50,Completude!$B$2:$B$301,B50,Completude!$M$2:$M$301,"Aguarda*")+COUNTIFS(Completude!$F$2:$F$301,A50,Completude!$B$2:$B$301,B50,Completude!$M$2:$M$301,"NÃO*"))</f>
        <v/>
      </c>
      <c r="E50" s="16">
        <f>IF(A50="","",COUNTIFS(Completude!$F$2:$F$301,A50,Completude!$B$2:$B$301,B50,Completude!$M$2:$M$301,"Lacuna não explicada"))</f>
        <v/>
      </c>
      <c r="F50" s="16">
        <f>IF(A50="","",COUNTIFS(Completude!$F$2:$F$301,A50,Completude!$B$2:$B$301,B50,Completude!$M$2:$M$301,"Lacuna explicada"))</f>
        <v/>
      </c>
      <c r="G50" s="16">
        <f>IF(A50="","",IF(C50=0,"Sem registros: confirme que o F5 rodou",IF(D50&gt;0,"Pendente de análise",IF(E50&gt;0,"Lacunas não explicadas",IF(F50&gt;0,"Lacunas explicadas","Completo")))))</f>
        <v/>
      </c>
      <c r="H50" s="15" t="n"/>
      <c r="I50" s="15" t="n"/>
      <c r="J50" s="15" t="n"/>
      <c r="K50" s="16">
        <f>IF(H50="","",IF(D50&gt;0,"NÃO – há pendências",IF(AND(H50&lt;&gt;G50,H50&lt;&gt;"Não avaliável"),"NÃO – difere do automático: justificar em ata",IF(H50="Lacunas não explicadas",IF(I50=3,"Sim","NÃO – exige unanimidade"),IF(I50&gt;=2,"Sim","NÃO – sem maioria")))))</f>
        <v/>
      </c>
    </row>
    <row r="51">
      <c r="A51" s="15" t="n"/>
      <c r="B51" s="15" t="n"/>
      <c r="C51" s="16">
        <f>IF(A51="","",COUNTIFS(Completude!$F$2:$F$301,A51,Completude!$B$2:$B$301,B51))</f>
        <v/>
      </c>
      <c r="D51" s="16">
        <f>IF(A51="","",COUNTIFS(Completude!$F$2:$F$301,A51,Completude!$B$2:$B$301,B51,Completude!$M$2:$M$301,"Aguarda*")+COUNTIFS(Completude!$F$2:$F$301,A51,Completude!$B$2:$B$301,B51,Completude!$M$2:$M$301,"NÃO*"))</f>
        <v/>
      </c>
      <c r="E51" s="16">
        <f>IF(A51="","",COUNTIFS(Completude!$F$2:$F$301,A51,Completude!$B$2:$B$301,B51,Completude!$M$2:$M$301,"Lacuna não explicada"))</f>
        <v/>
      </c>
      <c r="F51" s="16">
        <f>IF(A51="","",COUNTIFS(Completude!$F$2:$F$301,A51,Completude!$B$2:$B$301,B51,Completude!$M$2:$M$301,"Lacuna explicada"))</f>
        <v/>
      </c>
      <c r="G51" s="16">
        <f>IF(A51="","",IF(C51=0,"Sem registros: confirme que o F5 rodou",IF(D51&gt;0,"Pendente de análise",IF(E51&gt;0,"Lacunas não explicadas",IF(F51&gt;0,"Lacunas explicadas","Completo")))))</f>
        <v/>
      </c>
      <c r="H51" s="15" t="n"/>
      <c r="I51" s="15" t="n"/>
      <c r="J51" s="15" t="n"/>
      <c r="K51" s="16">
        <f>IF(H51="","",IF(D51&gt;0,"NÃO – há pendências",IF(AND(H51&lt;&gt;G51,H51&lt;&gt;"Não avaliável"),"NÃO – difere do automático: justificar em ata",IF(H51="Lacunas não explicadas",IF(I51=3,"Sim","NÃO – exige unanimidade"),IF(I51&gt;=2,"Sim","NÃO – sem maioria")))))</f>
        <v/>
      </c>
    </row>
    <row r="52">
      <c r="A52" s="15" t="n"/>
      <c r="B52" s="15" t="n"/>
      <c r="C52" s="16">
        <f>IF(A52="","",COUNTIFS(Completude!$F$2:$F$301,A52,Completude!$B$2:$B$301,B52))</f>
        <v/>
      </c>
      <c r="D52" s="16">
        <f>IF(A52="","",COUNTIFS(Completude!$F$2:$F$301,A52,Completude!$B$2:$B$301,B52,Completude!$M$2:$M$301,"Aguarda*")+COUNTIFS(Completude!$F$2:$F$301,A52,Completude!$B$2:$B$301,B52,Completude!$M$2:$M$301,"NÃO*"))</f>
        <v/>
      </c>
      <c r="E52" s="16">
        <f>IF(A52="","",COUNTIFS(Completude!$F$2:$F$301,A52,Completude!$B$2:$B$301,B52,Completude!$M$2:$M$301,"Lacuna não explicada"))</f>
        <v/>
      </c>
      <c r="F52" s="16">
        <f>IF(A52="","",COUNTIFS(Completude!$F$2:$F$301,A52,Completude!$B$2:$B$301,B52,Completude!$M$2:$M$301,"Lacuna explicada"))</f>
        <v/>
      </c>
      <c r="G52" s="16">
        <f>IF(A52="","",IF(C52=0,"Sem registros: confirme que o F5 rodou",IF(D52&gt;0,"Pendente de análise",IF(E52&gt;0,"Lacunas não explicadas",IF(F52&gt;0,"Lacunas explicadas","Completo")))))</f>
        <v/>
      </c>
      <c r="H52" s="15" t="n"/>
      <c r="I52" s="15" t="n"/>
      <c r="J52" s="15" t="n"/>
      <c r="K52" s="16">
        <f>IF(H52="","",IF(D52&gt;0,"NÃO – há pendências",IF(AND(H52&lt;&gt;G52,H52&lt;&gt;"Não avaliável"),"NÃO – difere do automático: justificar em ata",IF(H52="Lacunas não explicadas",IF(I52=3,"Sim","NÃO – exige unanimidade"),IF(I52&gt;=2,"Sim","NÃO – sem maioria")))))</f>
        <v/>
      </c>
    </row>
    <row r="53">
      <c r="A53" s="15" t="n"/>
      <c r="B53" s="15" t="n"/>
      <c r="C53" s="16">
        <f>IF(A53="","",COUNTIFS(Completude!$F$2:$F$301,A53,Completude!$B$2:$B$301,B53))</f>
        <v/>
      </c>
      <c r="D53" s="16">
        <f>IF(A53="","",COUNTIFS(Completude!$F$2:$F$301,A53,Completude!$B$2:$B$301,B53,Completude!$M$2:$M$301,"Aguarda*")+COUNTIFS(Completude!$F$2:$F$301,A53,Completude!$B$2:$B$301,B53,Completude!$M$2:$M$301,"NÃO*"))</f>
        <v/>
      </c>
      <c r="E53" s="16">
        <f>IF(A53="","",COUNTIFS(Completude!$F$2:$F$301,A53,Completude!$B$2:$B$301,B53,Completude!$M$2:$M$301,"Lacuna não explicada"))</f>
        <v/>
      </c>
      <c r="F53" s="16">
        <f>IF(A53="","",COUNTIFS(Completude!$F$2:$F$301,A53,Completude!$B$2:$B$301,B53,Completude!$M$2:$M$301,"Lacuna explicada"))</f>
        <v/>
      </c>
      <c r="G53" s="16">
        <f>IF(A53="","",IF(C53=0,"Sem registros: confirme que o F5 rodou",IF(D53&gt;0,"Pendente de análise",IF(E53&gt;0,"Lacunas não explicadas",IF(F53&gt;0,"Lacunas explicadas","Completo")))))</f>
        <v/>
      </c>
      <c r="H53" s="15" t="n"/>
      <c r="I53" s="15" t="n"/>
      <c r="J53" s="15" t="n"/>
      <c r="K53" s="16">
        <f>IF(H53="","",IF(D53&gt;0,"NÃO – há pendências",IF(AND(H53&lt;&gt;G53,H53&lt;&gt;"Não avaliável"),"NÃO – difere do automático: justificar em ata",IF(H53="Lacunas não explicadas",IF(I53=3,"Sim","NÃO – exige unanimidade"),IF(I53&gt;=2,"Sim","NÃO – sem maioria")))))</f>
        <v/>
      </c>
    </row>
    <row r="54">
      <c r="A54" s="15" t="n"/>
      <c r="B54" s="15" t="n"/>
      <c r="C54" s="16">
        <f>IF(A54="","",COUNTIFS(Completude!$F$2:$F$301,A54,Completude!$B$2:$B$301,B54))</f>
        <v/>
      </c>
      <c r="D54" s="16">
        <f>IF(A54="","",COUNTIFS(Completude!$F$2:$F$301,A54,Completude!$B$2:$B$301,B54,Completude!$M$2:$M$301,"Aguarda*")+COUNTIFS(Completude!$F$2:$F$301,A54,Completude!$B$2:$B$301,B54,Completude!$M$2:$M$301,"NÃO*"))</f>
        <v/>
      </c>
      <c r="E54" s="16">
        <f>IF(A54="","",COUNTIFS(Completude!$F$2:$F$301,A54,Completude!$B$2:$B$301,B54,Completude!$M$2:$M$301,"Lacuna não explicada"))</f>
        <v/>
      </c>
      <c r="F54" s="16">
        <f>IF(A54="","",COUNTIFS(Completude!$F$2:$F$301,A54,Completude!$B$2:$B$301,B54,Completude!$M$2:$M$301,"Lacuna explicada"))</f>
        <v/>
      </c>
      <c r="G54" s="16">
        <f>IF(A54="","",IF(C54=0,"Sem registros: confirme que o F5 rodou",IF(D54&gt;0,"Pendente de análise",IF(E54&gt;0,"Lacunas não explicadas",IF(F54&gt;0,"Lacunas explicadas","Completo")))))</f>
        <v/>
      </c>
      <c r="H54" s="15" t="n"/>
      <c r="I54" s="15" t="n"/>
      <c r="J54" s="15" t="n"/>
      <c r="K54" s="16">
        <f>IF(H54="","",IF(D54&gt;0,"NÃO – há pendências",IF(AND(H54&lt;&gt;G54,H54&lt;&gt;"Não avaliável"),"NÃO – difere do automático: justificar em ata",IF(H54="Lacunas não explicadas",IF(I54=3,"Sim","NÃO – exige unanimidade"),IF(I54&gt;=2,"Sim","NÃO – sem maioria")))))</f>
        <v/>
      </c>
    </row>
    <row r="55">
      <c r="A55" s="15" t="n"/>
      <c r="B55" s="15" t="n"/>
      <c r="C55" s="16">
        <f>IF(A55="","",COUNTIFS(Completude!$F$2:$F$301,A55,Completude!$B$2:$B$301,B55))</f>
        <v/>
      </c>
      <c r="D55" s="16">
        <f>IF(A55="","",COUNTIFS(Completude!$F$2:$F$301,A55,Completude!$B$2:$B$301,B55,Completude!$M$2:$M$301,"Aguarda*")+COUNTIFS(Completude!$F$2:$F$301,A55,Completude!$B$2:$B$301,B55,Completude!$M$2:$M$301,"NÃO*"))</f>
        <v/>
      </c>
      <c r="E55" s="16">
        <f>IF(A55="","",COUNTIFS(Completude!$F$2:$F$301,A55,Completude!$B$2:$B$301,B55,Completude!$M$2:$M$301,"Lacuna não explicada"))</f>
        <v/>
      </c>
      <c r="F55" s="16">
        <f>IF(A55="","",COUNTIFS(Completude!$F$2:$F$301,A55,Completude!$B$2:$B$301,B55,Completude!$M$2:$M$301,"Lacuna explicada"))</f>
        <v/>
      </c>
      <c r="G55" s="16">
        <f>IF(A55="","",IF(C55=0,"Sem registros: confirme que o F5 rodou",IF(D55&gt;0,"Pendente de análise",IF(E55&gt;0,"Lacunas não explicadas",IF(F55&gt;0,"Lacunas explicadas","Completo")))))</f>
        <v/>
      </c>
      <c r="H55" s="15" t="n"/>
      <c r="I55" s="15" t="n"/>
      <c r="J55" s="15" t="n"/>
      <c r="K55" s="16">
        <f>IF(H55="","",IF(D55&gt;0,"NÃO – há pendências",IF(AND(H55&lt;&gt;G55,H55&lt;&gt;"Não avaliável"),"NÃO – difere do automático: justificar em ata",IF(H55="Lacunas não explicadas",IF(I55=3,"Sim","NÃO – exige unanimidade"),IF(I55&gt;=2,"Sim","NÃO – sem maioria")))))</f>
        <v/>
      </c>
    </row>
    <row r="56">
      <c r="A56" s="15" t="n"/>
      <c r="B56" s="15" t="n"/>
      <c r="C56" s="16">
        <f>IF(A56="","",COUNTIFS(Completude!$F$2:$F$301,A56,Completude!$B$2:$B$301,B56))</f>
        <v/>
      </c>
      <c r="D56" s="16">
        <f>IF(A56="","",COUNTIFS(Completude!$F$2:$F$301,A56,Completude!$B$2:$B$301,B56,Completude!$M$2:$M$301,"Aguarda*")+COUNTIFS(Completude!$F$2:$F$301,A56,Completude!$B$2:$B$301,B56,Completude!$M$2:$M$301,"NÃO*"))</f>
        <v/>
      </c>
      <c r="E56" s="16">
        <f>IF(A56="","",COUNTIFS(Completude!$F$2:$F$301,A56,Completude!$B$2:$B$301,B56,Completude!$M$2:$M$301,"Lacuna não explicada"))</f>
        <v/>
      </c>
      <c r="F56" s="16">
        <f>IF(A56="","",COUNTIFS(Completude!$F$2:$F$301,A56,Completude!$B$2:$B$301,B56,Completude!$M$2:$M$301,"Lacuna explicada"))</f>
        <v/>
      </c>
      <c r="G56" s="16">
        <f>IF(A56="","",IF(C56=0,"Sem registros: confirme que o F5 rodou",IF(D56&gt;0,"Pendente de análise",IF(E56&gt;0,"Lacunas não explicadas",IF(F56&gt;0,"Lacunas explicadas","Completo")))))</f>
        <v/>
      </c>
      <c r="H56" s="15" t="n"/>
      <c r="I56" s="15" t="n"/>
      <c r="J56" s="15" t="n"/>
      <c r="K56" s="16">
        <f>IF(H56="","",IF(D56&gt;0,"NÃO – há pendências",IF(AND(H56&lt;&gt;G56,H56&lt;&gt;"Não avaliável"),"NÃO – difere do automático: justificar em ata",IF(H56="Lacunas não explicadas",IF(I56=3,"Sim","NÃO – exige unanimidade"),IF(I56&gt;=2,"Sim","NÃO – sem maioria")))))</f>
        <v/>
      </c>
    </row>
    <row r="57">
      <c r="A57" s="15" t="n"/>
      <c r="B57" s="15" t="n"/>
      <c r="C57" s="16">
        <f>IF(A57="","",COUNTIFS(Completude!$F$2:$F$301,A57,Completude!$B$2:$B$301,B57))</f>
        <v/>
      </c>
      <c r="D57" s="16">
        <f>IF(A57="","",COUNTIFS(Completude!$F$2:$F$301,A57,Completude!$B$2:$B$301,B57,Completude!$M$2:$M$301,"Aguarda*")+COUNTIFS(Completude!$F$2:$F$301,A57,Completude!$B$2:$B$301,B57,Completude!$M$2:$M$301,"NÃO*"))</f>
        <v/>
      </c>
      <c r="E57" s="16">
        <f>IF(A57="","",COUNTIFS(Completude!$F$2:$F$301,A57,Completude!$B$2:$B$301,B57,Completude!$M$2:$M$301,"Lacuna não explicada"))</f>
        <v/>
      </c>
      <c r="F57" s="16">
        <f>IF(A57="","",COUNTIFS(Completude!$F$2:$F$301,A57,Completude!$B$2:$B$301,B57,Completude!$M$2:$M$301,"Lacuna explicada"))</f>
        <v/>
      </c>
      <c r="G57" s="16">
        <f>IF(A57="","",IF(C57=0,"Sem registros: confirme que o F5 rodou",IF(D57&gt;0,"Pendente de análise",IF(E57&gt;0,"Lacunas não explicadas",IF(F57&gt;0,"Lacunas explicadas","Completo")))))</f>
        <v/>
      </c>
      <c r="H57" s="15" t="n"/>
      <c r="I57" s="15" t="n"/>
      <c r="J57" s="15" t="n"/>
      <c r="K57" s="16">
        <f>IF(H57="","",IF(D57&gt;0,"NÃO – há pendências",IF(AND(H57&lt;&gt;G57,H57&lt;&gt;"Não avaliável"),"NÃO – difere do automático: justificar em ata",IF(H57="Lacunas não explicadas",IF(I57=3,"Sim","NÃO – exige unanimidade"),IF(I57&gt;=2,"Sim","NÃO – sem maioria")))))</f>
        <v/>
      </c>
    </row>
    <row r="58">
      <c r="A58" s="15" t="n"/>
      <c r="B58" s="15" t="n"/>
      <c r="C58" s="16">
        <f>IF(A58="","",COUNTIFS(Completude!$F$2:$F$301,A58,Completude!$B$2:$B$301,B58))</f>
        <v/>
      </c>
      <c r="D58" s="16">
        <f>IF(A58="","",COUNTIFS(Completude!$F$2:$F$301,A58,Completude!$B$2:$B$301,B58,Completude!$M$2:$M$301,"Aguarda*")+COUNTIFS(Completude!$F$2:$F$301,A58,Completude!$B$2:$B$301,B58,Completude!$M$2:$M$301,"NÃO*"))</f>
        <v/>
      </c>
      <c r="E58" s="16">
        <f>IF(A58="","",COUNTIFS(Completude!$F$2:$F$301,A58,Completude!$B$2:$B$301,B58,Completude!$M$2:$M$301,"Lacuna não explicada"))</f>
        <v/>
      </c>
      <c r="F58" s="16">
        <f>IF(A58="","",COUNTIFS(Completude!$F$2:$F$301,A58,Completude!$B$2:$B$301,B58,Completude!$M$2:$M$301,"Lacuna explicada"))</f>
        <v/>
      </c>
      <c r="G58" s="16">
        <f>IF(A58="","",IF(C58=0,"Sem registros: confirme que o F5 rodou",IF(D58&gt;0,"Pendente de análise",IF(E58&gt;0,"Lacunas não explicadas",IF(F58&gt;0,"Lacunas explicadas","Completo")))))</f>
        <v/>
      </c>
      <c r="H58" s="15" t="n"/>
      <c r="I58" s="15" t="n"/>
      <c r="J58" s="15" t="n"/>
      <c r="K58" s="16">
        <f>IF(H58="","",IF(D58&gt;0,"NÃO – há pendências",IF(AND(H58&lt;&gt;G58,H58&lt;&gt;"Não avaliável"),"NÃO – difere do automático: justificar em ata",IF(H58="Lacunas não explicadas",IF(I58=3,"Sim","NÃO – exige unanimidade"),IF(I58&gt;=2,"Sim","NÃO – sem maioria")))))</f>
        <v/>
      </c>
    </row>
    <row r="59">
      <c r="A59" s="15" t="n"/>
      <c r="B59" s="15" t="n"/>
      <c r="C59" s="16">
        <f>IF(A59="","",COUNTIFS(Completude!$F$2:$F$301,A59,Completude!$B$2:$B$301,B59))</f>
        <v/>
      </c>
      <c r="D59" s="16">
        <f>IF(A59="","",COUNTIFS(Completude!$F$2:$F$301,A59,Completude!$B$2:$B$301,B59,Completude!$M$2:$M$301,"Aguarda*")+COUNTIFS(Completude!$F$2:$F$301,A59,Completude!$B$2:$B$301,B59,Completude!$M$2:$M$301,"NÃO*"))</f>
        <v/>
      </c>
      <c r="E59" s="16">
        <f>IF(A59="","",COUNTIFS(Completude!$F$2:$F$301,A59,Completude!$B$2:$B$301,B59,Completude!$M$2:$M$301,"Lacuna não explicada"))</f>
        <v/>
      </c>
      <c r="F59" s="16">
        <f>IF(A59="","",COUNTIFS(Completude!$F$2:$F$301,A59,Completude!$B$2:$B$301,B59,Completude!$M$2:$M$301,"Lacuna explicada"))</f>
        <v/>
      </c>
      <c r="G59" s="16">
        <f>IF(A59="","",IF(C59=0,"Sem registros: confirme que o F5 rodou",IF(D59&gt;0,"Pendente de análise",IF(E59&gt;0,"Lacunas não explicadas",IF(F59&gt;0,"Lacunas explicadas","Completo")))))</f>
        <v/>
      </c>
      <c r="H59" s="15" t="n"/>
      <c r="I59" s="15" t="n"/>
      <c r="J59" s="15" t="n"/>
      <c r="K59" s="16">
        <f>IF(H59="","",IF(D59&gt;0,"NÃO – há pendências",IF(AND(H59&lt;&gt;G59,H59&lt;&gt;"Não avaliável"),"NÃO – difere do automático: justificar em ata",IF(H59="Lacunas não explicadas",IF(I59=3,"Sim","NÃO – exige unanimidade"),IF(I59&gt;=2,"Sim","NÃO – sem maioria")))))</f>
        <v/>
      </c>
    </row>
    <row r="60">
      <c r="A60" s="15" t="n"/>
      <c r="B60" s="15" t="n"/>
      <c r="C60" s="16">
        <f>IF(A60="","",COUNTIFS(Completude!$F$2:$F$301,A60,Completude!$B$2:$B$301,B60))</f>
        <v/>
      </c>
      <c r="D60" s="16">
        <f>IF(A60="","",COUNTIFS(Completude!$F$2:$F$301,A60,Completude!$B$2:$B$301,B60,Completude!$M$2:$M$301,"Aguarda*")+COUNTIFS(Completude!$F$2:$F$301,A60,Completude!$B$2:$B$301,B60,Completude!$M$2:$M$301,"NÃO*"))</f>
        <v/>
      </c>
      <c r="E60" s="16">
        <f>IF(A60="","",COUNTIFS(Completude!$F$2:$F$301,A60,Completude!$B$2:$B$301,B60,Completude!$M$2:$M$301,"Lacuna não explicada"))</f>
        <v/>
      </c>
      <c r="F60" s="16">
        <f>IF(A60="","",COUNTIFS(Completude!$F$2:$F$301,A60,Completude!$B$2:$B$301,B60,Completude!$M$2:$M$301,"Lacuna explicada"))</f>
        <v/>
      </c>
      <c r="G60" s="16">
        <f>IF(A60="","",IF(C60=0,"Sem registros: confirme que o F5 rodou",IF(D60&gt;0,"Pendente de análise",IF(E60&gt;0,"Lacunas não explicadas",IF(F60&gt;0,"Lacunas explicadas","Completo")))))</f>
        <v/>
      </c>
      <c r="H60" s="15" t="n"/>
      <c r="I60" s="15" t="n"/>
      <c r="J60" s="15" t="n"/>
      <c r="K60" s="16">
        <f>IF(H60="","",IF(D60&gt;0,"NÃO – há pendências",IF(AND(H60&lt;&gt;G60,H60&lt;&gt;"Não avaliável"),"NÃO – difere do automático: justificar em ata",IF(H60="Lacunas não explicadas",IF(I60=3,"Sim","NÃO – exige unanimidade"),IF(I60&gt;=2,"Sim","NÃO – sem maioria")))))</f>
        <v/>
      </c>
    </row>
    <row r="61">
      <c r="A61" s="15" t="n"/>
      <c r="B61" s="15" t="n"/>
      <c r="C61" s="16">
        <f>IF(A61="","",COUNTIFS(Completude!$F$2:$F$301,A61,Completude!$B$2:$B$301,B61))</f>
        <v/>
      </c>
      <c r="D61" s="16">
        <f>IF(A61="","",COUNTIFS(Completude!$F$2:$F$301,A61,Completude!$B$2:$B$301,B61,Completude!$M$2:$M$301,"Aguarda*")+COUNTIFS(Completude!$F$2:$F$301,A61,Completude!$B$2:$B$301,B61,Completude!$M$2:$M$301,"NÃO*"))</f>
        <v/>
      </c>
      <c r="E61" s="16">
        <f>IF(A61="","",COUNTIFS(Completude!$F$2:$F$301,A61,Completude!$B$2:$B$301,B61,Completude!$M$2:$M$301,"Lacuna não explicada"))</f>
        <v/>
      </c>
      <c r="F61" s="16">
        <f>IF(A61="","",COUNTIFS(Completude!$F$2:$F$301,A61,Completude!$B$2:$B$301,B61,Completude!$M$2:$M$301,"Lacuna explicada"))</f>
        <v/>
      </c>
      <c r="G61" s="16">
        <f>IF(A61="","",IF(C61=0,"Sem registros: confirme que o F5 rodou",IF(D61&gt;0,"Pendente de análise",IF(E61&gt;0,"Lacunas não explicadas",IF(F61&gt;0,"Lacunas explicadas","Completo")))))</f>
        <v/>
      </c>
      <c r="H61" s="15" t="n"/>
      <c r="I61" s="15" t="n"/>
      <c r="J61" s="15" t="n"/>
      <c r="K61" s="16">
        <f>IF(H61="","",IF(D61&gt;0,"NÃO – há pendências",IF(AND(H61&lt;&gt;G61,H61&lt;&gt;"Não avaliável"),"NÃO – difere do automático: justificar em ata",IF(H61="Lacunas não explicadas",IF(I61=3,"Sim","NÃO – exige unanimidade"),IF(I61&gt;=2,"Sim","NÃO – sem maioria")))))</f>
        <v/>
      </c>
    </row>
    <row r="62">
      <c r="A62" s="15" t="n"/>
      <c r="B62" s="15" t="n"/>
      <c r="C62" s="16">
        <f>IF(A62="","",COUNTIFS(Completude!$F$2:$F$301,A62,Completude!$B$2:$B$301,B62))</f>
        <v/>
      </c>
      <c r="D62" s="16">
        <f>IF(A62="","",COUNTIFS(Completude!$F$2:$F$301,A62,Completude!$B$2:$B$301,B62,Completude!$M$2:$M$301,"Aguarda*")+COUNTIFS(Completude!$F$2:$F$301,A62,Completude!$B$2:$B$301,B62,Completude!$M$2:$M$301,"NÃO*"))</f>
        <v/>
      </c>
      <c r="E62" s="16">
        <f>IF(A62="","",COUNTIFS(Completude!$F$2:$F$301,A62,Completude!$B$2:$B$301,B62,Completude!$M$2:$M$301,"Lacuna não explicada"))</f>
        <v/>
      </c>
      <c r="F62" s="16">
        <f>IF(A62="","",COUNTIFS(Completude!$F$2:$F$301,A62,Completude!$B$2:$B$301,B62,Completude!$M$2:$M$301,"Lacuna explicada"))</f>
        <v/>
      </c>
      <c r="G62" s="16">
        <f>IF(A62="","",IF(C62=0,"Sem registros: confirme que o F5 rodou",IF(D62&gt;0,"Pendente de análise",IF(E62&gt;0,"Lacunas não explicadas",IF(F62&gt;0,"Lacunas explicadas","Completo")))))</f>
        <v/>
      </c>
      <c r="H62" s="15" t="n"/>
      <c r="I62" s="15" t="n"/>
      <c r="J62" s="15" t="n"/>
      <c r="K62" s="16">
        <f>IF(H62="","",IF(D62&gt;0,"NÃO – há pendências",IF(AND(H62&lt;&gt;G62,H62&lt;&gt;"Não avaliável"),"NÃO – difere do automático: justificar em ata",IF(H62="Lacunas não explicadas",IF(I62=3,"Sim","NÃO – exige unanimidade"),IF(I62&gt;=2,"Sim","NÃO – sem maioria")))))</f>
        <v/>
      </c>
    </row>
    <row r="63">
      <c r="A63" s="15" t="n"/>
      <c r="B63" s="15" t="n"/>
      <c r="C63" s="16">
        <f>IF(A63="","",COUNTIFS(Completude!$F$2:$F$301,A63,Completude!$B$2:$B$301,B63))</f>
        <v/>
      </c>
      <c r="D63" s="16">
        <f>IF(A63="","",COUNTIFS(Completude!$F$2:$F$301,A63,Completude!$B$2:$B$301,B63,Completude!$M$2:$M$301,"Aguarda*")+COUNTIFS(Completude!$F$2:$F$301,A63,Completude!$B$2:$B$301,B63,Completude!$M$2:$M$301,"NÃO*"))</f>
        <v/>
      </c>
      <c r="E63" s="16">
        <f>IF(A63="","",COUNTIFS(Completude!$F$2:$F$301,A63,Completude!$B$2:$B$301,B63,Completude!$M$2:$M$301,"Lacuna não explicada"))</f>
        <v/>
      </c>
      <c r="F63" s="16">
        <f>IF(A63="","",COUNTIFS(Completude!$F$2:$F$301,A63,Completude!$B$2:$B$301,B63,Completude!$M$2:$M$301,"Lacuna explicada"))</f>
        <v/>
      </c>
      <c r="G63" s="16">
        <f>IF(A63="","",IF(C63=0,"Sem registros: confirme que o F5 rodou",IF(D63&gt;0,"Pendente de análise",IF(E63&gt;0,"Lacunas não explicadas",IF(F63&gt;0,"Lacunas explicadas","Completo")))))</f>
        <v/>
      </c>
      <c r="H63" s="15" t="n"/>
      <c r="I63" s="15" t="n"/>
      <c r="J63" s="15" t="n"/>
      <c r="K63" s="16">
        <f>IF(H63="","",IF(D63&gt;0,"NÃO – há pendências",IF(AND(H63&lt;&gt;G63,H63&lt;&gt;"Não avaliável"),"NÃO – difere do automático: justificar em ata",IF(H63="Lacunas não explicadas",IF(I63=3,"Sim","NÃO – exige unanimidade"),IF(I63&gt;=2,"Sim","NÃO – sem maioria")))))</f>
        <v/>
      </c>
    </row>
    <row r="64">
      <c r="A64" s="15" t="n"/>
      <c r="B64" s="15" t="n"/>
      <c r="C64" s="16">
        <f>IF(A64="","",COUNTIFS(Completude!$F$2:$F$301,A64,Completude!$B$2:$B$301,B64))</f>
        <v/>
      </c>
      <c r="D64" s="16">
        <f>IF(A64="","",COUNTIFS(Completude!$F$2:$F$301,A64,Completude!$B$2:$B$301,B64,Completude!$M$2:$M$301,"Aguarda*")+COUNTIFS(Completude!$F$2:$F$301,A64,Completude!$B$2:$B$301,B64,Completude!$M$2:$M$301,"NÃO*"))</f>
        <v/>
      </c>
      <c r="E64" s="16">
        <f>IF(A64="","",COUNTIFS(Completude!$F$2:$F$301,A64,Completude!$B$2:$B$301,B64,Completude!$M$2:$M$301,"Lacuna não explicada"))</f>
        <v/>
      </c>
      <c r="F64" s="16">
        <f>IF(A64="","",COUNTIFS(Completude!$F$2:$F$301,A64,Completude!$B$2:$B$301,B64,Completude!$M$2:$M$301,"Lacuna explicada"))</f>
        <v/>
      </c>
      <c r="G64" s="16">
        <f>IF(A64="","",IF(C64=0,"Sem registros: confirme que o F5 rodou",IF(D64&gt;0,"Pendente de análise",IF(E64&gt;0,"Lacunas não explicadas",IF(F64&gt;0,"Lacunas explicadas","Completo")))))</f>
        <v/>
      </c>
      <c r="H64" s="15" t="n"/>
      <c r="I64" s="15" t="n"/>
      <c r="J64" s="15" t="n"/>
      <c r="K64" s="16">
        <f>IF(H64="","",IF(D64&gt;0,"NÃO – há pendências",IF(AND(H64&lt;&gt;G64,H64&lt;&gt;"Não avaliável"),"NÃO – difere do automático: justificar em ata",IF(H64="Lacunas não explicadas",IF(I64=3,"Sim","NÃO – exige unanimidade"),IF(I64&gt;=2,"Sim","NÃO – sem maioria")))))</f>
        <v/>
      </c>
    </row>
    <row r="65">
      <c r="A65" s="15" t="n"/>
      <c r="B65" s="15" t="n"/>
      <c r="C65" s="16">
        <f>IF(A65="","",COUNTIFS(Completude!$F$2:$F$301,A65,Completude!$B$2:$B$301,B65))</f>
        <v/>
      </c>
      <c r="D65" s="16">
        <f>IF(A65="","",COUNTIFS(Completude!$F$2:$F$301,A65,Completude!$B$2:$B$301,B65,Completude!$M$2:$M$301,"Aguarda*")+COUNTIFS(Completude!$F$2:$F$301,A65,Completude!$B$2:$B$301,B65,Completude!$M$2:$M$301,"NÃO*"))</f>
        <v/>
      </c>
      <c r="E65" s="16">
        <f>IF(A65="","",COUNTIFS(Completude!$F$2:$F$301,A65,Completude!$B$2:$B$301,B65,Completude!$M$2:$M$301,"Lacuna não explicada"))</f>
        <v/>
      </c>
      <c r="F65" s="16">
        <f>IF(A65="","",COUNTIFS(Completude!$F$2:$F$301,A65,Completude!$B$2:$B$301,B65,Completude!$M$2:$M$301,"Lacuna explicada"))</f>
        <v/>
      </c>
      <c r="G65" s="16">
        <f>IF(A65="","",IF(C65=0,"Sem registros: confirme que o F5 rodou",IF(D65&gt;0,"Pendente de análise",IF(E65&gt;0,"Lacunas não explicadas",IF(F65&gt;0,"Lacunas explicadas","Completo")))))</f>
        <v/>
      </c>
      <c r="H65" s="15" t="n"/>
      <c r="I65" s="15" t="n"/>
      <c r="J65" s="15" t="n"/>
      <c r="K65" s="16">
        <f>IF(H65="","",IF(D65&gt;0,"NÃO – há pendências",IF(AND(H65&lt;&gt;G65,H65&lt;&gt;"Não avaliável"),"NÃO – difere do automático: justificar em ata",IF(H65="Lacunas não explicadas",IF(I65=3,"Sim","NÃO – exige unanimidade"),IF(I65&gt;=2,"Sim","NÃO – sem maioria")))))</f>
        <v/>
      </c>
    </row>
    <row r="66">
      <c r="A66" s="15" t="n"/>
      <c r="B66" s="15" t="n"/>
      <c r="C66" s="16">
        <f>IF(A66="","",COUNTIFS(Completude!$F$2:$F$301,A66,Completude!$B$2:$B$301,B66))</f>
        <v/>
      </c>
      <c r="D66" s="16">
        <f>IF(A66="","",COUNTIFS(Completude!$F$2:$F$301,A66,Completude!$B$2:$B$301,B66,Completude!$M$2:$M$301,"Aguarda*")+COUNTIFS(Completude!$F$2:$F$301,A66,Completude!$B$2:$B$301,B66,Completude!$M$2:$M$301,"NÃO*"))</f>
        <v/>
      </c>
      <c r="E66" s="16">
        <f>IF(A66="","",COUNTIFS(Completude!$F$2:$F$301,A66,Completude!$B$2:$B$301,B66,Completude!$M$2:$M$301,"Lacuna não explicada"))</f>
        <v/>
      </c>
      <c r="F66" s="16">
        <f>IF(A66="","",COUNTIFS(Completude!$F$2:$F$301,A66,Completude!$B$2:$B$301,B66,Completude!$M$2:$M$301,"Lacuna explicada"))</f>
        <v/>
      </c>
      <c r="G66" s="16">
        <f>IF(A66="","",IF(C66=0,"Sem registros: confirme que o F5 rodou",IF(D66&gt;0,"Pendente de análise",IF(E66&gt;0,"Lacunas não explicadas",IF(F66&gt;0,"Lacunas explicadas","Completo")))))</f>
        <v/>
      </c>
      <c r="H66" s="15" t="n"/>
      <c r="I66" s="15" t="n"/>
      <c r="J66" s="15" t="n"/>
      <c r="K66" s="16">
        <f>IF(H66="","",IF(D66&gt;0,"NÃO – há pendências",IF(AND(H66&lt;&gt;G66,H66&lt;&gt;"Não avaliável"),"NÃO – difere do automático: justificar em ata",IF(H66="Lacunas não explicadas",IF(I66=3,"Sim","NÃO – exige unanimidade"),IF(I66&gt;=2,"Sim","NÃO – sem maioria")))))</f>
        <v/>
      </c>
    </row>
    <row r="67">
      <c r="A67" s="15" t="n"/>
      <c r="B67" s="15" t="n"/>
      <c r="C67" s="16">
        <f>IF(A67="","",COUNTIFS(Completude!$F$2:$F$301,A67,Completude!$B$2:$B$301,B67))</f>
        <v/>
      </c>
      <c r="D67" s="16">
        <f>IF(A67="","",COUNTIFS(Completude!$F$2:$F$301,A67,Completude!$B$2:$B$301,B67,Completude!$M$2:$M$301,"Aguarda*")+COUNTIFS(Completude!$F$2:$F$301,A67,Completude!$B$2:$B$301,B67,Completude!$M$2:$M$301,"NÃO*"))</f>
        <v/>
      </c>
      <c r="E67" s="16">
        <f>IF(A67="","",COUNTIFS(Completude!$F$2:$F$301,A67,Completude!$B$2:$B$301,B67,Completude!$M$2:$M$301,"Lacuna não explicada"))</f>
        <v/>
      </c>
      <c r="F67" s="16">
        <f>IF(A67="","",COUNTIFS(Completude!$F$2:$F$301,A67,Completude!$B$2:$B$301,B67,Completude!$M$2:$M$301,"Lacuna explicada"))</f>
        <v/>
      </c>
      <c r="G67" s="16">
        <f>IF(A67="","",IF(C67=0,"Sem registros: confirme que o F5 rodou",IF(D67&gt;0,"Pendente de análise",IF(E67&gt;0,"Lacunas não explicadas",IF(F67&gt;0,"Lacunas explicadas","Completo")))))</f>
        <v/>
      </c>
      <c r="H67" s="15" t="n"/>
      <c r="I67" s="15" t="n"/>
      <c r="J67" s="15" t="n"/>
      <c r="K67" s="16">
        <f>IF(H67="","",IF(D67&gt;0,"NÃO – há pendências",IF(AND(H67&lt;&gt;G67,H67&lt;&gt;"Não avaliável"),"NÃO – difere do automático: justificar em ata",IF(H67="Lacunas não explicadas",IF(I67=3,"Sim","NÃO – exige unanimidade"),IF(I67&gt;=2,"Sim","NÃO – sem maioria")))))</f>
        <v/>
      </c>
    </row>
    <row r="68">
      <c r="A68" s="15" t="n"/>
      <c r="B68" s="15" t="n"/>
      <c r="C68" s="16">
        <f>IF(A68="","",COUNTIFS(Completude!$F$2:$F$301,A68,Completude!$B$2:$B$301,B68))</f>
        <v/>
      </c>
      <c r="D68" s="16">
        <f>IF(A68="","",COUNTIFS(Completude!$F$2:$F$301,A68,Completude!$B$2:$B$301,B68,Completude!$M$2:$M$301,"Aguarda*")+COUNTIFS(Completude!$F$2:$F$301,A68,Completude!$B$2:$B$301,B68,Completude!$M$2:$M$301,"NÃO*"))</f>
        <v/>
      </c>
      <c r="E68" s="16">
        <f>IF(A68="","",COUNTIFS(Completude!$F$2:$F$301,A68,Completude!$B$2:$B$301,B68,Completude!$M$2:$M$301,"Lacuna não explicada"))</f>
        <v/>
      </c>
      <c r="F68" s="16">
        <f>IF(A68="","",COUNTIFS(Completude!$F$2:$F$301,A68,Completude!$B$2:$B$301,B68,Completude!$M$2:$M$301,"Lacuna explicada"))</f>
        <v/>
      </c>
      <c r="G68" s="16">
        <f>IF(A68="","",IF(C68=0,"Sem registros: confirme que o F5 rodou",IF(D68&gt;0,"Pendente de análise",IF(E68&gt;0,"Lacunas não explicadas",IF(F68&gt;0,"Lacunas explicadas","Completo")))))</f>
        <v/>
      </c>
      <c r="H68" s="15" t="n"/>
      <c r="I68" s="15" t="n"/>
      <c r="J68" s="15" t="n"/>
      <c r="K68" s="16">
        <f>IF(H68="","",IF(D68&gt;0,"NÃO – há pendências",IF(AND(H68&lt;&gt;G68,H68&lt;&gt;"Não avaliável"),"NÃO – difere do automático: justificar em ata",IF(H68="Lacunas não explicadas",IF(I68=3,"Sim","NÃO – exige unanimidade"),IF(I68&gt;=2,"Sim","NÃO – sem maioria")))))</f>
        <v/>
      </c>
    </row>
    <row r="69">
      <c r="A69" s="15" t="n"/>
      <c r="B69" s="15" t="n"/>
      <c r="C69" s="16">
        <f>IF(A69="","",COUNTIFS(Completude!$F$2:$F$301,A69,Completude!$B$2:$B$301,B69))</f>
        <v/>
      </c>
      <c r="D69" s="16">
        <f>IF(A69="","",COUNTIFS(Completude!$F$2:$F$301,A69,Completude!$B$2:$B$301,B69,Completude!$M$2:$M$301,"Aguarda*")+COUNTIFS(Completude!$F$2:$F$301,A69,Completude!$B$2:$B$301,B69,Completude!$M$2:$M$301,"NÃO*"))</f>
        <v/>
      </c>
      <c r="E69" s="16">
        <f>IF(A69="","",COUNTIFS(Completude!$F$2:$F$301,A69,Completude!$B$2:$B$301,B69,Completude!$M$2:$M$301,"Lacuna não explicada"))</f>
        <v/>
      </c>
      <c r="F69" s="16">
        <f>IF(A69="","",COUNTIFS(Completude!$F$2:$F$301,A69,Completude!$B$2:$B$301,B69,Completude!$M$2:$M$301,"Lacuna explicada"))</f>
        <v/>
      </c>
      <c r="G69" s="16">
        <f>IF(A69="","",IF(C69=0,"Sem registros: confirme que o F5 rodou",IF(D69&gt;0,"Pendente de análise",IF(E69&gt;0,"Lacunas não explicadas",IF(F69&gt;0,"Lacunas explicadas","Completo")))))</f>
        <v/>
      </c>
      <c r="H69" s="15" t="n"/>
      <c r="I69" s="15" t="n"/>
      <c r="J69" s="15" t="n"/>
      <c r="K69" s="16">
        <f>IF(H69="","",IF(D69&gt;0,"NÃO – há pendências",IF(AND(H69&lt;&gt;G69,H69&lt;&gt;"Não avaliável"),"NÃO – difere do automático: justificar em ata",IF(H69="Lacunas não explicadas",IF(I69=3,"Sim","NÃO – exige unanimidade"),IF(I69&gt;=2,"Sim","NÃO – sem maioria")))))</f>
        <v/>
      </c>
    </row>
    <row r="70">
      <c r="A70" s="15" t="n"/>
      <c r="B70" s="15" t="n"/>
      <c r="C70" s="16">
        <f>IF(A70="","",COUNTIFS(Completude!$F$2:$F$301,A70,Completude!$B$2:$B$301,B70))</f>
        <v/>
      </c>
      <c r="D70" s="16">
        <f>IF(A70="","",COUNTIFS(Completude!$F$2:$F$301,A70,Completude!$B$2:$B$301,B70,Completude!$M$2:$M$301,"Aguarda*")+COUNTIFS(Completude!$F$2:$F$301,A70,Completude!$B$2:$B$301,B70,Completude!$M$2:$M$301,"NÃO*"))</f>
        <v/>
      </c>
      <c r="E70" s="16">
        <f>IF(A70="","",COUNTIFS(Completude!$F$2:$F$301,A70,Completude!$B$2:$B$301,B70,Completude!$M$2:$M$301,"Lacuna não explicada"))</f>
        <v/>
      </c>
      <c r="F70" s="16">
        <f>IF(A70="","",COUNTIFS(Completude!$F$2:$F$301,A70,Completude!$B$2:$B$301,B70,Completude!$M$2:$M$301,"Lacuna explicada"))</f>
        <v/>
      </c>
      <c r="G70" s="16">
        <f>IF(A70="","",IF(C70=0,"Sem registros: confirme que o F5 rodou",IF(D70&gt;0,"Pendente de análise",IF(E70&gt;0,"Lacunas não explicadas",IF(F70&gt;0,"Lacunas explicadas","Completo")))))</f>
        <v/>
      </c>
      <c r="H70" s="15" t="n"/>
      <c r="I70" s="15" t="n"/>
      <c r="J70" s="15" t="n"/>
      <c r="K70" s="16">
        <f>IF(H70="","",IF(D70&gt;0,"NÃO – há pendências",IF(AND(H70&lt;&gt;G70,H70&lt;&gt;"Não avaliável"),"NÃO – difere do automático: justificar em ata",IF(H70="Lacunas não explicadas",IF(I70=3,"Sim","NÃO – exige unanimidade"),IF(I70&gt;=2,"Sim","NÃO – sem maioria")))))</f>
        <v/>
      </c>
    </row>
    <row r="71">
      <c r="A71" s="15" t="n"/>
      <c r="B71" s="15" t="n"/>
      <c r="C71" s="16">
        <f>IF(A71="","",COUNTIFS(Completude!$F$2:$F$301,A71,Completude!$B$2:$B$301,B71))</f>
        <v/>
      </c>
      <c r="D71" s="16">
        <f>IF(A71="","",COUNTIFS(Completude!$F$2:$F$301,A71,Completude!$B$2:$B$301,B71,Completude!$M$2:$M$301,"Aguarda*")+COUNTIFS(Completude!$F$2:$F$301,A71,Completude!$B$2:$B$301,B71,Completude!$M$2:$M$301,"NÃO*"))</f>
        <v/>
      </c>
      <c r="E71" s="16">
        <f>IF(A71="","",COUNTIFS(Completude!$F$2:$F$301,A71,Completude!$B$2:$B$301,B71,Completude!$M$2:$M$301,"Lacuna não explicada"))</f>
        <v/>
      </c>
      <c r="F71" s="16">
        <f>IF(A71="","",COUNTIFS(Completude!$F$2:$F$301,A71,Completude!$B$2:$B$301,B71,Completude!$M$2:$M$301,"Lacuna explicada"))</f>
        <v/>
      </c>
      <c r="G71" s="16">
        <f>IF(A71="","",IF(C71=0,"Sem registros: confirme que o F5 rodou",IF(D71&gt;0,"Pendente de análise",IF(E71&gt;0,"Lacunas não explicadas",IF(F71&gt;0,"Lacunas explicadas","Completo")))))</f>
        <v/>
      </c>
      <c r="H71" s="15" t="n"/>
      <c r="I71" s="15" t="n"/>
      <c r="J71" s="15" t="n"/>
      <c r="K71" s="16">
        <f>IF(H71="","",IF(D71&gt;0,"NÃO – há pendências",IF(AND(H71&lt;&gt;G71,H71&lt;&gt;"Não avaliável"),"NÃO – difere do automático: justificar em ata",IF(H71="Lacunas não explicadas",IF(I71=3,"Sim","NÃO – exige unanimidade"),IF(I71&gt;=2,"Sim","NÃO – sem maioria")))))</f>
        <v/>
      </c>
    </row>
    <row r="72">
      <c r="A72" s="15" t="n"/>
      <c r="B72" s="15" t="n"/>
      <c r="C72" s="16">
        <f>IF(A72="","",COUNTIFS(Completude!$F$2:$F$301,A72,Completude!$B$2:$B$301,B72))</f>
        <v/>
      </c>
      <c r="D72" s="16">
        <f>IF(A72="","",COUNTIFS(Completude!$F$2:$F$301,A72,Completude!$B$2:$B$301,B72,Completude!$M$2:$M$301,"Aguarda*")+COUNTIFS(Completude!$F$2:$F$301,A72,Completude!$B$2:$B$301,B72,Completude!$M$2:$M$301,"NÃO*"))</f>
        <v/>
      </c>
      <c r="E72" s="16">
        <f>IF(A72="","",COUNTIFS(Completude!$F$2:$F$301,A72,Completude!$B$2:$B$301,B72,Completude!$M$2:$M$301,"Lacuna não explicada"))</f>
        <v/>
      </c>
      <c r="F72" s="16">
        <f>IF(A72="","",COUNTIFS(Completude!$F$2:$F$301,A72,Completude!$B$2:$B$301,B72,Completude!$M$2:$M$301,"Lacuna explicada"))</f>
        <v/>
      </c>
      <c r="G72" s="16">
        <f>IF(A72="","",IF(C72=0,"Sem registros: confirme que o F5 rodou",IF(D72&gt;0,"Pendente de análise",IF(E72&gt;0,"Lacunas não explicadas",IF(F72&gt;0,"Lacunas explicadas","Completo")))))</f>
        <v/>
      </c>
      <c r="H72" s="15" t="n"/>
      <c r="I72" s="15" t="n"/>
      <c r="J72" s="15" t="n"/>
      <c r="K72" s="16">
        <f>IF(H72="","",IF(D72&gt;0,"NÃO – há pendências",IF(AND(H72&lt;&gt;G72,H72&lt;&gt;"Não avaliável"),"NÃO – difere do automático: justificar em ata",IF(H72="Lacunas não explicadas",IF(I72=3,"Sim","NÃO – exige unanimidade"),IF(I72&gt;=2,"Sim","NÃO – sem maioria")))))</f>
        <v/>
      </c>
    </row>
    <row r="73">
      <c r="A73" s="15" t="n"/>
      <c r="B73" s="15" t="n"/>
      <c r="C73" s="16">
        <f>IF(A73="","",COUNTIFS(Completude!$F$2:$F$301,A73,Completude!$B$2:$B$301,B73))</f>
        <v/>
      </c>
      <c r="D73" s="16">
        <f>IF(A73="","",COUNTIFS(Completude!$F$2:$F$301,A73,Completude!$B$2:$B$301,B73,Completude!$M$2:$M$301,"Aguarda*")+COUNTIFS(Completude!$F$2:$F$301,A73,Completude!$B$2:$B$301,B73,Completude!$M$2:$M$301,"NÃO*"))</f>
        <v/>
      </c>
      <c r="E73" s="16">
        <f>IF(A73="","",COUNTIFS(Completude!$F$2:$F$301,A73,Completude!$B$2:$B$301,B73,Completude!$M$2:$M$301,"Lacuna não explicada"))</f>
        <v/>
      </c>
      <c r="F73" s="16">
        <f>IF(A73="","",COUNTIFS(Completude!$F$2:$F$301,A73,Completude!$B$2:$B$301,B73,Completude!$M$2:$M$301,"Lacuna explicada"))</f>
        <v/>
      </c>
      <c r="G73" s="16">
        <f>IF(A73="","",IF(C73=0,"Sem registros: confirme que o F5 rodou",IF(D73&gt;0,"Pendente de análise",IF(E73&gt;0,"Lacunas não explicadas",IF(F73&gt;0,"Lacunas explicadas","Completo")))))</f>
        <v/>
      </c>
      <c r="H73" s="15" t="n"/>
      <c r="I73" s="15" t="n"/>
      <c r="J73" s="15" t="n"/>
      <c r="K73" s="16">
        <f>IF(H73="","",IF(D73&gt;0,"NÃO – há pendências",IF(AND(H73&lt;&gt;G73,H73&lt;&gt;"Não avaliável"),"NÃO – difere do automático: justificar em ata",IF(H73="Lacunas não explicadas",IF(I73=3,"Sim","NÃO – exige unanimidade"),IF(I73&gt;=2,"Sim","NÃO – sem maioria")))))</f>
        <v/>
      </c>
    </row>
    <row r="74">
      <c r="A74" s="15" t="n"/>
      <c r="B74" s="15" t="n"/>
      <c r="C74" s="16">
        <f>IF(A74="","",COUNTIFS(Completude!$F$2:$F$301,A74,Completude!$B$2:$B$301,B74))</f>
        <v/>
      </c>
      <c r="D74" s="16">
        <f>IF(A74="","",COUNTIFS(Completude!$F$2:$F$301,A74,Completude!$B$2:$B$301,B74,Completude!$M$2:$M$301,"Aguarda*")+COUNTIFS(Completude!$F$2:$F$301,A74,Completude!$B$2:$B$301,B74,Completude!$M$2:$M$301,"NÃO*"))</f>
        <v/>
      </c>
      <c r="E74" s="16">
        <f>IF(A74="","",COUNTIFS(Completude!$F$2:$F$301,A74,Completude!$B$2:$B$301,B74,Completude!$M$2:$M$301,"Lacuna não explicada"))</f>
        <v/>
      </c>
      <c r="F74" s="16">
        <f>IF(A74="","",COUNTIFS(Completude!$F$2:$F$301,A74,Completude!$B$2:$B$301,B74,Completude!$M$2:$M$301,"Lacuna explicada"))</f>
        <v/>
      </c>
      <c r="G74" s="16">
        <f>IF(A74="","",IF(C74=0,"Sem registros: confirme que o F5 rodou",IF(D74&gt;0,"Pendente de análise",IF(E74&gt;0,"Lacunas não explicadas",IF(F74&gt;0,"Lacunas explicadas","Completo")))))</f>
        <v/>
      </c>
      <c r="H74" s="15" t="n"/>
      <c r="I74" s="15" t="n"/>
      <c r="J74" s="15" t="n"/>
      <c r="K74" s="16">
        <f>IF(H74="","",IF(D74&gt;0,"NÃO – há pendências",IF(AND(H74&lt;&gt;G74,H74&lt;&gt;"Não avaliável"),"NÃO – difere do automático: justificar em ata",IF(H74="Lacunas não explicadas",IF(I74=3,"Sim","NÃO – exige unanimidade"),IF(I74&gt;=2,"Sim","NÃO – sem maioria")))))</f>
        <v/>
      </c>
    </row>
    <row r="75">
      <c r="A75" s="15" t="n"/>
      <c r="B75" s="15" t="n"/>
      <c r="C75" s="16">
        <f>IF(A75="","",COUNTIFS(Completude!$F$2:$F$301,A75,Completude!$B$2:$B$301,B75))</f>
        <v/>
      </c>
      <c r="D75" s="16">
        <f>IF(A75="","",COUNTIFS(Completude!$F$2:$F$301,A75,Completude!$B$2:$B$301,B75,Completude!$M$2:$M$301,"Aguarda*")+COUNTIFS(Completude!$F$2:$F$301,A75,Completude!$B$2:$B$301,B75,Completude!$M$2:$M$301,"NÃO*"))</f>
        <v/>
      </c>
      <c r="E75" s="16">
        <f>IF(A75="","",COUNTIFS(Completude!$F$2:$F$301,A75,Completude!$B$2:$B$301,B75,Completude!$M$2:$M$301,"Lacuna não explicada"))</f>
        <v/>
      </c>
      <c r="F75" s="16">
        <f>IF(A75="","",COUNTIFS(Completude!$F$2:$F$301,A75,Completude!$B$2:$B$301,B75,Completude!$M$2:$M$301,"Lacuna explicada"))</f>
        <v/>
      </c>
      <c r="G75" s="16">
        <f>IF(A75="","",IF(C75=0,"Sem registros: confirme que o F5 rodou",IF(D75&gt;0,"Pendente de análise",IF(E75&gt;0,"Lacunas não explicadas",IF(F75&gt;0,"Lacunas explicadas","Completo")))))</f>
        <v/>
      </c>
      <c r="H75" s="15" t="n"/>
      <c r="I75" s="15" t="n"/>
      <c r="J75" s="15" t="n"/>
      <c r="K75" s="16">
        <f>IF(H75="","",IF(D75&gt;0,"NÃO – há pendências",IF(AND(H75&lt;&gt;G75,H75&lt;&gt;"Não avaliável"),"NÃO – difere do automático: justificar em ata",IF(H75="Lacunas não explicadas",IF(I75=3,"Sim","NÃO – exige unanimidade"),IF(I75&gt;=2,"Sim","NÃO – sem maioria")))))</f>
        <v/>
      </c>
    </row>
    <row r="76">
      <c r="A76" s="15" t="n"/>
      <c r="B76" s="15" t="n"/>
      <c r="C76" s="16">
        <f>IF(A76="","",COUNTIFS(Completude!$F$2:$F$301,A76,Completude!$B$2:$B$301,B76))</f>
        <v/>
      </c>
      <c r="D76" s="16">
        <f>IF(A76="","",COUNTIFS(Completude!$F$2:$F$301,A76,Completude!$B$2:$B$301,B76,Completude!$M$2:$M$301,"Aguarda*")+COUNTIFS(Completude!$F$2:$F$301,A76,Completude!$B$2:$B$301,B76,Completude!$M$2:$M$301,"NÃO*"))</f>
        <v/>
      </c>
      <c r="E76" s="16">
        <f>IF(A76="","",COUNTIFS(Completude!$F$2:$F$301,A76,Completude!$B$2:$B$301,B76,Completude!$M$2:$M$301,"Lacuna não explicada"))</f>
        <v/>
      </c>
      <c r="F76" s="16">
        <f>IF(A76="","",COUNTIFS(Completude!$F$2:$F$301,A76,Completude!$B$2:$B$301,B76,Completude!$M$2:$M$301,"Lacuna explicada"))</f>
        <v/>
      </c>
      <c r="G76" s="16">
        <f>IF(A76="","",IF(C76=0,"Sem registros: confirme que o F5 rodou",IF(D76&gt;0,"Pendente de análise",IF(E76&gt;0,"Lacunas não explicadas",IF(F76&gt;0,"Lacunas explicadas","Completo")))))</f>
        <v/>
      </c>
      <c r="H76" s="15" t="n"/>
      <c r="I76" s="15" t="n"/>
      <c r="J76" s="15" t="n"/>
      <c r="K76" s="16">
        <f>IF(H76="","",IF(D76&gt;0,"NÃO – há pendências",IF(AND(H76&lt;&gt;G76,H76&lt;&gt;"Não avaliável"),"NÃO – difere do automático: justificar em ata",IF(H76="Lacunas não explicadas",IF(I76=3,"Sim","NÃO – exige unanimidade"),IF(I76&gt;=2,"Sim","NÃO – sem maioria")))))</f>
        <v/>
      </c>
    </row>
    <row r="77">
      <c r="A77" s="15" t="n"/>
      <c r="B77" s="15" t="n"/>
      <c r="C77" s="16">
        <f>IF(A77="","",COUNTIFS(Completude!$F$2:$F$301,A77,Completude!$B$2:$B$301,B77))</f>
        <v/>
      </c>
      <c r="D77" s="16">
        <f>IF(A77="","",COUNTIFS(Completude!$F$2:$F$301,A77,Completude!$B$2:$B$301,B77,Completude!$M$2:$M$301,"Aguarda*")+COUNTIFS(Completude!$F$2:$F$301,A77,Completude!$B$2:$B$301,B77,Completude!$M$2:$M$301,"NÃO*"))</f>
        <v/>
      </c>
      <c r="E77" s="16">
        <f>IF(A77="","",COUNTIFS(Completude!$F$2:$F$301,A77,Completude!$B$2:$B$301,B77,Completude!$M$2:$M$301,"Lacuna não explicada"))</f>
        <v/>
      </c>
      <c r="F77" s="16">
        <f>IF(A77="","",COUNTIFS(Completude!$F$2:$F$301,A77,Completude!$B$2:$B$301,B77,Completude!$M$2:$M$301,"Lacuna explicada"))</f>
        <v/>
      </c>
      <c r="G77" s="16">
        <f>IF(A77="","",IF(C77=0,"Sem registros: confirme que o F5 rodou",IF(D77&gt;0,"Pendente de análise",IF(E77&gt;0,"Lacunas não explicadas",IF(F77&gt;0,"Lacunas explicadas","Completo")))))</f>
        <v/>
      </c>
      <c r="H77" s="15" t="n"/>
      <c r="I77" s="15" t="n"/>
      <c r="J77" s="15" t="n"/>
      <c r="K77" s="16">
        <f>IF(H77="","",IF(D77&gt;0,"NÃO – há pendências",IF(AND(H77&lt;&gt;G77,H77&lt;&gt;"Não avaliável"),"NÃO – difere do automático: justificar em ata",IF(H77="Lacunas não explicadas",IF(I77=3,"Sim","NÃO – exige unanimidade"),IF(I77&gt;=2,"Sim","NÃO – sem maioria")))))</f>
        <v/>
      </c>
    </row>
    <row r="78">
      <c r="A78" s="15" t="n"/>
      <c r="B78" s="15" t="n"/>
      <c r="C78" s="16">
        <f>IF(A78="","",COUNTIFS(Completude!$F$2:$F$301,A78,Completude!$B$2:$B$301,B78))</f>
        <v/>
      </c>
      <c r="D78" s="16">
        <f>IF(A78="","",COUNTIFS(Completude!$F$2:$F$301,A78,Completude!$B$2:$B$301,B78,Completude!$M$2:$M$301,"Aguarda*")+COUNTIFS(Completude!$F$2:$F$301,A78,Completude!$B$2:$B$301,B78,Completude!$M$2:$M$301,"NÃO*"))</f>
        <v/>
      </c>
      <c r="E78" s="16">
        <f>IF(A78="","",COUNTIFS(Completude!$F$2:$F$301,A78,Completude!$B$2:$B$301,B78,Completude!$M$2:$M$301,"Lacuna não explicada"))</f>
        <v/>
      </c>
      <c r="F78" s="16">
        <f>IF(A78="","",COUNTIFS(Completude!$F$2:$F$301,A78,Completude!$B$2:$B$301,B78,Completude!$M$2:$M$301,"Lacuna explicada"))</f>
        <v/>
      </c>
      <c r="G78" s="16">
        <f>IF(A78="","",IF(C78=0,"Sem registros: confirme que o F5 rodou",IF(D78&gt;0,"Pendente de análise",IF(E78&gt;0,"Lacunas não explicadas",IF(F78&gt;0,"Lacunas explicadas","Completo")))))</f>
        <v/>
      </c>
      <c r="H78" s="15" t="n"/>
      <c r="I78" s="15" t="n"/>
      <c r="J78" s="15" t="n"/>
      <c r="K78" s="16">
        <f>IF(H78="","",IF(D78&gt;0,"NÃO – há pendências",IF(AND(H78&lt;&gt;G78,H78&lt;&gt;"Não avaliável"),"NÃO – difere do automático: justificar em ata",IF(H78="Lacunas não explicadas",IF(I78=3,"Sim","NÃO – exige unanimidade"),IF(I78&gt;=2,"Sim","NÃO – sem maioria")))))</f>
        <v/>
      </c>
    </row>
    <row r="79">
      <c r="A79" s="15" t="n"/>
      <c r="B79" s="15" t="n"/>
      <c r="C79" s="16">
        <f>IF(A79="","",COUNTIFS(Completude!$F$2:$F$301,A79,Completude!$B$2:$B$301,B79))</f>
        <v/>
      </c>
      <c r="D79" s="16">
        <f>IF(A79="","",COUNTIFS(Completude!$F$2:$F$301,A79,Completude!$B$2:$B$301,B79,Completude!$M$2:$M$301,"Aguarda*")+COUNTIFS(Completude!$F$2:$F$301,A79,Completude!$B$2:$B$301,B79,Completude!$M$2:$M$301,"NÃO*"))</f>
        <v/>
      </c>
      <c r="E79" s="16">
        <f>IF(A79="","",COUNTIFS(Completude!$F$2:$F$301,A79,Completude!$B$2:$B$301,B79,Completude!$M$2:$M$301,"Lacuna não explicada"))</f>
        <v/>
      </c>
      <c r="F79" s="16">
        <f>IF(A79="","",COUNTIFS(Completude!$F$2:$F$301,A79,Completude!$B$2:$B$301,B79,Completude!$M$2:$M$301,"Lacuna explicada"))</f>
        <v/>
      </c>
      <c r="G79" s="16">
        <f>IF(A79="","",IF(C79=0,"Sem registros: confirme que o F5 rodou",IF(D79&gt;0,"Pendente de análise",IF(E79&gt;0,"Lacunas não explicadas",IF(F79&gt;0,"Lacunas explicadas","Completo")))))</f>
        <v/>
      </c>
      <c r="H79" s="15" t="n"/>
      <c r="I79" s="15" t="n"/>
      <c r="J79" s="15" t="n"/>
      <c r="K79" s="16">
        <f>IF(H79="","",IF(D79&gt;0,"NÃO – há pendências",IF(AND(H79&lt;&gt;G79,H79&lt;&gt;"Não avaliável"),"NÃO – difere do automático: justificar em ata",IF(H79="Lacunas não explicadas",IF(I79=3,"Sim","NÃO – exige unanimidade"),IF(I79&gt;=2,"Sim","NÃO – sem maioria")))))</f>
        <v/>
      </c>
    </row>
    <row r="80">
      <c r="A80" s="15" t="n"/>
      <c r="B80" s="15" t="n"/>
      <c r="C80" s="16">
        <f>IF(A80="","",COUNTIFS(Completude!$F$2:$F$301,A80,Completude!$B$2:$B$301,B80))</f>
        <v/>
      </c>
      <c r="D80" s="16">
        <f>IF(A80="","",COUNTIFS(Completude!$F$2:$F$301,A80,Completude!$B$2:$B$301,B80,Completude!$M$2:$M$301,"Aguarda*")+COUNTIFS(Completude!$F$2:$F$301,A80,Completude!$B$2:$B$301,B80,Completude!$M$2:$M$301,"NÃO*"))</f>
        <v/>
      </c>
      <c r="E80" s="16">
        <f>IF(A80="","",COUNTIFS(Completude!$F$2:$F$301,A80,Completude!$B$2:$B$301,B80,Completude!$M$2:$M$301,"Lacuna não explicada"))</f>
        <v/>
      </c>
      <c r="F80" s="16">
        <f>IF(A80="","",COUNTIFS(Completude!$F$2:$F$301,A80,Completude!$B$2:$B$301,B80,Completude!$M$2:$M$301,"Lacuna explicada"))</f>
        <v/>
      </c>
      <c r="G80" s="16">
        <f>IF(A80="","",IF(C80=0,"Sem registros: confirme que o F5 rodou",IF(D80&gt;0,"Pendente de análise",IF(E80&gt;0,"Lacunas não explicadas",IF(F80&gt;0,"Lacunas explicadas","Completo")))))</f>
        <v/>
      </c>
      <c r="H80" s="15" t="n"/>
      <c r="I80" s="15" t="n"/>
      <c r="J80" s="15" t="n"/>
      <c r="K80" s="16">
        <f>IF(H80="","",IF(D80&gt;0,"NÃO – há pendências",IF(AND(H80&lt;&gt;G80,H80&lt;&gt;"Não avaliável"),"NÃO – difere do automático: justificar em ata",IF(H80="Lacunas não explicadas",IF(I80=3,"Sim","NÃO – exige unanimidade"),IF(I80&gt;=2,"Sim","NÃO – sem maioria")))))</f>
        <v/>
      </c>
    </row>
    <row r="81">
      <c r="A81" s="15" t="n"/>
      <c r="B81" s="15" t="n"/>
      <c r="C81" s="16">
        <f>IF(A81="","",COUNTIFS(Completude!$F$2:$F$301,A81,Completude!$B$2:$B$301,B81))</f>
        <v/>
      </c>
      <c r="D81" s="16">
        <f>IF(A81="","",COUNTIFS(Completude!$F$2:$F$301,A81,Completude!$B$2:$B$301,B81,Completude!$M$2:$M$301,"Aguarda*")+COUNTIFS(Completude!$F$2:$F$301,A81,Completude!$B$2:$B$301,B81,Completude!$M$2:$M$301,"NÃO*"))</f>
        <v/>
      </c>
      <c r="E81" s="16">
        <f>IF(A81="","",COUNTIFS(Completude!$F$2:$F$301,A81,Completude!$B$2:$B$301,B81,Completude!$M$2:$M$301,"Lacuna não explicada"))</f>
        <v/>
      </c>
      <c r="F81" s="16">
        <f>IF(A81="","",COUNTIFS(Completude!$F$2:$F$301,A81,Completude!$B$2:$B$301,B81,Completude!$M$2:$M$301,"Lacuna explicada"))</f>
        <v/>
      </c>
      <c r="G81" s="16">
        <f>IF(A81="","",IF(C81=0,"Sem registros: confirme que o F5 rodou",IF(D81&gt;0,"Pendente de análise",IF(E81&gt;0,"Lacunas não explicadas",IF(F81&gt;0,"Lacunas explicadas","Completo")))))</f>
        <v/>
      </c>
      <c r="H81" s="15" t="n"/>
      <c r="I81" s="15" t="n"/>
      <c r="J81" s="15" t="n"/>
      <c r="K81" s="16">
        <f>IF(H81="","",IF(D81&gt;0,"NÃO – há pendências",IF(AND(H81&lt;&gt;G81,H81&lt;&gt;"Não avaliável"),"NÃO – difere do automático: justificar em ata",IF(H81="Lacunas não explicadas",IF(I81=3,"Sim","NÃO – exige unanimidade"),IF(I81&gt;=2,"Sim","NÃO – sem maioria")))))</f>
        <v/>
      </c>
    </row>
    <row r="82">
      <c r="A82" s="15" t="n"/>
      <c r="B82" s="15" t="n"/>
      <c r="C82" s="16">
        <f>IF(A82="","",COUNTIFS(Completude!$F$2:$F$301,A82,Completude!$B$2:$B$301,B82))</f>
        <v/>
      </c>
      <c r="D82" s="16">
        <f>IF(A82="","",COUNTIFS(Completude!$F$2:$F$301,A82,Completude!$B$2:$B$301,B82,Completude!$M$2:$M$301,"Aguarda*")+COUNTIFS(Completude!$F$2:$F$301,A82,Completude!$B$2:$B$301,B82,Completude!$M$2:$M$301,"NÃO*"))</f>
        <v/>
      </c>
      <c r="E82" s="16">
        <f>IF(A82="","",COUNTIFS(Completude!$F$2:$F$301,A82,Completude!$B$2:$B$301,B82,Completude!$M$2:$M$301,"Lacuna não explicada"))</f>
        <v/>
      </c>
      <c r="F82" s="16">
        <f>IF(A82="","",COUNTIFS(Completude!$F$2:$F$301,A82,Completude!$B$2:$B$301,B82,Completude!$M$2:$M$301,"Lacuna explicada"))</f>
        <v/>
      </c>
      <c r="G82" s="16">
        <f>IF(A82="","",IF(C82=0,"Sem registros: confirme que o F5 rodou",IF(D82&gt;0,"Pendente de análise",IF(E82&gt;0,"Lacunas não explicadas",IF(F82&gt;0,"Lacunas explicadas","Completo")))))</f>
        <v/>
      </c>
      <c r="H82" s="15" t="n"/>
      <c r="I82" s="15" t="n"/>
      <c r="J82" s="15" t="n"/>
      <c r="K82" s="16">
        <f>IF(H82="","",IF(D82&gt;0,"NÃO – há pendências",IF(AND(H82&lt;&gt;G82,H82&lt;&gt;"Não avaliável"),"NÃO – difere do automático: justificar em ata",IF(H82="Lacunas não explicadas",IF(I82=3,"Sim","NÃO – exige unanimidade"),IF(I82&gt;=2,"Sim","NÃO – sem maioria")))))</f>
        <v/>
      </c>
    </row>
    <row r="83">
      <c r="A83" s="15" t="n"/>
      <c r="B83" s="15" t="n"/>
      <c r="C83" s="16">
        <f>IF(A83="","",COUNTIFS(Completude!$F$2:$F$301,A83,Completude!$B$2:$B$301,B83))</f>
        <v/>
      </c>
      <c r="D83" s="16">
        <f>IF(A83="","",COUNTIFS(Completude!$F$2:$F$301,A83,Completude!$B$2:$B$301,B83,Completude!$M$2:$M$301,"Aguarda*")+COUNTIFS(Completude!$F$2:$F$301,A83,Completude!$B$2:$B$301,B83,Completude!$M$2:$M$301,"NÃO*"))</f>
        <v/>
      </c>
      <c r="E83" s="16">
        <f>IF(A83="","",COUNTIFS(Completude!$F$2:$F$301,A83,Completude!$B$2:$B$301,B83,Completude!$M$2:$M$301,"Lacuna não explicada"))</f>
        <v/>
      </c>
      <c r="F83" s="16">
        <f>IF(A83="","",COUNTIFS(Completude!$F$2:$F$301,A83,Completude!$B$2:$B$301,B83,Completude!$M$2:$M$301,"Lacuna explicada"))</f>
        <v/>
      </c>
      <c r="G83" s="16">
        <f>IF(A83="","",IF(C83=0,"Sem registros: confirme que o F5 rodou",IF(D83&gt;0,"Pendente de análise",IF(E83&gt;0,"Lacunas não explicadas",IF(F83&gt;0,"Lacunas explicadas","Completo")))))</f>
        <v/>
      </c>
      <c r="H83" s="15" t="n"/>
      <c r="I83" s="15" t="n"/>
      <c r="J83" s="15" t="n"/>
      <c r="K83" s="16">
        <f>IF(H83="","",IF(D83&gt;0,"NÃO – há pendências",IF(AND(H83&lt;&gt;G83,H83&lt;&gt;"Não avaliável"),"NÃO – difere do automático: justificar em ata",IF(H83="Lacunas não explicadas",IF(I83=3,"Sim","NÃO – exige unanimidade"),IF(I83&gt;=2,"Sim","NÃO – sem maioria")))))</f>
        <v/>
      </c>
    </row>
    <row r="84">
      <c r="A84" s="15" t="n"/>
      <c r="B84" s="15" t="n"/>
      <c r="C84" s="16">
        <f>IF(A84="","",COUNTIFS(Completude!$F$2:$F$301,A84,Completude!$B$2:$B$301,B84))</f>
        <v/>
      </c>
      <c r="D84" s="16">
        <f>IF(A84="","",COUNTIFS(Completude!$F$2:$F$301,A84,Completude!$B$2:$B$301,B84,Completude!$M$2:$M$301,"Aguarda*")+COUNTIFS(Completude!$F$2:$F$301,A84,Completude!$B$2:$B$301,B84,Completude!$M$2:$M$301,"NÃO*"))</f>
        <v/>
      </c>
      <c r="E84" s="16">
        <f>IF(A84="","",COUNTIFS(Completude!$F$2:$F$301,A84,Completude!$B$2:$B$301,B84,Completude!$M$2:$M$301,"Lacuna não explicada"))</f>
        <v/>
      </c>
      <c r="F84" s="16">
        <f>IF(A84="","",COUNTIFS(Completude!$F$2:$F$301,A84,Completude!$B$2:$B$301,B84,Completude!$M$2:$M$301,"Lacuna explicada"))</f>
        <v/>
      </c>
      <c r="G84" s="16">
        <f>IF(A84="","",IF(C84=0,"Sem registros: confirme que o F5 rodou",IF(D84&gt;0,"Pendente de análise",IF(E84&gt;0,"Lacunas não explicadas",IF(F84&gt;0,"Lacunas explicadas","Completo")))))</f>
        <v/>
      </c>
      <c r="H84" s="15" t="n"/>
      <c r="I84" s="15" t="n"/>
      <c r="J84" s="15" t="n"/>
      <c r="K84" s="16">
        <f>IF(H84="","",IF(D84&gt;0,"NÃO – há pendências",IF(AND(H84&lt;&gt;G84,H84&lt;&gt;"Não avaliável"),"NÃO – difere do automático: justificar em ata",IF(H84="Lacunas não explicadas",IF(I84=3,"Sim","NÃO – exige unanimidade"),IF(I84&gt;=2,"Sim","NÃO – sem maioria")))))</f>
        <v/>
      </c>
    </row>
    <row r="85">
      <c r="A85" s="15" t="n"/>
      <c r="B85" s="15" t="n"/>
      <c r="C85" s="16">
        <f>IF(A85="","",COUNTIFS(Completude!$F$2:$F$301,A85,Completude!$B$2:$B$301,B85))</f>
        <v/>
      </c>
      <c r="D85" s="16">
        <f>IF(A85="","",COUNTIFS(Completude!$F$2:$F$301,A85,Completude!$B$2:$B$301,B85,Completude!$M$2:$M$301,"Aguarda*")+COUNTIFS(Completude!$F$2:$F$301,A85,Completude!$B$2:$B$301,B85,Completude!$M$2:$M$301,"NÃO*"))</f>
        <v/>
      </c>
      <c r="E85" s="16">
        <f>IF(A85="","",COUNTIFS(Completude!$F$2:$F$301,A85,Completude!$B$2:$B$301,B85,Completude!$M$2:$M$301,"Lacuna não explicada"))</f>
        <v/>
      </c>
      <c r="F85" s="16">
        <f>IF(A85="","",COUNTIFS(Completude!$F$2:$F$301,A85,Completude!$B$2:$B$301,B85,Completude!$M$2:$M$301,"Lacuna explicada"))</f>
        <v/>
      </c>
      <c r="G85" s="16">
        <f>IF(A85="","",IF(C85=0,"Sem registros: confirme que o F5 rodou",IF(D85&gt;0,"Pendente de análise",IF(E85&gt;0,"Lacunas não explicadas",IF(F85&gt;0,"Lacunas explicadas","Completo")))))</f>
        <v/>
      </c>
      <c r="H85" s="15" t="n"/>
      <c r="I85" s="15" t="n"/>
      <c r="J85" s="15" t="n"/>
      <c r="K85" s="16">
        <f>IF(H85="","",IF(D85&gt;0,"NÃO – há pendências",IF(AND(H85&lt;&gt;G85,H85&lt;&gt;"Não avaliável"),"NÃO – difere do automático: justificar em ata",IF(H85="Lacunas não explicadas",IF(I85=3,"Sim","NÃO – exige unanimidade"),IF(I85&gt;=2,"Sim","NÃO – sem maioria")))))</f>
        <v/>
      </c>
    </row>
    <row r="86">
      <c r="A86" s="15" t="n"/>
      <c r="B86" s="15" t="n"/>
      <c r="C86" s="16">
        <f>IF(A86="","",COUNTIFS(Completude!$F$2:$F$301,A86,Completude!$B$2:$B$301,B86))</f>
        <v/>
      </c>
      <c r="D86" s="16">
        <f>IF(A86="","",COUNTIFS(Completude!$F$2:$F$301,A86,Completude!$B$2:$B$301,B86,Completude!$M$2:$M$301,"Aguarda*")+COUNTIFS(Completude!$F$2:$F$301,A86,Completude!$B$2:$B$301,B86,Completude!$M$2:$M$301,"NÃO*"))</f>
        <v/>
      </c>
      <c r="E86" s="16">
        <f>IF(A86="","",COUNTIFS(Completude!$F$2:$F$301,A86,Completude!$B$2:$B$301,B86,Completude!$M$2:$M$301,"Lacuna não explicada"))</f>
        <v/>
      </c>
      <c r="F86" s="16">
        <f>IF(A86="","",COUNTIFS(Completude!$F$2:$F$301,A86,Completude!$B$2:$B$301,B86,Completude!$M$2:$M$301,"Lacuna explicada"))</f>
        <v/>
      </c>
      <c r="G86" s="16">
        <f>IF(A86="","",IF(C86=0,"Sem registros: confirme que o F5 rodou",IF(D86&gt;0,"Pendente de análise",IF(E86&gt;0,"Lacunas não explicadas",IF(F86&gt;0,"Lacunas explicadas","Completo")))))</f>
        <v/>
      </c>
      <c r="H86" s="15" t="n"/>
      <c r="I86" s="15" t="n"/>
      <c r="J86" s="15" t="n"/>
      <c r="K86" s="16">
        <f>IF(H86="","",IF(D86&gt;0,"NÃO – há pendências",IF(AND(H86&lt;&gt;G86,H86&lt;&gt;"Não avaliável"),"NÃO – difere do automático: justificar em ata",IF(H86="Lacunas não explicadas",IF(I86=3,"Sim","NÃO – exige unanimidade"),IF(I86&gt;=2,"Sim","NÃO – sem maioria")))))</f>
        <v/>
      </c>
    </row>
    <row r="87">
      <c r="A87" s="15" t="n"/>
      <c r="B87" s="15" t="n"/>
      <c r="C87" s="16">
        <f>IF(A87="","",COUNTIFS(Completude!$F$2:$F$301,A87,Completude!$B$2:$B$301,B87))</f>
        <v/>
      </c>
      <c r="D87" s="16">
        <f>IF(A87="","",COUNTIFS(Completude!$F$2:$F$301,A87,Completude!$B$2:$B$301,B87,Completude!$M$2:$M$301,"Aguarda*")+COUNTIFS(Completude!$F$2:$F$301,A87,Completude!$B$2:$B$301,B87,Completude!$M$2:$M$301,"NÃO*"))</f>
        <v/>
      </c>
      <c r="E87" s="16">
        <f>IF(A87="","",COUNTIFS(Completude!$F$2:$F$301,A87,Completude!$B$2:$B$301,B87,Completude!$M$2:$M$301,"Lacuna não explicada"))</f>
        <v/>
      </c>
      <c r="F87" s="16">
        <f>IF(A87="","",COUNTIFS(Completude!$F$2:$F$301,A87,Completude!$B$2:$B$301,B87,Completude!$M$2:$M$301,"Lacuna explicada"))</f>
        <v/>
      </c>
      <c r="G87" s="16">
        <f>IF(A87="","",IF(C87=0,"Sem registros: confirme que o F5 rodou",IF(D87&gt;0,"Pendente de análise",IF(E87&gt;0,"Lacunas não explicadas",IF(F87&gt;0,"Lacunas explicadas","Completo")))))</f>
        <v/>
      </c>
      <c r="H87" s="15" t="n"/>
      <c r="I87" s="15" t="n"/>
      <c r="J87" s="15" t="n"/>
      <c r="K87" s="16">
        <f>IF(H87="","",IF(D87&gt;0,"NÃO – há pendências",IF(AND(H87&lt;&gt;G87,H87&lt;&gt;"Não avaliável"),"NÃO – difere do automático: justificar em ata",IF(H87="Lacunas não explicadas",IF(I87=3,"Sim","NÃO – exige unanimidade"),IF(I87&gt;=2,"Sim","NÃO – sem maioria")))))</f>
        <v/>
      </c>
    </row>
    <row r="88">
      <c r="A88" s="15" t="n"/>
      <c r="B88" s="15" t="n"/>
      <c r="C88" s="16">
        <f>IF(A88="","",COUNTIFS(Completude!$F$2:$F$301,A88,Completude!$B$2:$B$301,B88))</f>
        <v/>
      </c>
      <c r="D88" s="16">
        <f>IF(A88="","",COUNTIFS(Completude!$F$2:$F$301,A88,Completude!$B$2:$B$301,B88,Completude!$M$2:$M$301,"Aguarda*")+COUNTIFS(Completude!$F$2:$F$301,A88,Completude!$B$2:$B$301,B88,Completude!$M$2:$M$301,"NÃO*"))</f>
        <v/>
      </c>
      <c r="E88" s="16">
        <f>IF(A88="","",COUNTIFS(Completude!$F$2:$F$301,A88,Completude!$B$2:$B$301,B88,Completude!$M$2:$M$301,"Lacuna não explicada"))</f>
        <v/>
      </c>
      <c r="F88" s="16">
        <f>IF(A88="","",COUNTIFS(Completude!$F$2:$F$301,A88,Completude!$B$2:$B$301,B88,Completude!$M$2:$M$301,"Lacuna explicada"))</f>
        <v/>
      </c>
      <c r="G88" s="16">
        <f>IF(A88="","",IF(C88=0,"Sem registros: confirme que o F5 rodou",IF(D88&gt;0,"Pendente de análise",IF(E88&gt;0,"Lacunas não explicadas",IF(F88&gt;0,"Lacunas explicadas","Completo")))))</f>
        <v/>
      </c>
      <c r="H88" s="15" t="n"/>
      <c r="I88" s="15" t="n"/>
      <c r="J88" s="15" t="n"/>
      <c r="K88" s="16">
        <f>IF(H88="","",IF(D88&gt;0,"NÃO – há pendências",IF(AND(H88&lt;&gt;G88,H88&lt;&gt;"Não avaliável"),"NÃO – difere do automático: justificar em ata",IF(H88="Lacunas não explicadas",IF(I88=3,"Sim","NÃO – exige unanimidade"),IF(I88&gt;=2,"Sim","NÃO – sem maioria")))))</f>
        <v/>
      </c>
    </row>
    <row r="89">
      <c r="A89" s="15" t="n"/>
      <c r="B89" s="15" t="n"/>
      <c r="C89" s="16">
        <f>IF(A89="","",COUNTIFS(Completude!$F$2:$F$301,A89,Completude!$B$2:$B$301,B89))</f>
        <v/>
      </c>
      <c r="D89" s="16">
        <f>IF(A89="","",COUNTIFS(Completude!$F$2:$F$301,A89,Completude!$B$2:$B$301,B89,Completude!$M$2:$M$301,"Aguarda*")+COUNTIFS(Completude!$F$2:$F$301,A89,Completude!$B$2:$B$301,B89,Completude!$M$2:$M$301,"NÃO*"))</f>
        <v/>
      </c>
      <c r="E89" s="16">
        <f>IF(A89="","",COUNTIFS(Completude!$F$2:$F$301,A89,Completude!$B$2:$B$301,B89,Completude!$M$2:$M$301,"Lacuna não explicada"))</f>
        <v/>
      </c>
      <c r="F89" s="16">
        <f>IF(A89="","",COUNTIFS(Completude!$F$2:$F$301,A89,Completude!$B$2:$B$301,B89,Completude!$M$2:$M$301,"Lacuna explicada"))</f>
        <v/>
      </c>
      <c r="G89" s="16">
        <f>IF(A89="","",IF(C89=0,"Sem registros: confirme que o F5 rodou",IF(D89&gt;0,"Pendente de análise",IF(E89&gt;0,"Lacunas não explicadas",IF(F89&gt;0,"Lacunas explicadas","Completo")))))</f>
        <v/>
      </c>
      <c r="H89" s="15" t="n"/>
      <c r="I89" s="15" t="n"/>
      <c r="J89" s="15" t="n"/>
      <c r="K89" s="16">
        <f>IF(H89="","",IF(D89&gt;0,"NÃO – há pendências",IF(AND(H89&lt;&gt;G89,H89&lt;&gt;"Não avaliável"),"NÃO – difere do automático: justificar em ata",IF(H89="Lacunas não explicadas",IF(I89=3,"Sim","NÃO – exige unanimidade"),IF(I89&gt;=2,"Sim","NÃO – sem maioria")))))</f>
        <v/>
      </c>
    </row>
    <row r="90">
      <c r="A90" s="15" t="n"/>
      <c r="B90" s="15" t="n"/>
      <c r="C90" s="16">
        <f>IF(A90="","",COUNTIFS(Completude!$F$2:$F$301,A90,Completude!$B$2:$B$301,B90))</f>
        <v/>
      </c>
      <c r="D90" s="16">
        <f>IF(A90="","",COUNTIFS(Completude!$F$2:$F$301,A90,Completude!$B$2:$B$301,B90,Completude!$M$2:$M$301,"Aguarda*")+COUNTIFS(Completude!$F$2:$F$301,A90,Completude!$B$2:$B$301,B90,Completude!$M$2:$M$301,"NÃO*"))</f>
        <v/>
      </c>
      <c r="E90" s="16">
        <f>IF(A90="","",COUNTIFS(Completude!$F$2:$F$301,A90,Completude!$B$2:$B$301,B90,Completude!$M$2:$M$301,"Lacuna não explicada"))</f>
        <v/>
      </c>
      <c r="F90" s="16">
        <f>IF(A90="","",COUNTIFS(Completude!$F$2:$F$301,A90,Completude!$B$2:$B$301,B90,Completude!$M$2:$M$301,"Lacuna explicada"))</f>
        <v/>
      </c>
      <c r="G90" s="16">
        <f>IF(A90="","",IF(C90=0,"Sem registros: confirme que o F5 rodou",IF(D90&gt;0,"Pendente de análise",IF(E90&gt;0,"Lacunas não explicadas",IF(F90&gt;0,"Lacunas explicadas","Completo")))))</f>
        <v/>
      </c>
      <c r="H90" s="15" t="n"/>
      <c r="I90" s="15" t="n"/>
      <c r="J90" s="15" t="n"/>
      <c r="K90" s="16">
        <f>IF(H90="","",IF(D90&gt;0,"NÃO – há pendências",IF(AND(H90&lt;&gt;G90,H90&lt;&gt;"Não avaliável"),"NÃO – difere do automático: justificar em ata",IF(H90="Lacunas não explicadas",IF(I90=3,"Sim","NÃO – exige unanimidade"),IF(I90&gt;=2,"Sim","NÃO – sem maioria")))))</f>
        <v/>
      </c>
    </row>
    <row r="91">
      <c r="A91" s="15" t="n"/>
      <c r="B91" s="15" t="n"/>
      <c r="C91" s="16">
        <f>IF(A91="","",COUNTIFS(Completude!$F$2:$F$301,A91,Completude!$B$2:$B$301,B91))</f>
        <v/>
      </c>
      <c r="D91" s="16">
        <f>IF(A91="","",COUNTIFS(Completude!$F$2:$F$301,A91,Completude!$B$2:$B$301,B91,Completude!$M$2:$M$301,"Aguarda*")+COUNTIFS(Completude!$F$2:$F$301,A91,Completude!$B$2:$B$301,B91,Completude!$M$2:$M$301,"NÃO*"))</f>
        <v/>
      </c>
      <c r="E91" s="16">
        <f>IF(A91="","",COUNTIFS(Completude!$F$2:$F$301,A91,Completude!$B$2:$B$301,B91,Completude!$M$2:$M$301,"Lacuna não explicada"))</f>
        <v/>
      </c>
      <c r="F91" s="16">
        <f>IF(A91="","",COUNTIFS(Completude!$F$2:$F$301,A91,Completude!$B$2:$B$301,B91,Completude!$M$2:$M$301,"Lacuna explicada"))</f>
        <v/>
      </c>
      <c r="G91" s="16">
        <f>IF(A91="","",IF(C91=0,"Sem registros: confirme que o F5 rodou",IF(D91&gt;0,"Pendente de análise",IF(E91&gt;0,"Lacunas não explicadas",IF(F91&gt;0,"Lacunas explicadas","Completo")))))</f>
        <v/>
      </c>
      <c r="H91" s="15" t="n"/>
      <c r="I91" s="15" t="n"/>
      <c r="J91" s="15" t="n"/>
      <c r="K91" s="16">
        <f>IF(H91="","",IF(D91&gt;0,"NÃO – há pendências",IF(AND(H91&lt;&gt;G91,H91&lt;&gt;"Não avaliável"),"NÃO – difere do automático: justificar em ata",IF(H91="Lacunas não explicadas",IF(I91=3,"Sim","NÃO – exige unanimidade"),IF(I91&gt;=2,"Sim","NÃO – sem maioria")))))</f>
        <v/>
      </c>
    </row>
    <row r="92">
      <c r="A92" s="15" t="n"/>
      <c r="B92" s="15" t="n"/>
      <c r="C92" s="16">
        <f>IF(A92="","",COUNTIFS(Completude!$F$2:$F$301,A92,Completude!$B$2:$B$301,B92))</f>
        <v/>
      </c>
      <c r="D92" s="16">
        <f>IF(A92="","",COUNTIFS(Completude!$F$2:$F$301,A92,Completude!$B$2:$B$301,B92,Completude!$M$2:$M$301,"Aguarda*")+COUNTIFS(Completude!$F$2:$F$301,A92,Completude!$B$2:$B$301,B92,Completude!$M$2:$M$301,"NÃO*"))</f>
        <v/>
      </c>
      <c r="E92" s="16">
        <f>IF(A92="","",COUNTIFS(Completude!$F$2:$F$301,A92,Completude!$B$2:$B$301,B92,Completude!$M$2:$M$301,"Lacuna não explicada"))</f>
        <v/>
      </c>
      <c r="F92" s="16">
        <f>IF(A92="","",COUNTIFS(Completude!$F$2:$F$301,A92,Completude!$B$2:$B$301,B92,Completude!$M$2:$M$301,"Lacuna explicada"))</f>
        <v/>
      </c>
      <c r="G92" s="16">
        <f>IF(A92="","",IF(C92=0,"Sem registros: confirme que o F5 rodou",IF(D92&gt;0,"Pendente de análise",IF(E92&gt;0,"Lacunas não explicadas",IF(F92&gt;0,"Lacunas explicadas","Completo")))))</f>
        <v/>
      </c>
      <c r="H92" s="15" t="n"/>
      <c r="I92" s="15" t="n"/>
      <c r="J92" s="15" t="n"/>
      <c r="K92" s="16">
        <f>IF(H92="","",IF(D92&gt;0,"NÃO – há pendências",IF(AND(H92&lt;&gt;G92,H92&lt;&gt;"Não avaliável"),"NÃO – difere do automático: justificar em ata",IF(H92="Lacunas não explicadas",IF(I92=3,"Sim","NÃO – exige unanimidade"),IF(I92&gt;=2,"Sim","NÃO – sem maioria")))))</f>
        <v/>
      </c>
    </row>
    <row r="93">
      <c r="A93" s="15" t="n"/>
      <c r="B93" s="15" t="n"/>
      <c r="C93" s="16">
        <f>IF(A93="","",COUNTIFS(Completude!$F$2:$F$301,A93,Completude!$B$2:$B$301,B93))</f>
        <v/>
      </c>
      <c r="D93" s="16">
        <f>IF(A93="","",COUNTIFS(Completude!$F$2:$F$301,A93,Completude!$B$2:$B$301,B93,Completude!$M$2:$M$301,"Aguarda*")+COUNTIFS(Completude!$F$2:$F$301,A93,Completude!$B$2:$B$301,B93,Completude!$M$2:$M$301,"NÃO*"))</f>
        <v/>
      </c>
      <c r="E93" s="16">
        <f>IF(A93="","",COUNTIFS(Completude!$F$2:$F$301,A93,Completude!$B$2:$B$301,B93,Completude!$M$2:$M$301,"Lacuna não explicada"))</f>
        <v/>
      </c>
      <c r="F93" s="16">
        <f>IF(A93="","",COUNTIFS(Completude!$F$2:$F$301,A93,Completude!$B$2:$B$301,B93,Completude!$M$2:$M$301,"Lacuna explicada"))</f>
        <v/>
      </c>
      <c r="G93" s="16">
        <f>IF(A93="","",IF(C93=0,"Sem registros: confirme que o F5 rodou",IF(D93&gt;0,"Pendente de análise",IF(E93&gt;0,"Lacunas não explicadas",IF(F93&gt;0,"Lacunas explicadas","Completo")))))</f>
        <v/>
      </c>
      <c r="H93" s="15" t="n"/>
      <c r="I93" s="15" t="n"/>
      <c r="J93" s="15" t="n"/>
      <c r="K93" s="16">
        <f>IF(H93="","",IF(D93&gt;0,"NÃO – há pendências",IF(AND(H93&lt;&gt;G93,H93&lt;&gt;"Não avaliável"),"NÃO – difere do automático: justificar em ata",IF(H93="Lacunas não explicadas",IF(I93=3,"Sim","NÃO – exige unanimidade"),IF(I93&gt;=2,"Sim","NÃO – sem maioria")))))</f>
        <v/>
      </c>
    </row>
    <row r="94">
      <c r="A94" s="15" t="n"/>
      <c r="B94" s="15" t="n"/>
      <c r="C94" s="16">
        <f>IF(A94="","",COUNTIFS(Completude!$F$2:$F$301,A94,Completude!$B$2:$B$301,B94))</f>
        <v/>
      </c>
      <c r="D94" s="16">
        <f>IF(A94="","",COUNTIFS(Completude!$F$2:$F$301,A94,Completude!$B$2:$B$301,B94,Completude!$M$2:$M$301,"Aguarda*")+COUNTIFS(Completude!$F$2:$F$301,A94,Completude!$B$2:$B$301,B94,Completude!$M$2:$M$301,"NÃO*"))</f>
        <v/>
      </c>
      <c r="E94" s="16">
        <f>IF(A94="","",COUNTIFS(Completude!$F$2:$F$301,A94,Completude!$B$2:$B$301,B94,Completude!$M$2:$M$301,"Lacuna não explicada"))</f>
        <v/>
      </c>
      <c r="F94" s="16">
        <f>IF(A94="","",COUNTIFS(Completude!$F$2:$F$301,A94,Completude!$B$2:$B$301,B94,Completude!$M$2:$M$301,"Lacuna explicada"))</f>
        <v/>
      </c>
      <c r="G94" s="16">
        <f>IF(A94="","",IF(C94=0,"Sem registros: confirme que o F5 rodou",IF(D94&gt;0,"Pendente de análise",IF(E94&gt;0,"Lacunas não explicadas",IF(F94&gt;0,"Lacunas explicadas","Completo")))))</f>
        <v/>
      </c>
      <c r="H94" s="15" t="n"/>
      <c r="I94" s="15" t="n"/>
      <c r="J94" s="15" t="n"/>
      <c r="K94" s="16">
        <f>IF(H94="","",IF(D94&gt;0,"NÃO – há pendências",IF(AND(H94&lt;&gt;G94,H94&lt;&gt;"Não avaliável"),"NÃO – difere do automático: justificar em ata",IF(H94="Lacunas não explicadas",IF(I94=3,"Sim","NÃO – exige unanimidade"),IF(I94&gt;=2,"Sim","NÃO – sem maioria")))))</f>
        <v/>
      </c>
    </row>
    <row r="95">
      <c r="A95" s="15" t="n"/>
      <c r="B95" s="15" t="n"/>
      <c r="C95" s="16">
        <f>IF(A95="","",COUNTIFS(Completude!$F$2:$F$301,A95,Completude!$B$2:$B$301,B95))</f>
        <v/>
      </c>
      <c r="D95" s="16">
        <f>IF(A95="","",COUNTIFS(Completude!$F$2:$F$301,A95,Completude!$B$2:$B$301,B95,Completude!$M$2:$M$301,"Aguarda*")+COUNTIFS(Completude!$F$2:$F$301,A95,Completude!$B$2:$B$301,B95,Completude!$M$2:$M$301,"NÃO*"))</f>
        <v/>
      </c>
      <c r="E95" s="16">
        <f>IF(A95="","",COUNTIFS(Completude!$F$2:$F$301,A95,Completude!$B$2:$B$301,B95,Completude!$M$2:$M$301,"Lacuna não explicada"))</f>
        <v/>
      </c>
      <c r="F95" s="16">
        <f>IF(A95="","",COUNTIFS(Completude!$F$2:$F$301,A95,Completude!$B$2:$B$301,B95,Completude!$M$2:$M$301,"Lacuna explicada"))</f>
        <v/>
      </c>
      <c r="G95" s="16">
        <f>IF(A95="","",IF(C95=0,"Sem registros: confirme que o F5 rodou",IF(D95&gt;0,"Pendente de análise",IF(E95&gt;0,"Lacunas não explicadas",IF(F95&gt;0,"Lacunas explicadas","Completo")))))</f>
        <v/>
      </c>
      <c r="H95" s="15" t="n"/>
      <c r="I95" s="15" t="n"/>
      <c r="J95" s="15" t="n"/>
      <c r="K95" s="16">
        <f>IF(H95="","",IF(D95&gt;0,"NÃO – há pendências",IF(AND(H95&lt;&gt;G95,H95&lt;&gt;"Não avaliável"),"NÃO – difere do automático: justificar em ata",IF(H95="Lacunas não explicadas",IF(I95=3,"Sim","NÃO – exige unanimidade"),IF(I95&gt;=2,"Sim","NÃO – sem maioria")))))</f>
        <v/>
      </c>
    </row>
    <row r="96">
      <c r="A96" s="15" t="n"/>
      <c r="B96" s="15" t="n"/>
      <c r="C96" s="16">
        <f>IF(A96="","",COUNTIFS(Completude!$F$2:$F$301,A96,Completude!$B$2:$B$301,B96))</f>
        <v/>
      </c>
      <c r="D96" s="16">
        <f>IF(A96="","",COUNTIFS(Completude!$F$2:$F$301,A96,Completude!$B$2:$B$301,B96,Completude!$M$2:$M$301,"Aguarda*")+COUNTIFS(Completude!$F$2:$F$301,A96,Completude!$B$2:$B$301,B96,Completude!$M$2:$M$301,"NÃO*"))</f>
        <v/>
      </c>
      <c r="E96" s="16">
        <f>IF(A96="","",COUNTIFS(Completude!$F$2:$F$301,A96,Completude!$B$2:$B$301,B96,Completude!$M$2:$M$301,"Lacuna não explicada"))</f>
        <v/>
      </c>
      <c r="F96" s="16">
        <f>IF(A96="","",COUNTIFS(Completude!$F$2:$F$301,A96,Completude!$B$2:$B$301,B96,Completude!$M$2:$M$301,"Lacuna explicada"))</f>
        <v/>
      </c>
      <c r="G96" s="16">
        <f>IF(A96="","",IF(C96=0,"Sem registros: confirme que o F5 rodou",IF(D96&gt;0,"Pendente de análise",IF(E96&gt;0,"Lacunas não explicadas",IF(F96&gt;0,"Lacunas explicadas","Completo")))))</f>
        <v/>
      </c>
      <c r="H96" s="15" t="n"/>
      <c r="I96" s="15" t="n"/>
      <c r="J96" s="15" t="n"/>
      <c r="K96" s="16">
        <f>IF(H96="","",IF(D96&gt;0,"NÃO – há pendências",IF(AND(H96&lt;&gt;G96,H96&lt;&gt;"Não avaliável"),"NÃO – difere do automático: justificar em ata",IF(H96="Lacunas não explicadas",IF(I96=3,"Sim","NÃO – exige unanimidade"),IF(I96&gt;=2,"Sim","NÃO – sem maioria")))))</f>
        <v/>
      </c>
    </row>
    <row r="97">
      <c r="A97" s="15" t="n"/>
      <c r="B97" s="15" t="n"/>
      <c r="C97" s="16">
        <f>IF(A97="","",COUNTIFS(Completude!$F$2:$F$301,A97,Completude!$B$2:$B$301,B97))</f>
        <v/>
      </c>
      <c r="D97" s="16">
        <f>IF(A97="","",COUNTIFS(Completude!$F$2:$F$301,A97,Completude!$B$2:$B$301,B97,Completude!$M$2:$M$301,"Aguarda*")+COUNTIFS(Completude!$F$2:$F$301,A97,Completude!$B$2:$B$301,B97,Completude!$M$2:$M$301,"NÃO*"))</f>
        <v/>
      </c>
      <c r="E97" s="16">
        <f>IF(A97="","",COUNTIFS(Completude!$F$2:$F$301,A97,Completude!$B$2:$B$301,B97,Completude!$M$2:$M$301,"Lacuna não explicada"))</f>
        <v/>
      </c>
      <c r="F97" s="16">
        <f>IF(A97="","",COUNTIFS(Completude!$F$2:$F$301,A97,Completude!$B$2:$B$301,B97,Completude!$M$2:$M$301,"Lacuna explicada"))</f>
        <v/>
      </c>
      <c r="G97" s="16">
        <f>IF(A97="","",IF(C97=0,"Sem registros: confirme que o F5 rodou",IF(D97&gt;0,"Pendente de análise",IF(E97&gt;0,"Lacunas não explicadas",IF(F97&gt;0,"Lacunas explicadas","Completo")))))</f>
        <v/>
      </c>
      <c r="H97" s="15" t="n"/>
      <c r="I97" s="15" t="n"/>
      <c r="J97" s="15" t="n"/>
      <c r="K97" s="16">
        <f>IF(H97="","",IF(D97&gt;0,"NÃO – há pendências",IF(AND(H97&lt;&gt;G97,H97&lt;&gt;"Não avaliável"),"NÃO – difere do automático: justificar em ata",IF(H97="Lacunas não explicadas",IF(I97=3,"Sim","NÃO – exige unanimidade"),IF(I97&gt;=2,"Sim","NÃO – sem maioria")))))</f>
        <v/>
      </c>
    </row>
    <row r="98">
      <c r="A98" s="15" t="n"/>
      <c r="B98" s="15" t="n"/>
      <c r="C98" s="16">
        <f>IF(A98="","",COUNTIFS(Completude!$F$2:$F$301,A98,Completude!$B$2:$B$301,B98))</f>
        <v/>
      </c>
      <c r="D98" s="16">
        <f>IF(A98="","",COUNTIFS(Completude!$F$2:$F$301,A98,Completude!$B$2:$B$301,B98,Completude!$M$2:$M$301,"Aguarda*")+COUNTIFS(Completude!$F$2:$F$301,A98,Completude!$B$2:$B$301,B98,Completude!$M$2:$M$301,"NÃO*"))</f>
        <v/>
      </c>
      <c r="E98" s="16">
        <f>IF(A98="","",COUNTIFS(Completude!$F$2:$F$301,A98,Completude!$B$2:$B$301,B98,Completude!$M$2:$M$301,"Lacuna não explicada"))</f>
        <v/>
      </c>
      <c r="F98" s="16">
        <f>IF(A98="","",COUNTIFS(Completude!$F$2:$F$301,A98,Completude!$B$2:$B$301,B98,Completude!$M$2:$M$301,"Lacuna explicada"))</f>
        <v/>
      </c>
      <c r="G98" s="16">
        <f>IF(A98="","",IF(C98=0,"Sem registros: confirme que o F5 rodou",IF(D98&gt;0,"Pendente de análise",IF(E98&gt;0,"Lacunas não explicadas",IF(F98&gt;0,"Lacunas explicadas","Completo")))))</f>
        <v/>
      </c>
      <c r="H98" s="15" t="n"/>
      <c r="I98" s="15" t="n"/>
      <c r="J98" s="15" t="n"/>
      <c r="K98" s="16">
        <f>IF(H98="","",IF(D98&gt;0,"NÃO – há pendências",IF(AND(H98&lt;&gt;G98,H98&lt;&gt;"Não avaliável"),"NÃO – difere do automático: justificar em ata",IF(H98="Lacunas não explicadas",IF(I98=3,"Sim","NÃO – exige unanimidade"),IF(I98&gt;=2,"Sim","NÃO – sem maioria")))))</f>
        <v/>
      </c>
    </row>
    <row r="99">
      <c r="A99" s="15" t="n"/>
      <c r="B99" s="15" t="n"/>
      <c r="C99" s="16">
        <f>IF(A99="","",COUNTIFS(Completude!$F$2:$F$301,A99,Completude!$B$2:$B$301,B99))</f>
        <v/>
      </c>
      <c r="D99" s="16">
        <f>IF(A99="","",COUNTIFS(Completude!$F$2:$F$301,A99,Completude!$B$2:$B$301,B99,Completude!$M$2:$M$301,"Aguarda*")+COUNTIFS(Completude!$F$2:$F$301,A99,Completude!$B$2:$B$301,B99,Completude!$M$2:$M$301,"NÃO*"))</f>
        <v/>
      </c>
      <c r="E99" s="16">
        <f>IF(A99="","",COUNTIFS(Completude!$F$2:$F$301,A99,Completude!$B$2:$B$301,B99,Completude!$M$2:$M$301,"Lacuna não explicada"))</f>
        <v/>
      </c>
      <c r="F99" s="16">
        <f>IF(A99="","",COUNTIFS(Completude!$F$2:$F$301,A99,Completude!$B$2:$B$301,B99,Completude!$M$2:$M$301,"Lacuna explicada"))</f>
        <v/>
      </c>
      <c r="G99" s="16">
        <f>IF(A99="","",IF(C99=0,"Sem registros: confirme que o F5 rodou",IF(D99&gt;0,"Pendente de análise",IF(E99&gt;0,"Lacunas não explicadas",IF(F99&gt;0,"Lacunas explicadas","Completo")))))</f>
        <v/>
      </c>
      <c r="H99" s="15" t="n"/>
      <c r="I99" s="15" t="n"/>
      <c r="J99" s="15" t="n"/>
      <c r="K99" s="16">
        <f>IF(H99="","",IF(D99&gt;0,"NÃO – há pendências",IF(AND(H99&lt;&gt;G99,H99&lt;&gt;"Não avaliável"),"NÃO – difere do automático: justificar em ata",IF(H99="Lacunas não explicadas",IF(I99=3,"Sim","NÃO – exige unanimidade"),IF(I99&gt;=2,"Sim","NÃO – sem maioria")))))</f>
        <v/>
      </c>
    </row>
    <row r="100">
      <c r="A100" s="15" t="n"/>
      <c r="B100" s="15" t="n"/>
      <c r="C100" s="16">
        <f>IF(A100="","",COUNTIFS(Completude!$F$2:$F$301,A100,Completude!$B$2:$B$301,B100))</f>
        <v/>
      </c>
      <c r="D100" s="16">
        <f>IF(A100="","",COUNTIFS(Completude!$F$2:$F$301,A100,Completude!$B$2:$B$301,B100,Completude!$M$2:$M$301,"Aguarda*")+COUNTIFS(Completude!$F$2:$F$301,A100,Completude!$B$2:$B$301,B100,Completude!$M$2:$M$301,"NÃO*"))</f>
        <v/>
      </c>
      <c r="E100" s="16">
        <f>IF(A100="","",COUNTIFS(Completude!$F$2:$F$301,A100,Completude!$B$2:$B$301,B100,Completude!$M$2:$M$301,"Lacuna não explicada"))</f>
        <v/>
      </c>
      <c r="F100" s="16">
        <f>IF(A100="","",COUNTIFS(Completude!$F$2:$F$301,A100,Completude!$B$2:$B$301,B100,Completude!$M$2:$M$301,"Lacuna explicada"))</f>
        <v/>
      </c>
      <c r="G100" s="16">
        <f>IF(A100="","",IF(C100=0,"Sem registros: confirme que o F5 rodou",IF(D100&gt;0,"Pendente de análise",IF(E100&gt;0,"Lacunas não explicadas",IF(F100&gt;0,"Lacunas explicadas","Completo")))))</f>
        <v/>
      </c>
      <c r="H100" s="15" t="n"/>
      <c r="I100" s="15" t="n"/>
      <c r="J100" s="15" t="n"/>
      <c r="K100" s="16">
        <f>IF(H100="","",IF(D100&gt;0,"NÃO – há pendências",IF(AND(H100&lt;&gt;G100,H100&lt;&gt;"Não avaliável"),"NÃO – difere do automático: justificar em ata",IF(H100="Lacunas não explicadas",IF(I100=3,"Sim","NÃO – exige unanimidade"),IF(I100&gt;=2,"Sim","NÃO – sem maioria")))))</f>
        <v/>
      </c>
    </row>
    <row r="101">
      <c r="A101" s="15" t="n"/>
      <c r="B101" s="15" t="n"/>
      <c r="C101" s="16">
        <f>IF(A101="","",COUNTIFS(Completude!$F$2:$F$301,A101,Completude!$B$2:$B$301,B101))</f>
        <v/>
      </c>
      <c r="D101" s="16">
        <f>IF(A101="","",COUNTIFS(Completude!$F$2:$F$301,A101,Completude!$B$2:$B$301,B101,Completude!$M$2:$M$301,"Aguarda*")+COUNTIFS(Completude!$F$2:$F$301,A101,Completude!$B$2:$B$301,B101,Completude!$M$2:$M$301,"NÃO*"))</f>
        <v/>
      </c>
      <c r="E101" s="16">
        <f>IF(A101="","",COUNTIFS(Completude!$F$2:$F$301,A101,Completude!$B$2:$B$301,B101,Completude!$M$2:$M$301,"Lacuna não explicada"))</f>
        <v/>
      </c>
      <c r="F101" s="16">
        <f>IF(A101="","",COUNTIFS(Completude!$F$2:$F$301,A101,Completude!$B$2:$B$301,B101,Completude!$M$2:$M$301,"Lacuna explicada"))</f>
        <v/>
      </c>
      <c r="G101" s="16">
        <f>IF(A101="","",IF(C101=0,"Sem registros: confirme que o F5 rodou",IF(D101&gt;0,"Pendente de análise",IF(E101&gt;0,"Lacunas não explicadas",IF(F101&gt;0,"Lacunas explicadas","Completo")))))</f>
        <v/>
      </c>
      <c r="H101" s="15" t="n"/>
      <c r="I101" s="15" t="n"/>
      <c r="J101" s="15" t="n"/>
      <c r="K101" s="16">
        <f>IF(H101="","",IF(D101&gt;0,"NÃO – há pendências",IF(AND(H101&lt;&gt;G101,H101&lt;&gt;"Não avaliável"),"NÃO – difere do automático: justificar em ata",IF(H101="Lacunas não explicadas",IF(I101=3,"Sim","NÃO – exige unanimidade"),IF(I101&gt;=2,"Sim","NÃO – sem maioria")))))</f>
        <v/>
      </c>
    </row>
    <row r="102">
      <c r="A102" s="15" t="n"/>
      <c r="B102" s="15" t="n"/>
      <c r="C102" s="16">
        <f>IF(A102="","",COUNTIFS(Completude!$F$2:$F$301,A102,Completude!$B$2:$B$301,B102))</f>
        <v/>
      </c>
      <c r="D102" s="16">
        <f>IF(A102="","",COUNTIFS(Completude!$F$2:$F$301,A102,Completude!$B$2:$B$301,B102,Completude!$M$2:$M$301,"Aguarda*")+COUNTIFS(Completude!$F$2:$F$301,A102,Completude!$B$2:$B$301,B102,Completude!$M$2:$M$301,"NÃO*"))</f>
        <v/>
      </c>
      <c r="E102" s="16">
        <f>IF(A102="","",COUNTIFS(Completude!$F$2:$F$301,A102,Completude!$B$2:$B$301,B102,Completude!$M$2:$M$301,"Lacuna não explicada"))</f>
        <v/>
      </c>
      <c r="F102" s="16">
        <f>IF(A102="","",COUNTIFS(Completude!$F$2:$F$301,A102,Completude!$B$2:$B$301,B102,Completude!$M$2:$M$301,"Lacuna explicada"))</f>
        <v/>
      </c>
      <c r="G102" s="16">
        <f>IF(A102="","",IF(C102=0,"Sem registros: confirme que o F5 rodou",IF(D102&gt;0,"Pendente de análise",IF(E102&gt;0,"Lacunas não explicadas",IF(F102&gt;0,"Lacunas explicadas","Completo")))))</f>
        <v/>
      </c>
      <c r="H102" s="15" t="n"/>
      <c r="I102" s="15" t="n"/>
      <c r="J102" s="15" t="n"/>
      <c r="K102" s="16">
        <f>IF(H102="","",IF(D102&gt;0,"NÃO – há pendências",IF(AND(H102&lt;&gt;G102,H102&lt;&gt;"Não avaliável"),"NÃO – difere do automático: justificar em ata",IF(H102="Lacunas não explicadas",IF(I102=3,"Sim","NÃO – exige unanimidade"),IF(I102&gt;=2,"Sim","NÃO – sem maioria")))))</f>
        <v/>
      </c>
    </row>
    <row r="103">
      <c r="A103" s="15" t="n"/>
      <c r="B103" s="15" t="n"/>
      <c r="C103" s="16">
        <f>IF(A103="","",COUNTIFS(Completude!$F$2:$F$301,A103,Completude!$B$2:$B$301,B103))</f>
        <v/>
      </c>
      <c r="D103" s="16">
        <f>IF(A103="","",COUNTIFS(Completude!$F$2:$F$301,A103,Completude!$B$2:$B$301,B103,Completude!$M$2:$M$301,"Aguarda*")+COUNTIFS(Completude!$F$2:$F$301,A103,Completude!$B$2:$B$301,B103,Completude!$M$2:$M$301,"NÃO*"))</f>
        <v/>
      </c>
      <c r="E103" s="16">
        <f>IF(A103="","",COUNTIFS(Completude!$F$2:$F$301,A103,Completude!$B$2:$B$301,B103,Completude!$M$2:$M$301,"Lacuna não explicada"))</f>
        <v/>
      </c>
      <c r="F103" s="16">
        <f>IF(A103="","",COUNTIFS(Completude!$F$2:$F$301,A103,Completude!$B$2:$B$301,B103,Completude!$M$2:$M$301,"Lacuna explicada"))</f>
        <v/>
      </c>
      <c r="G103" s="16">
        <f>IF(A103="","",IF(C103=0,"Sem registros: confirme que o F5 rodou",IF(D103&gt;0,"Pendente de análise",IF(E103&gt;0,"Lacunas não explicadas",IF(F103&gt;0,"Lacunas explicadas","Completo")))))</f>
        <v/>
      </c>
      <c r="H103" s="15" t="n"/>
      <c r="I103" s="15" t="n"/>
      <c r="J103" s="15" t="n"/>
      <c r="K103" s="16">
        <f>IF(H103="","",IF(D103&gt;0,"NÃO – há pendências",IF(AND(H103&lt;&gt;G103,H103&lt;&gt;"Não avaliável"),"NÃO – difere do automático: justificar em ata",IF(H103="Lacunas não explicadas",IF(I103=3,"Sim","NÃO – exige unanimidade"),IF(I103&gt;=2,"Sim","NÃO – sem maioria")))))</f>
        <v/>
      </c>
    </row>
    <row r="104">
      <c r="A104" s="15" t="n"/>
      <c r="B104" s="15" t="n"/>
      <c r="C104" s="16">
        <f>IF(A104="","",COUNTIFS(Completude!$F$2:$F$301,A104,Completude!$B$2:$B$301,B104))</f>
        <v/>
      </c>
      <c r="D104" s="16">
        <f>IF(A104="","",COUNTIFS(Completude!$F$2:$F$301,A104,Completude!$B$2:$B$301,B104,Completude!$M$2:$M$301,"Aguarda*")+COUNTIFS(Completude!$F$2:$F$301,A104,Completude!$B$2:$B$301,B104,Completude!$M$2:$M$301,"NÃO*"))</f>
        <v/>
      </c>
      <c r="E104" s="16">
        <f>IF(A104="","",COUNTIFS(Completude!$F$2:$F$301,A104,Completude!$B$2:$B$301,B104,Completude!$M$2:$M$301,"Lacuna não explicada"))</f>
        <v/>
      </c>
      <c r="F104" s="16">
        <f>IF(A104="","",COUNTIFS(Completude!$F$2:$F$301,A104,Completude!$B$2:$B$301,B104,Completude!$M$2:$M$301,"Lacuna explicada"))</f>
        <v/>
      </c>
      <c r="G104" s="16">
        <f>IF(A104="","",IF(C104=0,"Sem registros: confirme que o F5 rodou",IF(D104&gt;0,"Pendente de análise",IF(E104&gt;0,"Lacunas não explicadas",IF(F104&gt;0,"Lacunas explicadas","Completo")))))</f>
        <v/>
      </c>
      <c r="H104" s="15" t="n"/>
      <c r="I104" s="15" t="n"/>
      <c r="J104" s="15" t="n"/>
      <c r="K104" s="16">
        <f>IF(H104="","",IF(D104&gt;0,"NÃO – há pendências",IF(AND(H104&lt;&gt;G104,H104&lt;&gt;"Não avaliável"),"NÃO – difere do automático: justificar em ata",IF(H104="Lacunas não explicadas",IF(I104=3,"Sim","NÃO – exige unanimidade"),IF(I104&gt;=2,"Sim","NÃO – sem maioria")))))</f>
        <v/>
      </c>
    </row>
    <row r="105">
      <c r="A105" s="15" t="n"/>
      <c r="B105" s="15" t="n"/>
      <c r="C105" s="16">
        <f>IF(A105="","",COUNTIFS(Completude!$F$2:$F$301,A105,Completude!$B$2:$B$301,B105))</f>
        <v/>
      </c>
      <c r="D105" s="16">
        <f>IF(A105="","",COUNTIFS(Completude!$F$2:$F$301,A105,Completude!$B$2:$B$301,B105,Completude!$M$2:$M$301,"Aguarda*")+COUNTIFS(Completude!$F$2:$F$301,A105,Completude!$B$2:$B$301,B105,Completude!$M$2:$M$301,"NÃO*"))</f>
        <v/>
      </c>
      <c r="E105" s="16">
        <f>IF(A105="","",COUNTIFS(Completude!$F$2:$F$301,A105,Completude!$B$2:$B$301,B105,Completude!$M$2:$M$301,"Lacuna não explicada"))</f>
        <v/>
      </c>
      <c r="F105" s="16">
        <f>IF(A105="","",COUNTIFS(Completude!$F$2:$F$301,A105,Completude!$B$2:$B$301,B105,Completude!$M$2:$M$301,"Lacuna explicada"))</f>
        <v/>
      </c>
      <c r="G105" s="16">
        <f>IF(A105="","",IF(C105=0,"Sem registros: confirme que o F5 rodou",IF(D105&gt;0,"Pendente de análise",IF(E105&gt;0,"Lacunas não explicadas",IF(F105&gt;0,"Lacunas explicadas","Completo")))))</f>
        <v/>
      </c>
      <c r="H105" s="15" t="n"/>
      <c r="I105" s="15" t="n"/>
      <c r="J105" s="15" t="n"/>
      <c r="K105" s="16">
        <f>IF(H105="","",IF(D105&gt;0,"NÃO – há pendências",IF(AND(H105&lt;&gt;G105,H105&lt;&gt;"Não avaliável"),"NÃO – difere do automático: justificar em ata",IF(H105="Lacunas não explicadas",IF(I105=3,"Sim","NÃO – exige unanimidade"),IF(I105&gt;=2,"Sim","NÃO – sem maioria")))))</f>
        <v/>
      </c>
    </row>
    <row r="106">
      <c r="A106" s="15" t="n"/>
      <c r="B106" s="15" t="n"/>
      <c r="C106" s="16">
        <f>IF(A106="","",COUNTIFS(Completude!$F$2:$F$301,A106,Completude!$B$2:$B$301,B106))</f>
        <v/>
      </c>
      <c r="D106" s="16">
        <f>IF(A106="","",COUNTIFS(Completude!$F$2:$F$301,A106,Completude!$B$2:$B$301,B106,Completude!$M$2:$M$301,"Aguarda*")+COUNTIFS(Completude!$F$2:$F$301,A106,Completude!$B$2:$B$301,B106,Completude!$M$2:$M$301,"NÃO*"))</f>
        <v/>
      </c>
      <c r="E106" s="16">
        <f>IF(A106="","",COUNTIFS(Completude!$F$2:$F$301,A106,Completude!$B$2:$B$301,B106,Completude!$M$2:$M$301,"Lacuna não explicada"))</f>
        <v/>
      </c>
      <c r="F106" s="16">
        <f>IF(A106="","",COUNTIFS(Completude!$F$2:$F$301,A106,Completude!$B$2:$B$301,B106,Completude!$M$2:$M$301,"Lacuna explicada"))</f>
        <v/>
      </c>
      <c r="G106" s="16">
        <f>IF(A106="","",IF(C106=0,"Sem registros: confirme que o F5 rodou",IF(D106&gt;0,"Pendente de análise",IF(E106&gt;0,"Lacunas não explicadas",IF(F106&gt;0,"Lacunas explicadas","Completo")))))</f>
        <v/>
      </c>
      <c r="H106" s="15" t="n"/>
      <c r="I106" s="15" t="n"/>
      <c r="J106" s="15" t="n"/>
      <c r="K106" s="16">
        <f>IF(H106="","",IF(D106&gt;0,"NÃO – há pendências",IF(AND(H106&lt;&gt;G106,H106&lt;&gt;"Não avaliável"),"NÃO – difere do automático: justificar em ata",IF(H106="Lacunas não explicadas",IF(I106=3,"Sim","NÃO – exige unanimidade"),IF(I106&gt;=2,"Sim","NÃO – sem maioria")))))</f>
        <v/>
      </c>
    </row>
    <row r="107">
      <c r="A107" s="15" t="n"/>
      <c r="B107" s="15" t="n"/>
      <c r="C107" s="16">
        <f>IF(A107="","",COUNTIFS(Completude!$F$2:$F$301,A107,Completude!$B$2:$B$301,B107))</f>
        <v/>
      </c>
      <c r="D107" s="16">
        <f>IF(A107="","",COUNTIFS(Completude!$F$2:$F$301,A107,Completude!$B$2:$B$301,B107,Completude!$M$2:$M$301,"Aguarda*")+COUNTIFS(Completude!$F$2:$F$301,A107,Completude!$B$2:$B$301,B107,Completude!$M$2:$M$301,"NÃO*"))</f>
        <v/>
      </c>
      <c r="E107" s="16">
        <f>IF(A107="","",COUNTIFS(Completude!$F$2:$F$301,A107,Completude!$B$2:$B$301,B107,Completude!$M$2:$M$301,"Lacuna não explicada"))</f>
        <v/>
      </c>
      <c r="F107" s="16">
        <f>IF(A107="","",COUNTIFS(Completude!$F$2:$F$301,A107,Completude!$B$2:$B$301,B107,Completude!$M$2:$M$301,"Lacuna explicada"))</f>
        <v/>
      </c>
      <c r="G107" s="16">
        <f>IF(A107="","",IF(C107=0,"Sem registros: confirme que o F5 rodou",IF(D107&gt;0,"Pendente de análise",IF(E107&gt;0,"Lacunas não explicadas",IF(F107&gt;0,"Lacunas explicadas","Completo")))))</f>
        <v/>
      </c>
      <c r="H107" s="15" t="n"/>
      <c r="I107" s="15" t="n"/>
      <c r="J107" s="15" t="n"/>
      <c r="K107" s="16">
        <f>IF(H107="","",IF(D107&gt;0,"NÃO – há pendências",IF(AND(H107&lt;&gt;G107,H107&lt;&gt;"Não avaliável"),"NÃO – difere do automático: justificar em ata",IF(H107="Lacunas não explicadas",IF(I107=3,"Sim","NÃO – exige unanimidade"),IF(I107&gt;=2,"Sim","NÃO – sem maioria")))))</f>
        <v/>
      </c>
    </row>
    <row r="108">
      <c r="A108" s="15" t="n"/>
      <c r="B108" s="15" t="n"/>
      <c r="C108" s="16">
        <f>IF(A108="","",COUNTIFS(Completude!$F$2:$F$301,A108,Completude!$B$2:$B$301,B108))</f>
        <v/>
      </c>
      <c r="D108" s="16">
        <f>IF(A108="","",COUNTIFS(Completude!$F$2:$F$301,A108,Completude!$B$2:$B$301,B108,Completude!$M$2:$M$301,"Aguarda*")+COUNTIFS(Completude!$F$2:$F$301,A108,Completude!$B$2:$B$301,B108,Completude!$M$2:$M$301,"NÃO*"))</f>
        <v/>
      </c>
      <c r="E108" s="16">
        <f>IF(A108="","",COUNTIFS(Completude!$F$2:$F$301,A108,Completude!$B$2:$B$301,B108,Completude!$M$2:$M$301,"Lacuna não explicada"))</f>
        <v/>
      </c>
      <c r="F108" s="16">
        <f>IF(A108="","",COUNTIFS(Completude!$F$2:$F$301,A108,Completude!$B$2:$B$301,B108,Completude!$M$2:$M$301,"Lacuna explicada"))</f>
        <v/>
      </c>
      <c r="G108" s="16">
        <f>IF(A108="","",IF(C108=0,"Sem registros: confirme que o F5 rodou",IF(D108&gt;0,"Pendente de análise",IF(E108&gt;0,"Lacunas não explicadas",IF(F108&gt;0,"Lacunas explicadas","Completo")))))</f>
        <v/>
      </c>
      <c r="H108" s="15" t="n"/>
      <c r="I108" s="15" t="n"/>
      <c r="J108" s="15" t="n"/>
      <c r="K108" s="16">
        <f>IF(H108="","",IF(D108&gt;0,"NÃO – há pendências",IF(AND(H108&lt;&gt;G108,H108&lt;&gt;"Não avaliável"),"NÃO – difere do automático: justificar em ata",IF(H108="Lacunas não explicadas",IF(I108=3,"Sim","NÃO – exige unanimidade"),IF(I108&gt;=2,"Sim","NÃO – sem maioria")))))</f>
        <v/>
      </c>
    </row>
    <row r="109">
      <c r="A109" s="15" t="n"/>
      <c r="B109" s="15" t="n"/>
      <c r="C109" s="16">
        <f>IF(A109="","",COUNTIFS(Completude!$F$2:$F$301,A109,Completude!$B$2:$B$301,B109))</f>
        <v/>
      </c>
      <c r="D109" s="16">
        <f>IF(A109="","",COUNTIFS(Completude!$F$2:$F$301,A109,Completude!$B$2:$B$301,B109,Completude!$M$2:$M$301,"Aguarda*")+COUNTIFS(Completude!$F$2:$F$301,A109,Completude!$B$2:$B$301,B109,Completude!$M$2:$M$301,"NÃO*"))</f>
        <v/>
      </c>
      <c r="E109" s="16">
        <f>IF(A109="","",COUNTIFS(Completude!$F$2:$F$301,A109,Completude!$B$2:$B$301,B109,Completude!$M$2:$M$301,"Lacuna não explicada"))</f>
        <v/>
      </c>
      <c r="F109" s="16">
        <f>IF(A109="","",COUNTIFS(Completude!$F$2:$F$301,A109,Completude!$B$2:$B$301,B109,Completude!$M$2:$M$301,"Lacuna explicada"))</f>
        <v/>
      </c>
      <c r="G109" s="16">
        <f>IF(A109="","",IF(C109=0,"Sem registros: confirme que o F5 rodou",IF(D109&gt;0,"Pendente de análise",IF(E109&gt;0,"Lacunas não explicadas",IF(F109&gt;0,"Lacunas explicadas","Completo")))))</f>
        <v/>
      </c>
      <c r="H109" s="15" t="n"/>
      <c r="I109" s="15" t="n"/>
      <c r="J109" s="15" t="n"/>
      <c r="K109" s="16">
        <f>IF(H109="","",IF(D109&gt;0,"NÃO – há pendências",IF(AND(H109&lt;&gt;G109,H109&lt;&gt;"Não avaliável"),"NÃO – difere do automático: justificar em ata",IF(H109="Lacunas não explicadas",IF(I109=3,"Sim","NÃO – exige unanimidade"),IF(I109&gt;=2,"Sim","NÃO – sem maioria")))))</f>
        <v/>
      </c>
    </row>
    <row r="110">
      <c r="A110" s="15" t="n"/>
      <c r="B110" s="15" t="n"/>
      <c r="C110" s="16">
        <f>IF(A110="","",COUNTIFS(Completude!$F$2:$F$301,A110,Completude!$B$2:$B$301,B110))</f>
        <v/>
      </c>
      <c r="D110" s="16">
        <f>IF(A110="","",COUNTIFS(Completude!$F$2:$F$301,A110,Completude!$B$2:$B$301,B110,Completude!$M$2:$M$301,"Aguarda*")+COUNTIFS(Completude!$F$2:$F$301,A110,Completude!$B$2:$B$301,B110,Completude!$M$2:$M$301,"NÃO*"))</f>
        <v/>
      </c>
      <c r="E110" s="16">
        <f>IF(A110="","",COUNTIFS(Completude!$F$2:$F$301,A110,Completude!$B$2:$B$301,B110,Completude!$M$2:$M$301,"Lacuna não explicada"))</f>
        <v/>
      </c>
      <c r="F110" s="16">
        <f>IF(A110="","",COUNTIFS(Completude!$F$2:$F$301,A110,Completude!$B$2:$B$301,B110,Completude!$M$2:$M$301,"Lacuna explicada"))</f>
        <v/>
      </c>
      <c r="G110" s="16">
        <f>IF(A110="","",IF(C110=0,"Sem registros: confirme que o F5 rodou",IF(D110&gt;0,"Pendente de análise",IF(E110&gt;0,"Lacunas não explicadas",IF(F110&gt;0,"Lacunas explicadas","Completo")))))</f>
        <v/>
      </c>
      <c r="H110" s="15" t="n"/>
      <c r="I110" s="15" t="n"/>
      <c r="J110" s="15" t="n"/>
      <c r="K110" s="16">
        <f>IF(H110="","",IF(D110&gt;0,"NÃO – há pendências",IF(AND(H110&lt;&gt;G110,H110&lt;&gt;"Não avaliável"),"NÃO – difere do automático: justificar em ata",IF(H110="Lacunas não explicadas",IF(I110=3,"Sim","NÃO – exige unanimidade"),IF(I110&gt;=2,"Sim","NÃO – sem maioria")))))</f>
        <v/>
      </c>
    </row>
    <row r="111">
      <c r="A111" s="15" t="n"/>
      <c r="B111" s="15" t="n"/>
      <c r="C111" s="16">
        <f>IF(A111="","",COUNTIFS(Completude!$F$2:$F$301,A111,Completude!$B$2:$B$301,B111))</f>
        <v/>
      </c>
      <c r="D111" s="16">
        <f>IF(A111="","",COUNTIFS(Completude!$F$2:$F$301,A111,Completude!$B$2:$B$301,B111,Completude!$M$2:$M$301,"Aguarda*")+COUNTIFS(Completude!$F$2:$F$301,A111,Completude!$B$2:$B$301,B111,Completude!$M$2:$M$301,"NÃO*"))</f>
        <v/>
      </c>
      <c r="E111" s="16">
        <f>IF(A111="","",COUNTIFS(Completude!$F$2:$F$301,A111,Completude!$B$2:$B$301,B111,Completude!$M$2:$M$301,"Lacuna não explicada"))</f>
        <v/>
      </c>
      <c r="F111" s="16">
        <f>IF(A111="","",COUNTIFS(Completude!$F$2:$F$301,A111,Completude!$B$2:$B$301,B111,Completude!$M$2:$M$301,"Lacuna explicada"))</f>
        <v/>
      </c>
      <c r="G111" s="16">
        <f>IF(A111="","",IF(C111=0,"Sem registros: confirme que o F5 rodou",IF(D111&gt;0,"Pendente de análise",IF(E111&gt;0,"Lacunas não explicadas",IF(F111&gt;0,"Lacunas explicadas","Completo")))))</f>
        <v/>
      </c>
      <c r="H111" s="15" t="n"/>
      <c r="I111" s="15" t="n"/>
      <c r="J111" s="15" t="n"/>
      <c r="K111" s="16">
        <f>IF(H111="","",IF(D111&gt;0,"NÃO – há pendências",IF(AND(H111&lt;&gt;G111,H111&lt;&gt;"Não avaliável"),"NÃO – difere do automático: justificar em ata",IF(H111="Lacunas não explicadas",IF(I111=3,"Sim","NÃO – exige unanimidade"),IF(I111&gt;=2,"Sim","NÃO – sem maioria")))))</f>
        <v/>
      </c>
    </row>
    <row r="112">
      <c r="A112" s="15" t="n"/>
      <c r="B112" s="15" t="n"/>
      <c r="C112" s="16">
        <f>IF(A112="","",COUNTIFS(Completude!$F$2:$F$301,A112,Completude!$B$2:$B$301,B112))</f>
        <v/>
      </c>
      <c r="D112" s="16">
        <f>IF(A112="","",COUNTIFS(Completude!$F$2:$F$301,A112,Completude!$B$2:$B$301,B112,Completude!$M$2:$M$301,"Aguarda*")+COUNTIFS(Completude!$F$2:$F$301,A112,Completude!$B$2:$B$301,B112,Completude!$M$2:$M$301,"NÃO*"))</f>
        <v/>
      </c>
      <c r="E112" s="16">
        <f>IF(A112="","",COUNTIFS(Completude!$F$2:$F$301,A112,Completude!$B$2:$B$301,B112,Completude!$M$2:$M$301,"Lacuna não explicada"))</f>
        <v/>
      </c>
      <c r="F112" s="16">
        <f>IF(A112="","",COUNTIFS(Completude!$F$2:$F$301,A112,Completude!$B$2:$B$301,B112,Completude!$M$2:$M$301,"Lacuna explicada"))</f>
        <v/>
      </c>
      <c r="G112" s="16">
        <f>IF(A112="","",IF(C112=0,"Sem registros: confirme que o F5 rodou",IF(D112&gt;0,"Pendente de análise",IF(E112&gt;0,"Lacunas não explicadas",IF(F112&gt;0,"Lacunas explicadas","Completo")))))</f>
        <v/>
      </c>
      <c r="H112" s="15" t="n"/>
      <c r="I112" s="15" t="n"/>
      <c r="J112" s="15" t="n"/>
      <c r="K112" s="16">
        <f>IF(H112="","",IF(D112&gt;0,"NÃO – há pendências",IF(AND(H112&lt;&gt;G112,H112&lt;&gt;"Não avaliável"),"NÃO – difere do automático: justificar em ata",IF(H112="Lacunas não explicadas",IF(I112=3,"Sim","NÃO – exige unanimidade"),IF(I112&gt;=2,"Sim","NÃO – sem maioria")))))</f>
        <v/>
      </c>
    </row>
    <row r="113">
      <c r="A113" s="15" t="n"/>
      <c r="B113" s="15" t="n"/>
      <c r="C113" s="16">
        <f>IF(A113="","",COUNTIFS(Completude!$F$2:$F$301,A113,Completude!$B$2:$B$301,B113))</f>
        <v/>
      </c>
      <c r="D113" s="16">
        <f>IF(A113="","",COUNTIFS(Completude!$F$2:$F$301,A113,Completude!$B$2:$B$301,B113,Completude!$M$2:$M$301,"Aguarda*")+COUNTIFS(Completude!$F$2:$F$301,A113,Completude!$B$2:$B$301,B113,Completude!$M$2:$M$301,"NÃO*"))</f>
        <v/>
      </c>
      <c r="E113" s="16">
        <f>IF(A113="","",COUNTIFS(Completude!$F$2:$F$301,A113,Completude!$B$2:$B$301,B113,Completude!$M$2:$M$301,"Lacuna não explicada"))</f>
        <v/>
      </c>
      <c r="F113" s="16">
        <f>IF(A113="","",COUNTIFS(Completude!$F$2:$F$301,A113,Completude!$B$2:$B$301,B113,Completude!$M$2:$M$301,"Lacuna explicada"))</f>
        <v/>
      </c>
      <c r="G113" s="16">
        <f>IF(A113="","",IF(C113=0,"Sem registros: confirme que o F5 rodou",IF(D113&gt;0,"Pendente de análise",IF(E113&gt;0,"Lacunas não explicadas",IF(F113&gt;0,"Lacunas explicadas","Completo")))))</f>
        <v/>
      </c>
      <c r="H113" s="15" t="n"/>
      <c r="I113" s="15" t="n"/>
      <c r="J113" s="15" t="n"/>
      <c r="K113" s="16">
        <f>IF(H113="","",IF(D113&gt;0,"NÃO – há pendências",IF(AND(H113&lt;&gt;G113,H113&lt;&gt;"Não avaliável"),"NÃO – difere do automático: justificar em ata",IF(H113="Lacunas não explicadas",IF(I113=3,"Sim","NÃO – exige unanimidade"),IF(I113&gt;=2,"Sim","NÃO – sem maioria")))))</f>
        <v/>
      </c>
    </row>
    <row r="114">
      <c r="A114" s="15" t="n"/>
      <c r="B114" s="15" t="n"/>
      <c r="C114" s="16">
        <f>IF(A114="","",COUNTIFS(Completude!$F$2:$F$301,A114,Completude!$B$2:$B$301,B114))</f>
        <v/>
      </c>
      <c r="D114" s="16">
        <f>IF(A114="","",COUNTIFS(Completude!$F$2:$F$301,A114,Completude!$B$2:$B$301,B114,Completude!$M$2:$M$301,"Aguarda*")+COUNTIFS(Completude!$F$2:$F$301,A114,Completude!$B$2:$B$301,B114,Completude!$M$2:$M$301,"NÃO*"))</f>
        <v/>
      </c>
      <c r="E114" s="16">
        <f>IF(A114="","",COUNTIFS(Completude!$F$2:$F$301,A114,Completude!$B$2:$B$301,B114,Completude!$M$2:$M$301,"Lacuna não explicada"))</f>
        <v/>
      </c>
      <c r="F114" s="16">
        <f>IF(A114="","",COUNTIFS(Completude!$F$2:$F$301,A114,Completude!$B$2:$B$301,B114,Completude!$M$2:$M$301,"Lacuna explicada"))</f>
        <v/>
      </c>
      <c r="G114" s="16">
        <f>IF(A114="","",IF(C114=0,"Sem registros: confirme que o F5 rodou",IF(D114&gt;0,"Pendente de análise",IF(E114&gt;0,"Lacunas não explicadas",IF(F114&gt;0,"Lacunas explicadas","Completo")))))</f>
        <v/>
      </c>
      <c r="H114" s="15" t="n"/>
      <c r="I114" s="15" t="n"/>
      <c r="J114" s="15" t="n"/>
      <c r="K114" s="16">
        <f>IF(H114="","",IF(D114&gt;0,"NÃO – há pendências",IF(AND(H114&lt;&gt;G114,H114&lt;&gt;"Não avaliável"),"NÃO – difere do automático: justificar em ata",IF(H114="Lacunas não explicadas",IF(I114=3,"Sim","NÃO – exige unanimidade"),IF(I114&gt;=2,"Sim","NÃO – sem maioria")))))</f>
        <v/>
      </c>
    </row>
    <row r="115">
      <c r="A115" s="15" t="n"/>
      <c r="B115" s="15" t="n"/>
      <c r="C115" s="16">
        <f>IF(A115="","",COUNTIFS(Completude!$F$2:$F$301,A115,Completude!$B$2:$B$301,B115))</f>
        <v/>
      </c>
      <c r="D115" s="16">
        <f>IF(A115="","",COUNTIFS(Completude!$F$2:$F$301,A115,Completude!$B$2:$B$301,B115,Completude!$M$2:$M$301,"Aguarda*")+COUNTIFS(Completude!$F$2:$F$301,A115,Completude!$B$2:$B$301,B115,Completude!$M$2:$M$301,"NÃO*"))</f>
        <v/>
      </c>
      <c r="E115" s="16">
        <f>IF(A115="","",COUNTIFS(Completude!$F$2:$F$301,A115,Completude!$B$2:$B$301,B115,Completude!$M$2:$M$301,"Lacuna não explicada"))</f>
        <v/>
      </c>
      <c r="F115" s="16">
        <f>IF(A115="","",COUNTIFS(Completude!$F$2:$F$301,A115,Completude!$B$2:$B$301,B115,Completude!$M$2:$M$301,"Lacuna explicada"))</f>
        <v/>
      </c>
      <c r="G115" s="16">
        <f>IF(A115="","",IF(C115=0,"Sem registros: confirme que o F5 rodou",IF(D115&gt;0,"Pendente de análise",IF(E115&gt;0,"Lacunas não explicadas",IF(F115&gt;0,"Lacunas explicadas","Completo")))))</f>
        <v/>
      </c>
      <c r="H115" s="15" t="n"/>
      <c r="I115" s="15" t="n"/>
      <c r="J115" s="15" t="n"/>
      <c r="K115" s="16">
        <f>IF(H115="","",IF(D115&gt;0,"NÃO – há pendências",IF(AND(H115&lt;&gt;G115,H115&lt;&gt;"Não avaliável"),"NÃO – difere do automático: justificar em ata",IF(H115="Lacunas não explicadas",IF(I115=3,"Sim","NÃO – exige unanimidade"),IF(I115&gt;=2,"Sim","NÃO – sem maioria")))))</f>
        <v/>
      </c>
    </row>
    <row r="116">
      <c r="A116" s="15" t="n"/>
      <c r="B116" s="15" t="n"/>
      <c r="C116" s="16">
        <f>IF(A116="","",COUNTIFS(Completude!$F$2:$F$301,A116,Completude!$B$2:$B$301,B116))</f>
        <v/>
      </c>
      <c r="D116" s="16">
        <f>IF(A116="","",COUNTIFS(Completude!$F$2:$F$301,A116,Completude!$B$2:$B$301,B116,Completude!$M$2:$M$301,"Aguarda*")+COUNTIFS(Completude!$F$2:$F$301,A116,Completude!$B$2:$B$301,B116,Completude!$M$2:$M$301,"NÃO*"))</f>
        <v/>
      </c>
      <c r="E116" s="16">
        <f>IF(A116="","",COUNTIFS(Completude!$F$2:$F$301,A116,Completude!$B$2:$B$301,B116,Completude!$M$2:$M$301,"Lacuna não explicada"))</f>
        <v/>
      </c>
      <c r="F116" s="16">
        <f>IF(A116="","",COUNTIFS(Completude!$F$2:$F$301,A116,Completude!$B$2:$B$301,B116,Completude!$M$2:$M$301,"Lacuna explicada"))</f>
        <v/>
      </c>
      <c r="G116" s="16">
        <f>IF(A116="","",IF(C116=0,"Sem registros: confirme que o F5 rodou",IF(D116&gt;0,"Pendente de análise",IF(E116&gt;0,"Lacunas não explicadas",IF(F116&gt;0,"Lacunas explicadas","Completo")))))</f>
        <v/>
      </c>
      <c r="H116" s="15" t="n"/>
      <c r="I116" s="15" t="n"/>
      <c r="J116" s="15" t="n"/>
      <c r="K116" s="16">
        <f>IF(H116="","",IF(D116&gt;0,"NÃO – há pendências",IF(AND(H116&lt;&gt;G116,H116&lt;&gt;"Não avaliável"),"NÃO – difere do automático: justificar em ata",IF(H116="Lacunas não explicadas",IF(I116=3,"Sim","NÃO – exige unanimidade"),IF(I116&gt;=2,"Sim","NÃO – sem maioria")))))</f>
        <v/>
      </c>
    </row>
    <row r="117">
      <c r="A117" s="15" t="n"/>
      <c r="B117" s="15" t="n"/>
      <c r="C117" s="16">
        <f>IF(A117="","",COUNTIFS(Completude!$F$2:$F$301,A117,Completude!$B$2:$B$301,B117))</f>
        <v/>
      </c>
      <c r="D117" s="16">
        <f>IF(A117="","",COUNTIFS(Completude!$F$2:$F$301,A117,Completude!$B$2:$B$301,B117,Completude!$M$2:$M$301,"Aguarda*")+COUNTIFS(Completude!$F$2:$F$301,A117,Completude!$B$2:$B$301,B117,Completude!$M$2:$M$301,"NÃO*"))</f>
        <v/>
      </c>
      <c r="E117" s="16">
        <f>IF(A117="","",COUNTIFS(Completude!$F$2:$F$301,A117,Completude!$B$2:$B$301,B117,Completude!$M$2:$M$301,"Lacuna não explicada"))</f>
        <v/>
      </c>
      <c r="F117" s="16">
        <f>IF(A117="","",COUNTIFS(Completude!$F$2:$F$301,A117,Completude!$B$2:$B$301,B117,Completude!$M$2:$M$301,"Lacuna explicada"))</f>
        <v/>
      </c>
      <c r="G117" s="16">
        <f>IF(A117="","",IF(C117=0,"Sem registros: confirme que o F5 rodou",IF(D117&gt;0,"Pendente de análise",IF(E117&gt;0,"Lacunas não explicadas",IF(F117&gt;0,"Lacunas explicadas","Completo")))))</f>
        <v/>
      </c>
      <c r="H117" s="15" t="n"/>
      <c r="I117" s="15" t="n"/>
      <c r="J117" s="15" t="n"/>
      <c r="K117" s="16">
        <f>IF(H117="","",IF(D117&gt;0,"NÃO – há pendências",IF(AND(H117&lt;&gt;G117,H117&lt;&gt;"Não avaliável"),"NÃO – difere do automático: justificar em ata",IF(H117="Lacunas não explicadas",IF(I117=3,"Sim","NÃO – exige unanimidade"),IF(I117&gt;=2,"Sim","NÃO – sem maioria")))))</f>
        <v/>
      </c>
    </row>
    <row r="118">
      <c r="A118" s="15" t="n"/>
      <c r="B118" s="15" t="n"/>
      <c r="C118" s="16">
        <f>IF(A118="","",COUNTIFS(Completude!$F$2:$F$301,A118,Completude!$B$2:$B$301,B118))</f>
        <v/>
      </c>
      <c r="D118" s="16">
        <f>IF(A118="","",COUNTIFS(Completude!$F$2:$F$301,A118,Completude!$B$2:$B$301,B118,Completude!$M$2:$M$301,"Aguarda*")+COUNTIFS(Completude!$F$2:$F$301,A118,Completude!$B$2:$B$301,B118,Completude!$M$2:$M$301,"NÃO*"))</f>
        <v/>
      </c>
      <c r="E118" s="16">
        <f>IF(A118="","",COUNTIFS(Completude!$F$2:$F$301,A118,Completude!$B$2:$B$301,B118,Completude!$M$2:$M$301,"Lacuna não explicada"))</f>
        <v/>
      </c>
      <c r="F118" s="16">
        <f>IF(A118="","",COUNTIFS(Completude!$F$2:$F$301,A118,Completude!$B$2:$B$301,B118,Completude!$M$2:$M$301,"Lacuna explicada"))</f>
        <v/>
      </c>
      <c r="G118" s="16">
        <f>IF(A118="","",IF(C118=0,"Sem registros: confirme que o F5 rodou",IF(D118&gt;0,"Pendente de análise",IF(E118&gt;0,"Lacunas não explicadas",IF(F118&gt;0,"Lacunas explicadas","Completo")))))</f>
        <v/>
      </c>
      <c r="H118" s="15" t="n"/>
      <c r="I118" s="15" t="n"/>
      <c r="J118" s="15" t="n"/>
      <c r="K118" s="16">
        <f>IF(H118="","",IF(D118&gt;0,"NÃO – há pendências",IF(AND(H118&lt;&gt;G118,H118&lt;&gt;"Não avaliável"),"NÃO – difere do automático: justificar em ata",IF(H118="Lacunas não explicadas",IF(I118=3,"Sim","NÃO – exige unanimidade"),IF(I118&gt;=2,"Sim","NÃO – sem maioria")))))</f>
        <v/>
      </c>
    </row>
    <row r="119">
      <c r="A119" s="15" t="n"/>
      <c r="B119" s="15" t="n"/>
      <c r="C119" s="16">
        <f>IF(A119="","",COUNTIFS(Completude!$F$2:$F$301,A119,Completude!$B$2:$B$301,B119))</f>
        <v/>
      </c>
      <c r="D119" s="16">
        <f>IF(A119="","",COUNTIFS(Completude!$F$2:$F$301,A119,Completude!$B$2:$B$301,B119,Completude!$M$2:$M$301,"Aguarda*")+COUNTIFS(Completude!$F$2:$F$301,A119,Completude!$B$2:$B$301,B119,Completude!$M$2:$M$301,"NÃO*"))</f>
        <v/>
      </c>
      <c r="E119" s="16">
        <f>IF(A119="","",COUNTIFS(Completude!$F$2:$F$301,A119,Completude!$B$2:$B$301,B119,Completude!$M$2:$M$301,"Lacuna não explicada"))</f>
        <v/>
      </c>
      <c r="F119" s="16">
        <f>IF(A119="","",COUNTIFS(Completude!$F$2:$F$301,A119,Completude!$B$2:$B$301,B119,Completude!$M$2:$M$301,"Lacuna explicada"))</f>
        <v/>
      </c>
      <c r="G119" s="16">
        <f>IF(A119="","",IF(C119=0,"Sem registros: confirme que o F5 rodou",IF(D119&gt;0,"Pendente de análise",IF(E119&gt;0,"Lacunas não explicadas",IF(F119&gt;0,"Lacunas explicadas","Completo")))))</f>
        <v/>
      </c>
      <c r="H119" s="15" t="n"/>
      <c r="I119" s="15" t="n"/>
      <c r="J119" s="15" t="n"/>
      <c r="K119" s="16">
        <f>IF(H119="","",IF(D119&gt;0,"NÃO – há pendências",IF(AND(H119&lt;&gt;G119,H119&lt;&gt;"Não avaliável"),"NÃO – difere do automático: justificar em ata",IF(H119="Lacunas não explicadas",IF(I119=3,"Sim","NÃO – exige unanimidade"),IF(I119&gt;=2,"Sim","NÃO – sem maioria")))))</f>
        <v/>
      </c>
    </row>
    <row r="120">
      <c r="A120" s="15" t="n"/>
      <c r="B120" s="15" t="n"/>
      <c r="C120" s="16">
        <f>IF(A120="","",COUNTIFS(Completude!$F$2:$F$301,A120,Completude!$B$2:$B$301,B120))</f>
        <v/>
      </c>
      <c r="D120" s="16">
        <f>IF(A120="","",COUNTIFS(Completude!$F$2:$F$301,A120,Completude!$B$2:$B$301,B120,Completude!$M$2:$M$301,"Aguarda*")+COUNTIFS(Completude!$F$2:$F$301,A120,Completude!$B$2:$B$301,B120,Completude!$M$2:$M$301,"NÃO*"))</f>
        <v/>
      </c>
      <c r="E120" s="16">
        <f>IF(A120="","",COUNTIFS(Completude!$F$2:$F$301,A120,Completude!$B$2:$B$301,B120,Completude!$M$2:$M$301,"Lacuna não explicada"))</f>
        <v/>
      </c>
      <c r="F120" s="16">
        <f>IF(A120="","",COUNTIFS(Completude!$F$2:$F$301,A120,Completude!$B$2:$B$301,B120,Completude!$M$2:$M$301,"Lacuna explicada"))</f>
        <v/>
      </c>
      <c r="G120" s="16">
        <f>IF(A120="","",IF(C120=0,"Sem registros: confirme que o F5 rodou",IF(D120&gt;0,"Pendente de análise",IF(E120&gt;0,"Lacunas não explicadas",IF(F120&gt;0,"Lacunas explicadas","Completo")))))</f>
        <v/>
      </c>
      <c r="H120" s="15" t="n"/>
      <c r="I120" s="15" t="n"/>
      <c r="J120" s="15" t="n"/>
      <c r="K120" s="16">
        <f>IF(H120="","",IF(D120&gt;0,"NÃO – há pendências",IF(AND(H120&lt;&gt;G120,H120&lt;&gt;"Não avaliável"),"NÃO – difere do automático: justificar em ata",IF(H120="Lacunas não explicadas",IF(I120=3,"Sim","NÃO – exige unanimidade"),IF(I120&gt;=2,"Sim","NÃO – sem maioria")))))</f>
        <v/>
      </c>
    </row>
    <row r="121">
      <c r="A121" s="15" t="n"/>
      <c r="B121" s="15" t="n"/>
      <c r="C121" s="16">
        <f>IF(A121="","",COUNTIFS(Completude!$F$2:$F$301,A121,Completude!$B$2:$B$301,B121))</f>
        <v/>
      </c>
      <c r="D121" s="16">
        <f>IF(A121="","",COUNTIFS(Completude!$F$2:$F$301,A121,Completude!$B$2:$B$301,B121,Completude!$M$2:$M$301,"Aguarda*")+COUNTIFS(Completude!$F$2:$F$301,A121,Completude!$B$2:$B$301,B121,Completude!$M$2:$M$301,"NÃO*"))</f>
        <v/>
      </c>
      <c r="E121" s="16">
        <f>IF(A121="","",COUNTIFS(Completude!$F$2:$F$301,A121,Completude!$B$2:$B$301,B121,Completude!$M$2:$M$301,"Lacuna não explicada"))</f>
        <v/>
      </c>
      <c r="F121" s="16">
        <f>IF(A121="","",COUNTIFS(Completude!$F$2:$F$301,A121,Completude!$B$2:$B$301,B121,Completude!$M$2:$M$301,"Lacuna explicada"))</f>
        <v/>
      </c>
      <c r="G121" s="16">
        <f>IF(A121="","",IF(C121=0,"Sem registros: confirme que o F5 rodou",IF(D121&gt;0,"Pendente de análise",IF(E121&gt;0,"Lacunas não explicadas",IF(F121&gt;0,"Lacunas explicadas","Completo")))))</f>
        <v/>
      </c>
      <c r="H121" s="15" t="n"/>
      <c r="I121" s="15" t="n"/>
      <c r="J121" s="15" t="n"/>
      <c r="K121" s="16">
        <f>IF(H121="","",IF(D121&gt;0,"NÃO – há pendências",IF(AND(H121&lt;&gt;G121,H121&lt;&gt;"Não avaliável"),"NÃO – difere do automático: justificar em ata",IF(H121="Lacunas não explicadas",IF(I121=3,"Sim","NÃO – exige unanimidade"),IF(I121&gt;=2,"Sim","NÃO – sem maioria")))))</f>
        <v/>
      </c>
    </row>
    <row r="122">
      <c r="A122" s="15" t="n"/>
      <c r="B122" s="15" t="n"/>
      <c r="C122" s="16">
        <f>IF(A122="","",COUNTIFS(Completude!$F$2:$F$301,A122,Completude!$B$2:$B$301,B122))</f>
        <v/>
      </c>
      <c r="D122" s="16">
        <f>IF(A122="","",COUNTIFS(Completude!$F$2:$F$301,A122,Completude!$B$2:$B$301,B122,Completude!$M$2:$M$301,"Aguarda*")+COUNTIFS(Completude!$F$2:$F$301,A122,Completude!$B$2:$B$301,B122,Completude!$M$2:$M$301,"NÃO*"))</f>
        <v/>
      </c>
      <c r="E122" s="16">
        <f>IF(A122="","",COUNTIFS(Completude!$F$2:$F$301,A122,Completude!$B$2:$B$301,B122,Completude!$M$2:$M$301,"Lacuna não explicada"))</f>
        <v/>
      </c>
      <c r="F122" s="16">
        <f>IF(A122="","",COUNTIFS(Completude!$F$2:$F$301,A122,Completude!$B$2:$B$301,B122,Completude!$M$2:$M$301,"Lacuna explicada"))</f>
        <v/>
      </c>
      <c r="G122" s="16">
        <f>IF(A122="","",IF(C122=0,"Sem registros: confirme que o F5 rodou",IF(D122&gt;0,"Pendente de análise",IF(E122&gt;0,"Lacunas não explicadas",IF(F122&gt;0,"Lacunas explicadas","Completo")))))</f>
        <v/>
      </c>
      <c r="H122" s="15" t="n"/>
      <c r="I122" s="15" t="n"/>
      <c r="J122" s="15" t="n"/>
      <c r="K122" s="16">
        <f>IF(H122="","",IF(D122&gt;0,"NÃO – há pendências",IF(AND(H122&lt;&gt;G122,H122&lt;&gt;"Não avaliável"),"NÃO – difere do automático: justificar em ata",IF(H122="Lacunas não explicadas",IF(I122=3,"Sim","NÃO – exige unanimidade"),IF(I122&gt;=2,"Sim","NÃO – sem maioria")))))</f>
        <v/>
      </c>
    </row>
    <row r="123">
      <c r="A123" s="15" t="n"/>
      <c r="B123" s="15" t="n"/>
      <c r="C123" s="16">
        <f>IF(A123="","",COUNTIFS(Completude!$F$2:$F$301,A123,Completude!$B$2:$B$301,B123))</f>
        <v/>
      </c>
      <c r="D123" s="16">
        <f>IF(A123="","",COUNTIFS(Completude!$F$2:$F$301,A123,Completude!$B$2:$B$301,B123,Completude!$M$2:$M$301,"Aguarda*")+COUNTIFS(Completude!$F$2:$F$301,A123,Completude!$B$2:$B$301,B123,Completude!$M$2:$M$301,"NÃO*"))</f>
        <v/>
      </c>
      <c r="E123" s="16">
        <f>IF(A123="","",COUNTIFS(Completude!$F$2:$F$301,A123,Completude!$B$2:$B$301,B123,Completude!$M$2:$M$301,"Lacuna não explicada"))</f>
        <v/>
      </c>
      <c r="F123" s="16">
        <f>IF(A123="","",COUNTIFS(Completude!$F$2:$F$301,A123,Completude!$B$2:$B$301,B123,Completude!$M$2:$M$301,"Lacuna explicada"))</f>
        <v/>
      </c>
      <c r="G123" s="16">
        <f>IF(A123="","",IF(C123=0,"Sem registros: confirme que o F5 rodou",IF(D123&gt;0,"Pendente de análise",IF(E123&gt;0,"Lacunas não explicadas",IF(F123&gt;0,"Lacunas explicadas","Completo")))))</f>
        <v/>
      </c>
      <c r="H123" s="15" t="n"/>
      <c r="I123" s="15" t="n"/>
      <c r="J123" s="15" t="n"/>
      <c r="K123" s="16">
        <f>IF(H123="","",IF(D123&gt;0,"NÃO – há pendências",IF(AND(H123&lt;&gt;G123,H123&lt;&gt;"Não avaliável"),"NÃO – difere do automático: justificar em ata",IF(H123="Lacunas não explicadas",IF(I123=3,"Sim","NÃO – exige unanimidade"),IF(I123&gt;=2,"Sim","NÃO – sem maioria")))))</f>
        <v/>
      </c>
    </row>
    <row r="124">
      <c r="A124" s="15" t="n"/>
      <c r="B124" s="15" t="n"/>
      <c r="C124" s="16">
        <f>IF(A124="","",COUNTIFS(Completude!$F$2:$F$301,A124,Completude!$B$2:$B$301,B124))</f>
        <v/>
      </c>
      <c r="D124" s="16">
        <f>IF(A124="","",COUNTIFS(Completude!$F$2:$F$301,A124,Completude!$B$2:$B$301,B124,Completude!$M$2:$M$301,"Aguarda*")+COUNTIFS(Completude!$F$2:$F$301,A124,Completude!$B$2:$B$301,B124,Completude!$M$2:$M$301,"NÃO*"))</f>
        <v/>
      </c>
      <c r="E124" s="16">
        <f>IF(A124="","",COUNTIFS(Completude!$F$2:$F$301,A124,Completude!$B$2:$B$301,B124,Completude!$M$2:$M$301,"Lacuna não explicada"))</f>
        <v/>
      </c>
      <c r="F124" s="16">
        <f>IF(A124="","",COUNTIFS(Completude!$F$2:$F$301,A124,Completude!$B$2:$B$301,B124,Completude!$M$2:$M$301,"Lacuna explicada"))</f>
        <v/>
      </c>
      <c r="G124" s="16">
        <f>IF(A124="","",IF(C124=0,"Sem registros: confirme que o F5 rodou",IF(D124&gt;0,"Pendente de análise",IF(E124&gt;0,"Lacunas não explicadas",IF(F124&gt;0,"Lacunas explicadas","Completo")))))</f>
        <v/>
      </c>
      <c r="H124" s="15" t="n"/>
      <c r="I124" s="15" t="n"/>
      <c r="J124" s="15" t="n"/>
      <c r="K124" s="16">
        <f>IF(H124="","",IF(D124&gt;0,"NÃO – há pendências",IF(AND(H124&lt;&gt;G124,H124&lt;&gt;"Não avaliável"),"NÃO – difere do automático: justificar em ata",IF(H124="Lacunas não explicadas",IF(I124=3,"Sim","NÃO – exige unanimidade"),IF(I124&gt;=2,"Sim","NÃO – sem maioria")))))</f>
        <v/>
      </c>
    </row>
    <row r="125">
      <c r="A125" s="15" t="n"/>
      <c r="B125" s="15" t="n"/>
      <c r="C125" s="16">
        <f>IF(A125="","",COUNTIFS(Completude!$F$2:$F$301,A125,Completude!$B$2:$B$301,B125))</f>
        <v/>
      </c>
      <c r="D125" s="16">
        <f>IF(A125="","",COUNTIFS(Completude!$F$2:$F$301,A125,Completude!$B$2:$B$301,B125,Completude!$M$2:$M$301,"Aguarda*")+COUNTIFS(Completude!$F$2:$F$301,A125,Completude!$B$2:$B$301,B125,Completude!$M$2:$M$301,"NÃO*"))</f>
        <v/>
      </c>
      <c r="E125" s="16">
        <f>IF(A125="","",COUNTIFS(Completude!$F$2:$F$301,A125,Completude!$B$2:$B$301,B125,Completude!$M$2:$M$301,"Lacuna não explicada"))</f>
        <v/>
      </c>
      <c r="F125" s="16">
        <f>IF(A125="","",COUNTIFS(Completude!$F$2:$F$301,A125,Completude!$B$2:$B$301,B125,Completude!$M$2:$M$301,"Lacuna explicada"))</f>
        <v/>
      </c>
      <c r="G125" s="16">
        <f>IF(A125="","",IF(C125=0,"Sem registros: confirme que o F5 rodou",IF(D125&gt;0,"Pendente de análise",IF(E125&gt;0,"Lacunas não explicadas",IF(F125&gt;0,"Lacunas explicadas","Completo")))))</f>
        <v/>
      </c>
      <c r="H125" s="15" t="n"/>
      <c r="I125" s="15" t="n"/>
      <c r="J125" s="15" t="n"/>
      <c r="K125" s="16">
        <f>IF(H125="","",IF(D125&gt;0,"NÃO – há pendências",IF(AND(H125&lt;&gt;G125,H125&lt;&gt;"Não avaliável"),"NÃO – difere do automático: justificar em ata",IF(H125="Lacunas não explicadas",IF(I125=3,"Sim","NÃO – exige unanimidade"),IF(I125&gt;=2,"Sim","NÃO – sem maioria")))))</f>
        <v/>
      </c>
    </row>
    <row r="126">
      <c r="A126" s="15" t="n"/>
      <c r="B126" s="15" t="n"/>
      <c r="C126" s="16">
        <f>IF(A126="","",COUNTIFS(Completude!$F$2:$F$301,A126,Completude!$B$2:$B$301,B126))</f>
        <v/>
      </c>
      <c r="D126" s="16">
        <f>IF(A126="","",COUNTIFS(Completude!$F$2:$F$301,A126,Completude!$B$2:$B$301,B126,Completude!$M$2:$M$301,"Aguarda*")+COUNTIFS(Completude!$F$2:$F$301,A126,Completude!$B$2:$B$301,B126,Completude!$M$2:$M$301,"NÃO*"))</f>
        <v/>
      </c>
      <c r="E126" s="16">
        <f>IF(A126="","",COUNTIFS(Completude!$F$2:$F$301,A126,Completude!$B$2:$B$301,B126,Completude!$M$2:$M$301,"Lacuna não explicada"))</f>
        <v/>
      </c>
      <c r="F126" s="16">
        <f>IF(A126="","",COUNTIFS(Completude!$F$2:$F$301,A126,Completude!$B$2:$B$301,B126,Completude!$M$2:$M$301,"Lacuna explicada"))</f>
        <v/>
      </c>
      <c r="G126" s="16">
        <f>IF(A126="","",IF(C126=0,"Sem registros: confirme que o F5 rodou",IF(D126&gt;0,"Pendente de análise",IF(E126&gt;0,"Lacunas não explicadas",IF(F126&gt;0,"Lacunas explicadas","Completo")))))</f>
        <v/>
      </c>
      <c r="H126" s="15" t="n"/>
      <c r="I126" s="15" t="n"/>
      <c r="J126" s="15" t="n"/>
      <c r="K126" s="16">
        <f>IF(H126="","",IF(D126&gt;0,"NÃO – há pendências",IF(AND(H126&lt;&gt;G126,H126&lt;&gt;"Não avaliável"),"NÃO – difere do automático: justificar em ata",IF(H126="Lacunas não explicadas",IF(I126=3,"Sim","NÃO – exige unanimidade"),IF(I126&gt;=2,"Sim","NÃO – sem maioria")))))</f>
        <v/>
      </c>
    </row>
    <row r="127">
      <c r="A127" s="15" t="n"/>
      <c r="B127" s="15" t="n"/>
      <c r="C127" s="16">
        <f>IF(A127="","",COUNTIFS(Completude!$F$2:$F$301,A127,Completude!$B$2:$B$301,B127))</f>
        <v/>
      </c>
      <c r="D127" s="16">
        <f>IF(A127="","",COUNTIFS(Completude!$F$2:$F$301,A127,Completude!$B$2:$B$301,B127,Completude!$M$2:$M$301,"Aguarda*")+COUNTIFS(Completude!$F$2:$F$301,A127,Completude!$B$2:$B$301,B127,Completude!$M$2:$M$301,"NÃO*"))</f>
        <v/>
      </c>
      <c r="E127" s="16">
        <f>IF(A127="","",COUNTIFS(Completude!$F$2:$F$301,A127,Completude!$B$2:$B$301,B127,Completude!$M$2:$M$301,"Lacuna não explicada"))</f>
        <v/>
      </c>
      <c r="F127" s="16">
        <f>IF(A127="","",COUNTIFS(Completude!$F$2:$F$301,A127,Completude!$B$2:$B$301,B127,Completude!$M$2:$M$301,"Lacuna explicada"))</f>
        <v/>
      </c>
      <c r="G127" s="16">
        <f>IF(A127="","",IF(C127=0,"Sem registros: confirme que o F5 rodou",IF(D127&gt;0,"Pendente de análise",IF(E127&gt;0,"Lacunas não explicadas",IF(F127&gt;0,"Lacunas explicadas","Completo")))))</f>
        <v/>
      </c>
      <c r="H127" s="15" t="n"/>
      <c r="I127" s="15" t="n"/>
      <c r="J127" s="15" t="n"/>
      <c r="K127" s="16">
        <f>IF(H127="","",IF(D127&gt;0,"NÃO – há pendências",IF(AND(H127&lt;&gt;G127,H127&lt;&gt;"Não avaliável"),"NÃO – difere do automático: justificar em ata",IF(H127="Lacunas não explicadas",IF(I127=3,"Sim","NÃO – exige unanimidade"),IF(I127&gt;=2,"Sim","NÃO – sem maioria")))))</f>
        <v/>
      </c>
    </row>
    <row r="128">
      <c r="A128" s="15" t="n"/>
      <c r="B128" s="15" t="n"/>
      <c r="C128" s="16">
        <f>IF(A128="","",COUNTIFS(Completude!$F$2:$F$301,A128,Completude!$B$2:$B$301,B128))</f>
        <v/>
      </c>
      <c r="D128" s="16">
        <f>IF(A128="","",COUNTIFS(Completude!$F$2:$F$301,A128,Completude!$B$2:$B$301,B128,Completude!$M$2:$M$301,"Aguarda*")+COUNTIFS(Completude!$F$2:$F$301,A128,Completude!$B$2:$B$301,B128,Completude!$M$2:$M$301,"NÃO*"))</f>
        <v/>
      </c>
      <c r="E128" s="16">
        <f>IF(A128="","",COUNTIFS(Completude!$F$2:$F$301,A128,Completude!$B$2:$B$301,B128,Completude!$M$2:$M$301,"Lacuna não explicada"))</f>
        <v/>
      </c>
      <c r="F128" s="16">
        <f>IF(A128="","",COUNTIFS(Completude!$F$2:$F$301,A128,Completude!$B$2:$B$301,B128,Completude!$M$2:$M$301,"Lacuna explicada"))</f>
        <v/>
      </c>
      <c r="G128" s="16">
        <f>IF(A128="","",IF(C128=0,"Sem registros: confirme que o F5 rodou",IF(D128&gt;0,"Pendente de análise",IF(E128&gt;0,"Lacunas não explicadas",IF(F128&gt;0,"Lacunas explicadas","Completo")))))</f>
        <v/>
      </c>
      <c r="H128" s="15" t="n"/>
      <c r="I128" s="15" t="n"/>
      <c r="J128" s="15" t="n"/>
      <c r="K128" s="16">
        <f>IF(H128="","",IF(D128&gt;0,"NÃO – há pendências",IF(AND(H128&lt;&gt;G128,H128&lt;&gt;"Não avaliável"),"NÃO – difere do automático: justificar em ata",IF(H128="Lacunas não explicadas",IF(I128=3,"Sim","NÃO – exige unanimidade"),IF(I128&gt;=2,"Sim","NÃO – sem maioria")))))</f>
        <v/>
      </c>
    </row>
    <row r="129">
      <c r="A129" s="15" t="n"/>
      <c r="B129" s="15" t="n"/>
      <c r="C129" s="16">
        <f>IF(A129="","",COUNTIFS(Completude!$F$2:$F$301,A129,Completude!$B$2:$B$301,B129))</f>
        <v/>
      </c>
      <c r="D129" s="16">
        <f>IF(A129="","",COUNTIFS(Completude!$F$2:$F$301,A129,Completude!$B$2:$B$301,B129,Completude!$M$2:$M$301,"Aguarda*")+COUNTIFS(Completude!$F$2:$F$301,A129,Completude!$B$2:$B$301,B129,Completude!$M$2:$M$301,"NÃO*"))</f>
        <v/>
      </c>
      <c r="E129" s="16">
        <f>IF(A129="","",COUNTIFS(Completude!$F$2:$F$301,A129,Completude!$B$2:$B$301,B129,Completude!$M$2:$M$301,"Lacuna não explicada"))</f>
        <v/>
      </c>
      <c r="F129" s="16">
        <f>IF(A129="","",COUNTIFS(Completude!$F$2:$F$301,A129,Completude!$B$2:$B$301,B129,Completude!$M$2:$M$301,"Lacuna explicada"))</f>
        <v/>
      </c>
      <c r="G129" s="16">
        <f>IF(A129="","",IF(C129=0,"Sem registros: confirme que o F5 rodou",IF(D129&gt;0,"Pendente de análise",IF(E129&gt;0,"Lacunas não explicadas",IF(F129&gt;0,"Lacunas explicadas","Completo")))))</f>
        <v/>
      </c>
      <c r="H129" s="15" t="n"/>
      <c r="I129" s="15" t="n"/>
      <c r="J129" s="15" t="n"/>
      <c r="K129" s="16">
        <f>IF(H129="","",IF(D129&gt;0,"NÃO – há pendências",IF(AND(H129&lt;&gt;G129,H129&lt;&gt;"Não avaliável"),"NÃO – difere do automático: justificar em ata",IF(H129="Lacunas não explicadas",IF(I129=3,"Sim","NÃO – exige unanimidade"),IF(I129&gt;=2,"Sim","NÃO – sem maioria")))))</f>
        <v/>
      </c>
    </row>
    <row r="130">
      <c r="A130" s="15" t="n"/>
      <c r="B130" s="15" t="n"/>
      <c r="C130" s="16">
        <f>IF(A130="","",COUNTIFS(Completude!$F$2:$F$301,A130,Completude!$B$2:$B$301,B130))</f>
        <v/>
      </c>
      <c r="D130" s="16">
        <f>IF(A130="","",COUNTIFS(Completude!$F$2:$F$301,A130,Completude!$B$2:$B$301,B130,Completude!$M$2:$M$301,"Aguarda*")+COUNTIFS(Completude!$F$2:$F$301,A130,Completude!$B$2:$B$301,B130,Completude!$M$2:$M$301,"NÃO*"))</f>
        <v/>
      </c>
      <c r="E130" s="16">
        <f>IF(A130="","",COUNTIFS(Completude!$F$2:$F$301,A130,Completude!$B$2:$B$301,B130,Completude!$M$2:$M$301,"Lacuna não explicada"))</f>
        <v/>
      </c>
      <c r="F130" s="16">
        <f>IF(A130="","",COUNTIFS(Completude!$F$2:$F$301,A130,Completude!$B$2:$B$301,B130,Completude!$M$2:$M$301,"Lacuna explicada"))</f>
        <v/>
      </c>
      <c r="G130" s="16">
        <f>IF(A130="","",IF(C130=0,"Sem registros: confirme que o F5 rodou",IF(D130&gt;0,"Pendente de análise",IF(E130&gt;0,"Lacunas não explicadas",IF(F130&gt;0,"Lacunas explicadas","Completo")))))</f>
        <v/>
      </c>
      <c r="H130" s="15" t="n"/>
      <c r="I130" s="15" t="n"/>
      <c r="J130" s="15" t="n"/>
      <c r="K130" s="16">
        <f>IF(H130="","",IF(D130&gt;0,"NÃO – há pendências",IF(AND(H130&lt;&gt;G130,H130&lt;&gt;"Não avaliável"),"NÃO – difere do automático: justificar em ata",IF(H130="Lacunas não explicadas",IF(I130=3,"Sim","NÃO – exige unanimidade"),IF(I130&gt;=2,"Sim","NÃO – sem maioria")))))</f>
        <v/>
      </c>
    </row>
    <row r="131">
      <c r="A131" s="15" t="n"/>
      <c r="B131" s="15" t="n"/>
      <c r="C131" s="16">
        <f>IF(A131="","",COUNTIFS(Completude!$F$2:$F$301,A131,Completude!$B$2:$B$301,B131))</f>
        <v/>
      </c>
      <c r="D131" s="16">
        <f>IF(A131="","",COUNTIFS(Completude!$F$2:$F$301,A131,Completude!$B$2:$B$301,B131,Completude!$M$2:$M$301,"Aguarda*")+COUNTIFS(Completude!$F$2:$F$301,A131,Completude!$B$2:$B$301,B131,Completude!$M$2:$M$301,"NÃO*"))</f>
        <v/>
      </c>
      <c r="E131" s="16">
        <f>IF(A131="","",COUNTIFS(Completude!$F$2:$F$301,A131,Completude!$B$2:$B$301,B131,Completude!$M$2:$M$301,"Lacuna não explicada"))</f>
        <v/>
      </c>
      <c r="F131" s="16">
        <f>IF(A131="","",COUNTIFS(Completude!$F$2:$F$301,A131,Completude!$B$2:$B$301,B131,Completude!$M$2:$M$301,"Lacuna explicada"))</f>
        <v/>
      </c>
      <c r="G131" s="16">
        <f>IF(A131="","",IF(C131=0,"Sem registros: confirme que o F5 rodou",IF(D131&gt;0,"Pendente de análise",IF(E131&gt;0,"Lacunas não explicadas",IF(F131&gt;0,"Lacunas explicadas","Completo")))))</f>
        <v/>
      </c>
      <c r="H131" s="15" t="n"/>
      <c r="I131" s="15" t="n"/>
      <c r="J131" s="15" t="n"/>
      <c r="K131" s="16">
        <f>IF(H131="","",IF(D131&gt;0,"NÃO – há pendências",IF(AND(H131&lt;&gt;G131,H131&lt;&gt;"Não avaliável"),"NÃO – difere do automático: justificar em ata",IF(H131="Lacunas não explicadas",IF(I131=3,"Sim","NÃO – exige unanimidade"),IF(I131&gt;=2,"Sim","NÃO – sem maioria")))))</f>
        <v/>
      </c>
    </row>
    <row r="132">
      <c r="A132" s="15" t="n"/>
      <c r="B132" s="15" t="n"/>
      <c r="C132" s="16">
        <f>IF(A132="","",COUNTIFS(Completude!$F$2:$F$301,A132,Completude!$B$2:$B$301,B132))</f>
        <v/>
      </c>
      <c r="D132" s="16">
        <f>IF(A132="","",COUNTIFS(Completude!$F$2:$F$301,A132,Completude!$B$2:$B$301,B132,Completude!$M$2:$M$301,"Aguarda*")+COUNTIFS(Completude!$F$2:$F$301,A132,Completude!$B$2:$B$301,B132,Completude!$M$2:$M$301,"NÃO*"))</f>
        <v/>
      </c>
      <c r="E132" s="16">
        <f>IF(A132="","",COUNTIFS(Completude!$F$2:$F$301,A132,Completude!$B$2:$B$301,B132,Completude!$M$2:$M$301,"Lacuna não explicada"))</f>
        <v/>
      </c>
      <c r="F132" s="16">
        <f>IF(A132="","",COUNTIFS(Completude!$F$2:$F$301,A132,Completude!$B$2:$B$301,B132,Completude!$M$2:$M$301,"Lacuna explicada"))</f>
        <v/>
      </c>
      <c r="G132" s="16">
        <f>IF(A132="","",IF(C132=0,"Sem registros: confirme que o F5 rodou",IF(D132&gt;0,"Pendente de análise",IF(E132&gt;0,"Lacunas não explicadas",IF(F132&gt;0,"Lacunas explicadas","Completo")))))</f>
        <v/>
      </c>
      <c r="H132" s="15" t="n"/>
      <c r="I132" s="15" t="n"/>
      <c r="J132" s="15" t="n"/>
      <c r="K132" s="16">
        <f>IF(H132="","",IF(D132&gt;0,"NÃO – há pendências",IF(AND(H132&lt;&gt;G132,H132&lt;&gt;"Não avaliável"),"NÃO – difere do automático: justificar em ata",IF(H132="Lacunas não explicadas",IF(I132=3,"Sim","NÃO – exige unanimidade"),IF(I132&gt;=2,"Sim","NÃO – sem maioria")))))</f>
        <v/>
      </c>
    </row>
    <row r="133">
      <c r="A133" s="15" t="n"/>
      <c r="B133" s="15" t="n"/>
      <c r="C133" s="16">
        <f>IF(A133="","",COUNTIFS(Completude!$F$2:$F$301,A133,Completude!$B$2:$B$301,B133))</f>
        <v/>
      </c>
      <c r="D133" s="16">
        <f>IF(A133="","",COUNTIFS(Completude!$F$2:$F$301,A133,Completude!$B$2:$B$301,B133,Completude!$M$2:$M$301,"Aguarda*")+COUNTIFS(Completude!$F$2:$F$301,A133,Completude!$B$2:$B$301,B133,Completude!$M$2:$M$301,"NÃO*"))</f>
        <v/>
      </c>
      <c r="E133" s="16">
        <f>IF(A133="","",COUNTIFS(Completude!$F$2:$F$301,A133,Completude!$B$2:$B$301,B133,Completude!$M$2:$M$301,"Lacuna não explicada"))</f>
        <v/>
      </c>
      <c r="F133" s="16">
        <f>IF(A133="","",COUNTIFS(Completude!$F$2:$F$301,A133,Completude!$B$2:$B$301,B133,Completude!$M$2:$M$301,"Lacuna explicada"))</f>
        <v/>
      </c>
      <c r="G133" s="16">
        <f>IF(A133="","",IF(C133=0,"Sem registros: confirme que o F5 rodou",IF(D133&gt;0,"Pendente de análise",IF(E133&gt;0,"Lacunas não explicadas",IF(F133&gt;0,"Lacunas explicadas","Completo")))))</f>
        <v/>
      </c>
      <c r="H133" s="15" t="n"/>
      <c r="I133" s="15" t="n"/>
      <c r="J133" s="15" t="n"/>
      <c r="K133" s="16">
        <f>IF(H133="","",IF(D133&gt;0,"NÃO – há pendências",IF(AND(H133&lt;&gt;G133,H133&lt;&gt;"Não avaliável"),"NÃO – difere do automático: justificar em ata",IF(H133="Lacunas não explicadas",IF(I133=3,"Sim","NÃO – exige unanimidade"),IF(I133&gt;=2,"Sim","NÃO – sem maioria")))))</f>
        <v/>
      </c>
    </row>
    <row r="134">
      <c r="A134" s="15" t="n"/>
      <c r="B134" s="15" t="n"/>
      <c r="C134" s="16">
        <f>IF(A134="","",COUNTIFS(Completude!$F$2:$F$301,A134,Completude!$B$2:$B$301,B134))</f>
        <v/>
      </c>
      <c r="D134" s="16">
        <f>IF(A134="","",COUNTIFS(Completude!$F$2:$F$301,A134,Completude!$B$2:$B$301,B134,Completude!$M$2:$M$301,"Aguarda*")+COUNTIFS(Completude!$F$2:$F$301,A134,Completude!$B$2:$B$301,B134,Completude!$M$2:$M$301,"NÃO*"))</f>
        <v/>
      </c>
      <c r="E134" s="16">
        <f>IF(A134="","",COUNTIFS(Completude!$F$2:$F$301,A134,Completude!$B$2:$B$301,B134,Completude!$M$2:$M$301,"Lacuna não explicada"))</f>
        <v/>
      </c>
      <c r="F134" s="16">
        <f>IF(A134="","",COUNTIFS(Completude!$F$2:$F$301,A134,Completude!$B$2:$B$301,B134,Completude!$M$2:$M$301,"Lacuna explicada"))</f>
        <v/>
      </c>
      <c r="G134" s="16">
        <f>IF(A134="","",IF(C134=0,"Sem registros: confirme que o F5 rodou",IF(D134&gt;0,"Pendente de análise",IF(E134&gt;0,"Lacunas não explicadas",IF(F134&gt;0,"Lacunas explicadas","Completo")))))</f>
        <v/>
      </c>
      <c r="H134" s="15" t="n"/>
      <c r="I134" s="15" t="n"/>
      <c r="J134" s="15" t="n"/>
      <c r="K134" s="16">
        <f>IF(H134="","",IF(D134&gt;0,"NÃO – há pendências",IF(AND(H134&lt;&gt;G134,H134&lt;&gt;"Não avaliável"),"NÃO – difere do automático: justificar em ata",IF(H134="Lacunas não explicadas",IF(I134=3,"Sim","NÃO – exige unanimidade"),IF(I134&gt;=2,"Sim","NÃO – sem maioria")))))</f>
        <v/>
      </c>
    </row>
    <row r="135">
      <c r="A135" s="15" t="n"/>
      <c r="B135" s="15" t="n"/>
      <c r="C135" s="16">
        <f>IF(A135="","",COUNTIFS(Completude!$F$2:$F$301,A135,Completude!$B$2:$B$301,B135))</f>
        <v/>
      </c>
      <c r="D135" s="16">
        <f>IF(A135="","",COUNTIFS(Completude!$F$2:$F$301,A135,Completude!$B$2:$B$301,B135,Completude!$M$2:$M$301,"Aguarda*")+COUNTIFS(Completude!$F$2:$F$301,A135,Completude!$B$2:$B$301,B135,Completude!$M$2:$M$301,"NÃO*"))</f>
        <v/>
      </c>
      <c r="E135" s="16">
        <f>IF(A135="","",COUNTIFS(Completude!$F$2:$F$301,A135,Completude!$B$2:$B$301,B135,Completude!$M$2:$M$301,"Lacuna não explicada"))</f>
        <v/>
      </c>
      <c r="F135" s="16">
        <f>IF(A135="","",COUNTIFS(Completude!$F$2:$F$301,A135,Completude!$B$2:$B$301,B135,Completude!$M$2:$M$301,"Lacuna explicada"))</f>
        <v/>
      </c>
      <c r="G135" s="16">
        <f>IF(A135="","",IF(C135=0,"Sem registros: confirme que o F5 rodou",IF(D135&gt;0,"Pendente de análise",IF(E135&gt;0,"Lacunas não explicadas",IF(F135&gt;0,"Lacunas explicadas","Completo")))))</f>
        <v/>
      </c>
      <c r="H135" s="15" t="n"/>
      <c r="I135" s="15" t="n"/>
      <c r="J135" s="15" t="n"/>
      <c r="K135" s="16">
        <f>IF(H135="","",IF(D135&gt;0,"NÃO – há pendências",IF(AND(H135&lt;&gt;G135,H135&lt;&gt;"Não avaliável"),"NÃO – difere do automático: justificar em ata",IF(H135="Lacunas não explicadas",IF(I135=3,"Sim","NÃO – exige unanimidade"),IF(I135&gt;=2,"Sim","NÃO – sem maioria")))))</f>
        <v/>
      </c>
    </row>
    <row r="136">
      <c r="A136" s="15" t="n"/>
      <c r="B136" s="15" t="n"/>
      <c r="C136" s="16">
        <f>IF(A136="","",COUNTIFS(Completude!$F$2:$F$301,A136,Completude!$B$2:$B$301,B136))</f>
        <v/>
      </c>
      <c r="D136" s="16">
        <f>IF(A136="","",COUNTIFS(Completude!$F$2:$F$301,A136,Completude!$B$2:$B$301,B136,Completude!$M$2:$M$301,"Aguarda*")+COUNTIFS(Completude!$F$2:$F$301,A136,Completude!$B$2:$B$301,B136,Completude!$M$2:$M$301,"NÃO*"))</f>
        <v/>
      </c>
      <c r="E136" s="16">
        <f>IF(A136="","",COUNTIFS(Completude!$F$2:$F$301,A136,Completude!$B$2:$B$301,B136,Completude!$M$2:$M$301,"Lacuna não explicada"))</f>
        <v/>
      </c>
      <c r="F136" s="16">
        <f>IF(A136="","",COUNTIFS(Completude!$F$2:$F$301,A136,Completude!$B$2:$B$301,B136,Completude!$M$2:$M$301,"Lacuna explicada"))</f>
        <v/>
      </c>
      <c r="G136" s="16">
        <f>IF(A136="","",IF(C136=0,"Sem registros: confirme que o F5 rodou",IF(D136&gt;0,"Pendente de análise",IF(E136&gt;0,"Lacunas não explicadas",IF(F136&gt;0,"Lacunas explicadas","Completo")))))</f>
        <v/>
      </c>
      <c r="H136" s="15" t="n"/>
      <c r="I136" s="15" t="n"/>
      <c r="J136" s="15" t="n"/>
      <c r="K136" s="16">
        <f>IF(H136="","",IF(D136&gt;0,"NÃO – há pendências",IF(AND(H136&lt;&gt;G136,H136&lt;&gt;"Não avaliável"),"NÃO – difere do automático: justificar em ata",IF(H136="Lacunas não explicadas",IF(I136=3,"Sim","NÃO – exige unanimidade"),IF(I136&gt;=2,"Sim","NÃO – sem maioria")))))</f>
        <v/>
      </c>
    </row>
    <row r="137">
      <c r="A137" s="15" t="n"/>
      <c r="B137" s="15" t="n"/>
      <c r="C137" s="16">
        <f>IF(A137="","",COUNTIFS(Completude!$F$2:$F$301,A137,Completude!$B$2:$B$301,B137))</f>
        <v/>
      </c>
      <c r="D137" s="16">
        <f>IF(A137="","",COUNTIFS(Completude!$F$2:$F$301,A137,Completude!$B$2:$B$301,B137,Completude!$M$2:$M$301,"Aguarda*")+COUNTIFS(Completude!$F$2:$F$301,A137,Completude!$B$2:$B$301,B137,Completude!$M$2:$M$301,"NÃO*"))</f>
        <v/>
      </c>
      <c r="E137" s="16">
        <f>IF(A137="","",COUNTIFS(Completude!$F$2:$F$301,A137,Completude!$B$2:$B$301,B137,Completude!$M$2:$M$301,"Lacuna não explicada"))</f>
        <v/>
      </c>
      <c r="F137" s="16">
        <f>IF(A137="","",COUNTIFS(Completude!$F$2:$F$301,A137,Completude!$B$2:$B$301,B137,Completude!$M$2:$M$301,"Lacuna explicada"))</f>
        <v/>
      </c>
      <c r="G137" s="16">
        <f>IF(A137="","",IF(C137=0,"Sem registros: confirme que o F5 rodou",IF(D137&gt;0,"Pendente de análise",IF(E137&gt;0,"Lacunas não explicadas",IF(F137&gt;0,"Lacunas explicadas","Completo")))))</f>
        <v/>
      </c>
      <c r="H137" s="15" t="n"/>
      <c r="I137" s="15" t="n"/>
      <c r="J137" s="15" t="n"/>
      <c r="K137" s="16">
        <f>IF(H137="","",IF(D137&gt;0,"NÃO – há pendências",IF(AND(H137&lt;&gt;G137,H137&lt;&gt;"Não avaliável"),"NÃO – difere do automático: justificar em ata",IF(H137="Lacunas não explicadas",IF(I137=3,"Sim","NÃO – exige unanimidade"),IF(I137&gt;=2,"Sim","NÃO – sem maioria")))))</f>
        <v/>
      </c>
    </row>
    <row r="138">
      <c r="A138" s="15" t="n"/>
      <c r="B138" s="15" t="n"/>
      <c r="C138" s="16">
        <f>IF(A138="","",COUNTIFS(Completude!$F$2:$F$301,A138,Completude!$B$2:$B$301,B138))</f>
        <v/>
      </c>
      <c r="D138" s="16">
        <f>IF(A138="","",COUNTIFS(Completude!$F$2:$F$301,A138,Completude!$B$2:$B$301,B138,Completude!$M$2:$M$301,"Aguarda*")+COUNTIFS(Completude!$F$2:$F$301,A138,Completude!$B$2:$B$301,B138,Completude!$M$2:$M$301,"NÃO*"))</f>
        <v/>
      </c>
      <c r="E138" s="16">
        <f>IF(A138="","",COUNTIFS(Completude!$F$2:$F$301,A138,Completude!$B$2:$B$301,B138,Completude!$M$2:$M$301,"Lacuna não explicada"))</f>
        <v/>
      </c>
      <c r="F138" s="16">
        <f>IF(A138="","",COUNTIFS(Completude!$F$2:$F$301,A138,Completude!$B$2:$B$301,B138,Completude!$M$2:$M$301,"Lacuna explicada"))</f>
        <v/>
      </c>
      <c r="G138" s="16">
        <f>IF(A138="","",IF(C138=0,"Sem registros: confirme que o F5 rodou",IF(D138&gt;0,"Pendente de análise",IF(E138&gt;0,"Lacunas não explicadas",IF(F138&gt;0,"Lacunas explicadas","Completo")))))</f>
        <v/>
      </c>
      <c r="H138" s="15" t="n"/>
      <c r="I138" s="15" t="n"/>
      <c r="J138" s="15" t="n"/>
      <c r="K138" s="16">
        <f>IF(H138="","",IF(D138&gt;0,"NÃO – há pendências",IF(AND(H138&lt;&gt;G138,H138&lt;&gt;"Não avaliável"),"NÃO – difere do automático: justificar em ata",IF(H138="Lacunas não explicadas",IF(I138=3,"Sim","NÃO – exige unanimidade"),IF(I138&gt;=2,"Sim","NÃO – sem maioria")))))</f>
        <v/>
      </c>
    </row>
    <row r="139">
      <c r="A139" s="15" t="n"/>
      <c r="B139" s="15" t="n"/>
      <c r="C139" s="16">
        <f>IF(A139="","",COUNTIFS(Completude!$F$2:$F$301,A139,Completude!$B$2:$B$301,B139))</f>
        <v/>
      </c>
      <c r="D139" s="16">
        <f>IF(A139="","",COUNTIFS(Completude!$F$2:$F$301,A139,Completude!$B$2:$B$301,B139,Completude!$M$2:$M$301,"Aguarda*")+COUNTIFS(Completude!$F$2:$F$301,A139,Completude!$B$2:$B$301,B139,Completude!$M$2:$M$301,"NÃO*"))</f>
        <v/>
      </c>
      <c r="E139" s="16">
        <f>IF(A139="","",COUNTIFS(Completude!$F$2:$F$301,A139,Completude!$B$2:$B$301,B139,Completude!$M$2:$M$301,"Lacuna não explicada"))</f>
        <v/>
      </c>
      <c r="F139" s="16">
        <f>IF(A139="","",COUNTIFS(Completude!$F$2:$F$301,A139,Completude!$B$2:$B$301,B139,Completude!$M$2:$M$301,"Lacuna explicada"))</f>
        <v/>
      </c>
      <c r="G139" s="16">
        <f>IF(A139="","",IF(C139=0,"Sem registros: confirme que o F5 rodou",IF(D139&gt;0,"Pendente de análise",IF(E139&gt;0,"Lacunas não explicadas",IF(F139&gt;0,"Lacunas explicadas","Completo")))))</f>
        <v/>
      </c>
      <c r="H139" s="15" t="n"/>
      <c r="I139" s="15" t="n"/>
      <c r="J139" s="15" t="n"/>
      <c r="K139" s="16">
        <f>IF(H139="","",IF(D139&gt;0,"NÃO – há pendências",IF(AND(H139&lt;&gt;G139,H139&lt;&gt;"Não avaliável"),"NÃO – difere do automático: justificar em ata",IF(H139="Lacunas não explicadas",IF(I139=3,"Sim","NÃO – exige unanimidade"),IF(I139&gt;=2,"Sim","NÃO – sem maioria")))))</f>
        <v/>
      </c>
    </row>
    <row r="140">
      <c r="A140" s="15" t="n"/>
      <c r="B140" s="15" t="n"/>
      <c r="C140" s="16">
        <f>IF(A140="","",COUNTIFS(Completude!$F$2:$F$301,A140,Completude!$B$2:$B$301,B140))</f>
        <v/>
      </c>
      <c r="D140" s="16">
        <f>IF(A140="","",COUNTIFS(Completude!$F$2:$F$301,A140,Completude!$B$2:$B$301,B140,Completude!$M$2:$M$301,"Aguarda*")+COUNTIFS(Completude!$F$2:$F$301,A140,Completude!$B$2:$B$301,B140,Completude!$M$2:$M$301,"NÃO*"))</f>
        <v/>
      </c>
      <c r="E140" s="16">
        <f>IF(A140="","",COUNTIFS(Completude!$F$2:$F$301,A140,Completude!$B$2:$B$301,B140,Completude!$M$2:$M$301,"Lacuna não explicada"))</f>
        <v/>
      </c>
      <c r="F140" s="16">
        <f>IF(A140="","",COUNTIFS(Completude!$F$2:$F$301,A140,Completude!$B$2:$B$301,B140,Completude!$M$2:$M$301,"Lacuna explicada"))</f>
        <v/>
      </c>
      <c r="G140" s="16">
        <f>IF(A140="","",IF(C140=0,"Sem registros: confirme que o F5 rodou",IF(D140&gt;0,"Pendente de análise",IF(E140&gt;0,"Lacunas não explicadas",IF(F140&gt;0,"Lacunas explicadas","Completo")))))</f>
        <v/>
      </c>
      <c r="H140" s="15" t="n"/>
      <c r="I140" s="15" t="n"/>
      <c r="J140" s="15" t="n"/>
      <c r="K140" s="16">
        <f>IF(H140="","",IF(D140&gt;0,"NÃO – há pendências",IF(AND(H140&lt;&gt;G140,H140&lt;&gt;"Não avaliável"),"NÃO – difere do automático: justificar em ata",IF(H140="Lacunas não explicadas",IF(I140=3,"Sim","NÃO – exige unanimidade"),IF(I140&gt;=2,"Sim","NÃO – sem maioria")))))</f>
        <v/>
      </c>
    </row>
    <row r="141">
      <c r="A141" s="15" t="n"/>
      <c r="B141" s="15" t="n"/>
      <c r="C141" s="16">
        <f>IF(A141="","",COUNTIFS(Completude!$F$2:$F$301,A141,Completude!$B$2:$B$301,B141))</f>
        <v/>
      </c>
      <c r="D141" s="16">
        <f>IF(A141="","",COUNTIFS(Completude!$F$2:$F$301,A141,Completude!$B$2:$B$301,B141,Completude!$M$2:$M$301,"Aguarda*")+COUNTIFS(Completude!$F$2:$F$301,A141,Completude!$B$2:$B$301,B141,Completude!$M$2:$M$301,"NÃO*"))</f>
        <v/>
      </c>
      <c r="E141" s="16">
        <f>IF(A141="","",COUNTIFS(Completude!$F$2:$F$301,A141,Completude!$B$2:$B$301,B141,Completude!$M$2:$M$301,"Lacuna não explicada"))</f>
        <v/>
      </c>
      <c r="F141" s="16">
        <f>IF(A141="","",COUNTIFS(Completude!$F$2:$F$301,A141,Completude!$B$2:$B$301,B141,Completude!$M$2:$M$301,"Lacuna explicada"))</f>
        <v/>
      </c>
      <c r="G141" s="16">
        <f>IF(A141="","",IF(C141=0,"Sem registros: confirme que o F5 rodou",IF(D141&gt;0,"Pendente de análise",IF(E141&gt;0,"Lacunas não explicadas",IF(F141&gt;0,"Lacunas explicadas","Completo")))))</f>
        <v/>
      </c>
      <c r="H141" s="15" t="n"/>
      <c r="I141" s="15" t="n"/>
      <c r="J141" s="15" t="n"/>
      <c r="K141" s="16">
        <f>IF(H141="","",IF(D141&gt;0,"NÃO – há pendências",IF(AND(H141&lt;&gt;G141,H141&lt;&gt;"Não avaliável"),"NÃO – difere do automático: justificar em ata",IF(H141="Lacunas não explicadas",IF(I141=3,"Sim","NÃO – exige unanimidade"),IF(I141&gt;=2,"Sim","NÃO – sem maioria")))))</f>
        <v/>
      </c>
    </row>
    <row r="142">
      <c r="A142" s="15" t="n"/>
      <c r="B142" s="15" t="n"/>
      <c r="C142" s="16">
        <f>IF(A142="","",COUNTIFS(Completude!$F$2:$F$301,A142,Completude!$B$2:$B$301,B142))</f>
        <v/>
      </c>
      <c r="D142" s="16">
        <f>IF(A142="","",COUNTIFS(Completude!$F$2:$F$301,A142,Completude!$B$2:$B$301,B142,Completude!$M$2:$M$301,"Aguarda*")+COUNTIFS(Completude!$F$2:$F$301,A142,Completude!$B$2:$B$301,B142,Completude!$M$2:$M$301,"NÃO*"))</f>
        <v/>
      </c>
      <c r="E142" s="16">
        <f>IF(A142="","",COUNTIFS(Completude!$F$2:$F$301,A142,Completude!$B$2:$B$301,B142,Completude!$M$2:$M$301,"Lacuna não explicada"))</f>
        <v/>
      </c>
      <c r="F142" s="16">
        <f>IF(A142="","",COUNTIFS(Completude!$F$2:$F$301,A142,Completude!$B$2:$B$301,B142,Completude!$M$2:$M$301,"Lacuna explicada"))</f>
        <v/>
      </c>
      <c r="G142" s="16">
        <f>IF(A142="","",IF(C142=0,"Sem registros: confirme que o F5 rodou",IF(D142&gt;0,"Pendente de análise",IF(E142&gt;0,"Lacunas não explicadas",IF(F142&gt;0,"Lacunas explicadas","Completo")))))</f>
        <v/>
      </c>
      <c r="H142" s="15" t="n"/>
      <c r="I142" s="15" t="n"/>
      <c r="J142" s="15" t="n"/>
      <c r="K142" s="16">
        <f>IF(H142="","",IF(D142&gt;0,"NÃO – há pendências",IF(AND(H142&lt;&gt;G142,H142&lt;&gt;"Não avaliável"),"NÃO – difere do automático: justificar em ata",IF(H142="Lacunas não explicadas",IF(I142=3,"Sim","NÃO – exige unanimidade"),IF(I142&gt;=2,"Sim","NÃO – sem maioria")))))</f>
        <v/>
      </c>
    </row>
    <row r="143">
      <c r="A143" s="15" t="n"/>
      <c r="B143" s="15" t="n"/>
      <c r="C143" s="16">
        <f>IF(A143="","",COUNTIFS(Completude!$F$2:$F$301,A143,Completude!$B$2:$B$301,B143))</f>
        <v/>
      </c>
      <c r="D143" s="16">
        <f>IF(A143="","",COUNTIFS(Completude!$F$2:$F$301,A143,Completude!$B$2:$B$301,B143,Completude!$M$2:$M$301,"Aguarda*")+COUNTIFS(Completude!$F$2:$F$301,A143,Completude!$B$2:$B$301,B143,Completude!$M$2:$M$301,"NÃO*"))</f>
        <v/>
      </c>
      <c r="E143" s="16">
        <f>IF(A143="","",COUNTIFS(Completude!$F$2:$F$301,A143,Completude!$B$2:$B$301,B143,Completude!$M$2:$M$301,"Lacuna não explicada"))</f>
        <v/>
      </c>
      <c r="F143" s="16">
        <f>IF(A143="","",COUNTIFS(Completude!$F$2:$F$301,A143,Completude!$B$2:$B$301,B143,Completude!$M$2:$M$301,"Lacuna explicada"))</f>
        <v/>
      </c>
      <c r="G143" s="16">
        <f>IF(A143="","",IF(C143=0,"Sem registros: confirme que o F5 rodou",IF(D143&gt;0,"Pendente de análise",IF(E143&gt;0,"Lacunas não explicadas",IF(F143&gt;0,"Lacunas explicadas","Completo")))))</f>
        <v/>
      </c>
      <c r="H143" s="15" t="n"/>
      <c r="I143" s="15" t="n"/>
      <c r="J143" s="15" t="n"/>
      <c r="K143" s="16">
        <f>IF(H143="","",IF(D143&gt;0,"NÃO – há pendências",IF(AND(H143&lt;&gt;G143,H143&lt;&gt;"Não avaliável"),"NÃO – difere do automático: justificar em ata",IF(H143="Lacunas não explicadas",IF(I143=3,"Sim","NÃO – exige unanimidade"),IF(I143&gt;=2,"Sim","NÃO – sem maioria")))))</f>
        <v/>
      </c>
    </row>
    <row r="144">
      <c r="A144" s="15" t="n"/>
      <c r="B144" s="15" t="n"/>
      <c r="C144" s="16">
        <f>IF(A144="","",COUNTIFS(Completude!$F$2:$F$301,A144,Completude!$B$2:$B$301,B144))</f>
        <v/>
      </c>
      <c r="D144" s="16">
        <f>IF(A144="","",COUNTIFS(Completude!$F$2:$F$301,A144,Completude!$B$2:$B$301,B144,Completude!$M$2:$M$301,"Aguarda*")+COUNTIFS(Completude!$F$2:$F$301,A144,Completude!$B$2:$B$301,B144,Completude!$M$2:$M$301,"NÃO*"))</f>
        <v/>
      </c>
      <c r="E144" s="16">
        <f>IF(A144="","",COUNTIFS(Completude!$F$2:$F$301,A144,Completude!$B$2:$B$301,B144,Completude!$M$2:$M$301,"Lacuna não explicada"))</f>
        <v/>
      </c>
      <c r="F144" s="16">
        <f>IF(A144="","",COUNTIFS(Completude!$F$2:$F$301,A144,Completude!$B$2:$B$301,B144,Completude!$M$2:$M$301,"Lacuna explicada"))</f>
        <v/>
      </c>
      <c r="G144" s="16">
        <f>IF(A144="","",IF(C144=0,"Sem registros: confirme que o F5 rodou",IF(D144&gt;0,"Pendente de análise",IF(E144&gt;0,"Lacunas não explicadas",IF(F144&gt;0,"Lacunas explicadas","Completo")))))</f>
        <v/>
      </c>
      <c r="H144" s="15" t="n"/>
      <c r="I144" s="15" t="n"/>
      <c r="J144" s="15" t="n"/>
      <c r="K144" s="16">
        <f>IF(H144="","",IF(D144&gt;0,"NÃO – há pendências",IF(AND(H144&lt;&gt;G144,H144&lt;&gt;"Não avaliável"),"NÃO – difere do automático: justificar em ata",IF(H144="Lacunas não explicadas",IF(I144=3,"Sim","NÃO – exige unanimidade"),IF(I144&gt;=2,"Sim","NÃO – sem maioria")))))</f>
        <v/>
      </c>
    </row>
    <row r="145">
      <c r="A145" s="15" t="n"/>
      <c r="B145" s="15" t="n"/>
      <c r="C145" s="16">
        <f>IF(A145="","",COUNTIFS(Completude!$F$2:$F$301,A145,Completude!$B$2:$B$301,B145))</f>
        <v/>
      </c>
      <c r="D145" s="16">
        <f>IF(A145="","",COUNTIFS(Completude!$F$2:$F$301,A145,Completude!$B$2:$B$301,B145,Completude!$M$2:$M$301,"Aguarda*")+COUNTIFS(Completude!$F$2:$F$301,A145,Completude!$B$2:$B$301,B145,Completude!$M$2:$M$301,"NÃO*"))</f>
        <v/>
      </c>
      <c r="E145" s="16">
        <f>IF(A145="","",COUNTIFS(Completude!$F$2:$F$301,A145,Completude!$B$2:$B$301,B145,Completude!$M$2:$M$301,"Lacuna não explicada"))</f>
        <v/>
      </c>
      <c r="F145" s="16">
        <f>IF(A145="","",COUNTIFS(Completude!$F$2:$F$301,A145,Completude!$B$2:$B$301,B145,Completude!$M$2:$M$301,"Lacuna explicada"))</f>
        <v/>
      </c>
      <c r="G145" s="16">
        <f>IF(A145="","",IF(C145=0,"Sem registros: confirme que o F5 rodou",IF(D145&gt;0,"Pendente de análise",IF(E145&gt;0,"Lacunas não explicadas",IF(F145&gt;0,"Lacunas explicadas","Completo")))))</f>
        <v/>
      </c>
      <c r="H145" s="15" t="n"/>
      <c r="I145" s="15" t="n"/>
      <c r="J145" s="15" t="n"/>
      <c r="K145" s="16">
        <f>IF(H145="","",IF(D145&gt;0,"NÃO – há pendências",IF(AND(H145&lt;&gt;G145,H145&lt;&gt;"Não avaliável"),"NÃO – difere do automático: justificar em ata",IF(H145="Lacunas não explicadas",IF(I145=3,"Sim","NÃO – exige unanimidade"),IF(I145&gt;=2,"Sim","NÃO – sem maioria")))))</f>
        <v/>
      </c>
    </row>
    <row r="146">
      <c r="A146" s="15" t="n"/>
      <c r="B146" s="15" t="n"/>
      <c r="C146" s="16">
        <f>IF(A146="","",COUNTIFS(Completude!$F$2:$F$301,A146,Completude!$B$2:$B$301,B146))</f>
        <v/>
      </c>
      <c r="D146" s="16">
        <f>IF(A146="","",COUNTIFS(Completude!$F$2:$F$301,A146,Completude!$B$2:$B$301,B146,Completude!$M$2:$M$301,"Aguarda*")+COUNTIFS(Completude!$F$2:$F$301,A146,Completude!$B$2:$B$301,B146,Completude!$M$2:$M$301,"NÃO*"))</f>
        <v/>
      </c>
      <c r="E146" s="16">
        <f>IF(A146="","",COUNTIFS(Completude!$F$2:$F$301,A146,Completude!$B$2:$B$301,B146,Completude!$M$2:$M$301,"Lacuna não explicada"))</f>
        <v/>
      </c>
      <c r="F146" s="16">
        <f>IF(A146="","",COUNTIFS(Completude!$F$2:$F$301,A146,Completude!$B$2:$B$301,B146,Completude!$M$2:$M$301,"Lacuna explicada"))</f>
        <v/>
      </c>
      <c r="G146" s="16">
        <f>IF(A146="","",IF(C146=0,"Sem registros: confirme que o F5 rodou",IF(D146&gt;0,"Pendente de análise",IF(E146&gt;0,"Lacunas não explicadas",IF(F146&gt;0,"Lacunas explicadas","Completo")))))</f>
        <v/>
      </c>
      <c r="H146" s="15" t="n"/>
      <c r="I146" s="15" t="n"/>
      <c r="J146" s="15" t="n"/>
      <c r="K146" s="16">
        <f>IF(H146="","",IF(D146&gt;0,"NÃO – há pendências",IF(AND(H146&lt;&gt;G146,H146&lt;&gt;"Não avaliável"),"NÃO – difere do automático: justificar em ata",IF(H146="Lacunas não explicadas",IF(I146=3,"Sim","NÃO – exige unanimidade"),IF(I146&gt;=2,"Sim","NÃO – sem maioria")))))</f>
        <v/>
      </c>
    </row>
    <row r="147">
      <c r="A147" s="15" t="n"/>
      <c r="B147" s="15" t="n"/>
      <c r="C147" s="16">
        <f>IF(A147="","",COUNTIFS(Completude!$F$2:$F$301,A147,Completude!$B$2:$B$301,B147))</f>
        <v/>
      </c>
      <c r="D147" s="16">
        <f>IF(A147="","",COUNTIFS(Completude!$F$2:$F$301,A147,Completude!$B$2:$B$301,B147,Completude!$M$2:$M$301,"Aguarda*")+COUNTIFS(Completude!$F$2:$F$301,A147,Completude!$B$2:$B$301,B147,Completude!$M$2:$M$301,"NÃO*"))</f>
        <v/>
      </c>
      <c r="E147" s="16">
        <f>IF(A147="","",COUNTIFS(Completude!$F$2:$F$301,A147,Completude!$B$2:$B$301,B147,Completude!$M$2:$M$301,"Lacuna não explicada"))</f>
        <v/>
      </c>
      <c r="F147" s="16">
        <f>IF(A147="","",COUNTIFS(Completude!$F$2:$F$301,A147,Completude!$B$2:$B$301,B147,Completude!$M$2:$M$301,"Lacuna explicada"))</f>
        <v/>
      </c>
      <c r="G147" s="16">
        <f>IF(A147="","",IF(C147=0,"Sem registros: confirme que o F5 rodou",IF(D147&gt;0,"Pendente de análise",IF(E147&gt;0,"Lacunas não explicadas",IF(F147&gt;0,"Lacunas explicadas","Completo")))))</f>
        <v/>
      </c>
      <c r="H147" s="15" t="n"/>
      <c r="I147" s="15" t="n"/>
      <c r="J147" s="15" t="n"/>
      <c r="K147" s="16">
        <f>IF(H147="","",IF(D147&gt;0,"NÃO – há pendências",IF(AND(H147&lt;&gt;G147,H147&lt;&gt;"Não avaliável"),"NÃO – difere do automático: justificar em ata",IF(H147="Lacunas não explicadas",IF(I147=3,"Sim","NÃO – exige unanimidade"),IF(I147&gt;=2,"Sim","NÃO – sem maioria")))))</f>
        <v/>
      </c>
    </row>
    <row r="148">
      <c r="A148" s="15" t="n"/>
      <c r="B148" s="15" t="n"/>
      <c r="C148" s="16">
        <f>IF(A148="","",COUNTIFS(Completude!$F$2:$F$301,A148,Completude!$B$2:$B$301,B148))</f>
        <v/>
      </c>
      <c r="D148" s="16">
        <f>IF(A148="","",COUNTIFS(Completude!$F$2:$F$301,A148,Completude!$B$2:$B$301,B148,Completude!$M$2:$M$301,"Aguarda*")+COUNTIFS(Completude!$F$2:$F$301,A148,Completude!$B$2:$B$301,B148,Completude!$M$2:$M$301,"NÃO*"))</f>
        <v/>
      </c>
      <c r="E148" s="16">
        <f>IF(A148="","",COUNTIFS(Completude!$F$2:$F$301,A148,Completude!$B$2:$B$301,B148,Completude!$M$2:$M$301,"Lacuna não explicada"))</f>
        <v/>
      </c>
      <c r="F148" s="16">
        <f>IF(A148="","",COUNTIFS(Completude!$F$2:$F$301,A148,Completude!$B$2:$B$301,B148,Completude!$M$2:$M$301,"Lacuna explicada"))</f>
        <v/>
      </c>
      <c r="G148" s="16">
        <f>IF(A148="","",IF(C148=0,"Sem registros: confirme que o F5 rodou",IF(D148&gt;0,"Pendente de análise",IF(E148&gt;0,"Lacunas não explicadas",IF(F148&gt;0,"Lacunas explicadas","Completo")))))</f>
        <v/>
      </c>
      <c r="H148" s="15" t="n"/>
      <c r="I148" s="15" t="n"/>
      <c r="J148" s="15" t="n"/>
      <c r="K148" s="16">
        <f>IF(H148="","",IF(D148&gt;0,"NÃO – há pendências",IF(AND(H148&lt;&gt;G148,H148&lt;&gt;"Não avaliável"),"NÃO – difere do automático: justificar em ata",IF(H148="Lacunas não explicadas",IF(I148=3,"Sim","NÃO – exige unanimidade"),IF(I148&gt;=2,"Sim","NÃO – sem maioria")))))</f>
        <v/>
      </c>
    </row>
    <row r="149">
      <c r="A149" s="15" t="n"/>
      <c r="B149" s="15" t="n"/>
      <c r="C149" s="16">
        <f>IF(A149="","",COUNTIFS(Completude!$F$2:$F$301,A149,Completude!$B$2:$B$301,B149))</f>
        <v/>
      </c>
      <c r="D149" s="16">
        <f>IF(A149="","",COUNTIFS(Completude!$F$2:$F$301,A149,Completude!$B$2:$B$301,B149,Completude!$M$2:$M$301,"Aguarda*")+COUNTIFS(Completude!$F$2:$F$301,A149,Completude!$B$2:$B$301,B149,Completude!$M$2:$M$301,"NÃO*"))</f>
        <v/>
      </c>
      <c r="E149" s="16">
        <f>IF(A149="","",COUNTIFS(Completude!$F$2:$F$301,A149,Completude!$B$2:$B$301,B149,Completude!$M$2:$M$301,"Lacuna não explicada"))</f>
        <v/>
      </c>
      <c r="F149" s="16">
        <f>IF(A149="","",COUNTIFS(Completude!$F$2:$F$301,A149,Completude!$B$2:$B$301,B149,Completude!$M$2:$M$301,"Lacuna explicada"))</f>
        <v/>
      </c>
      <c r="G149" s="16">
        <f>IF(A149="","",IF(C149=0,"Sem registros: confirme que o F5 rodou",IF(D149&gt;0,"Pendente de análise",IF(E149&gt;0,"Lacunas não explicadas",IF(F149&gt;0,"Lacunas explicadas","Completo")))))</f>
        <v/>
      </c>
      <c r="H149" s="15" t="n"/>
      <c r="I149" s="15" t="n"/>
      <c r="J149" s="15" t="n"/>
      <c r="K149" s="16">
        <f>IF(H149="","",IF(D149&gt;0,"NÃO – há pendências",IF(AND(H149&lt;&gt;G149,H149&lt;&gt;"Não avaliável"),"NÃO – difere do automático: justificar em ata",IF(H149="Lacunas não explicadas",IF(I149=3,"Sim","NÃO – exige unanimidade"),IF(I149&gt;=2,"Sim","NÃO – sem maioria")))))</f>
        <v/>
      </c>
    </row>
    <row r="150">
      <c r="A150" s="15" t="n"/>
      <c r="B150" s="15" t="n"/>
      <c r="C150" s="16">
        <f>IF(A150="","",COUNTIFS(Completude!$F$2:$F$301,A150,Completude!$B$2:$B$301,B150))</f>
        <v/>
      </c>
      <c r="D150" s="16">
        <f>IF(A150="","",COUNTIFS(Completude!$F$2:$F$301,A150,Completude!$B$2:$B$301,B150,Completude!$M$2:$M$301,"Aguarda*")+COUNTIFS(Completude!$F$2:$F$301,A150,Completude!$B$2:$B$301,B150,Completude!$M$2:$M$301,"NÃO*"))</f>
        <v/>
      </c>
      <c r="E150" s="16">
        <f>IF(A150="","",COUNTIFS(Completude!$F$2:$F$301,A150,Completude!$B$2:$B$301,B150,Completude!$M$2:$M$301,"Lacuna não explicada"))</f>
        <v/>
      </c>
      <c r="F150" s="16">
        <f>IF(A150="","",COUNTIFS(Completude!$F$2:$F$301,A150,Completude!$B$2:$B$301,B150,Completude!$M$2:$M$301,"Lacuna explicada"))</f>
        <v/>
      </c>
      <c r="G150" s="16">
        <f>IF(A150="","",IF(C150=0,"Sem registros: confirme que o F5 rodou",IF(D150&gt;0,"Pendente de análise",IF(E150&gt;0,"Lacunas não explicadas",IF(F150&gt;0,"Lacunas explicadas","Completo")))))</f>
        <v/>
      </c>
      <c r="H150" s="15" t="n"/>
      <c r="I150" s="15" t="n"/>
      <c r="J150" s="15" t="n"/>
      <c r="K150" s="16">
        <f>IF(H150="","",IF(D150&gt;0,"NÃO – há pendências",IF(AND(H150&lt;&gt;G150,H150&lt;&gt;"Não avaliável"),"NÃO – difere do automático: justificar em ata",IF(H150="Lacunas não explicadas",IF(I150=3,"Sim","NÃO – exige unanimidade"),IF(I150&gt;=2,"Sim","NÃO – sem maioria")))))</f>
        <v/>
      </c>
    </row>
    <row r="151">
      <c r="A151" s="15" t="n"/>
      <c r="B151" s="15" t="n"/>
      <c r="C151" s="16">
        <f>IF(A151="","",COUNTIFS(Completude!$F$2:$F$301,A151,Completude!$B$2:$B$301,B151))</f>
        <v/>
      </c>
      <c r="D151" s="16">
        <f>IF(A151="","",COUNTIFS(Completude!$F$2:$F$301,A151,Completude!$B$2:$B$301,B151,Completude!$M$2:$M$301,"Aguarda*")+COUNTIFS(Completude!$F$2:$F$301,A151,Completude!$B$2:$B$301,B151,Completude!$M$2:$M$301,"NÃO*"))</f>
        <v/>
      </c>
      <c r="E151" s="16">
        <f>IF(A151="","",COUNTIFS(Completude!$F$2:$F$301,A151,Completude!$B$2:$B$301,B151,Completude!$M$2:$M$301,"Lacuna não explicada"))</f>
        <v/>
      </c>
      <c r="F151" s="16">
        <f>IF(A151="","",COUNTIFS(Completude!$F$2:$F$301,A151,Completude!$B$2:$B$301,B151,Completude!$M$2:$M$301,"Lacuna explicada"))</f>
        <v/>
      </c>
      <c r="G151" s="16">
        <f>IF(A151="","",IF(C151=0,"Sem registros: confirme que o F5 rodou",IF(D151&gt;0,"Pendente de análise",IF(E151&gt;0,"Lacunas não explicadas",IF(F151&gt;0,"Lacunas explicadas","Completo")))))</f>
        <v/>
      </c>
      <c r="H151" s="15" t="n"/>
      <c r="I151" s="15" t="n"/>
      <c r="J151" s="15" t="n"/>
      <c r="K151" s="16">
        <f>IF(H151="","",IF(D151&gt;0,"NÃO – há pendências",IF(AND(H151&lt;&gt;G151,H151&lt;&gt;"Não avaliável"),"NÃO – difere do automático: justificar em ata",IF(H151="Lacunas não explicadas",IF(I151=3,"Sim","NÃO – exige unanimidade"),IF(I151&gt;=2,"Sim","NÃO – sem maioria")))))</f>
        <v/>
      </c>
    </row>
    <row r="152">
      <c r="A152" s="15" t="n"/>
      <c r="B152" s="15" t="n"/>
      <c r="C152" s="16">
        <f>IF(A152="","",COUNTIFS(Completude!$F$2:$F$301,A152,Completude!$B$2:$B$301,B152))</f>
        <v/>
      </c>
      <c r="D152" s="16">
        <f>IF(A152="","",COUNTIFS(Completude!$F$2:$F$301,A152,Completude!$B$2:$B$301,B152,Completude!$M$2:$M$301,"Aguarda*")+COUNTIFS(Completude!$F$2:$F$301,A152,Completude!$B$2:$B$301,B152,Completude!$M$2:$M$301,"NÃO*"))</f>
        <v/>
      </c>
      <c r="E152" s="16">
        <f>IF(A152="","",COUNTIFS(Completude!$F$2:$F$301,A152,Completude!$B$2:$B$301,B152,Completude!$M$2:$M$301,"Lacuna não explicada"))</f>
        <v/>
      </c>
      <c r="F152" s="16">
        <f>IF(A152="","",COUNTIFS(Completude!$F$2:$F$301,A152,Completude!$B$2:$B$301,B152,Completude!$M$2:$M$301,"Lacuna explicada"))</f>
        <v/>
      </c>
      <c r="G152" s="16">
        <f>IF(A152="","",IF(C152=0,"Sem registros: confirme que o F5 rodou",IF(D152&gt;0,"Pendente de análise",IF(E152&gt;0,"Lacunas não explicadas",IF(F152&gt;0,"Lacunas explicadas","Completo")))))</f>
        <v/>
      </c>
      <c r="H152" s="15" t="n"/>
      <c r="I152" s="15" t="n"/>
      <c r="J152" s="15" t="n"/>
      <c r="K152" s="16">
        <f>IF(H152="","",IF(D152&gt;0,"NÃO – há pendências",IF(AND(H152&lt;&gt;G152,H152&lt;&gt;"Não avaliável"),"NÃO – difere do automático: justificar em ata",IF(H152="Lacunas não explicadas",IF(I152=3,"Sim","NÃO – exige unanimidade"),IF(I152&gt;=2,"Sim","NÃO – sem maioria")))))</f>
        <v/>
      </c>
    </row>
    <row r="153">
      <c r="A153" s="15" t="n"/>
      <c r="B153" s="15" t="n"/>
      <c r="C153" s="16">
        <f>IF(A153="","",COUNTIFS(Completude!$F$2:$F$301,A153,Completude!$B$2:$B$301,B153))</f>
        <v/>
      </c>
      <c r="D153" s="16">
        <f>IF(A153="","",COUNTIFS(Completude!$F$2:$F$301,A153,Completude!$B$2:$B$301,B153,Completude!$M$2:$M$301,"Aguarda*")+COUNTIFS(Completude!$F$2:$F$301,A153,Completude!$B$2:$B$301,B153,Completude!$M$2:$M$301,"NÃO*"))</f>
        <v/>
      </c>
      <c r="E153" s="16">
        <f>IF(A153="","",COUNTIFS(Completude!$F$2:$F$301,A153,Completude!$B$2:$B$301,B153,Completude!$M$2:$M$301,"Lacuna não explicada"))</f>
        <v/>
      </c>
      <c r="F153" s="16">
        <f>IF(A153="","",COUNTIFS(Completude!$F$2:$F$301,A153,Completude!$B$2:$B$301,B153,Completude!$M$2:$M$301,"Lacuna explicada"))</f>
        <v/>
      </c>
      <c r="G153" s="16">
        <f>IF(A153="","",IF(C153=0,"Sem registros: confirme que o F5 rodou",IF(D153&gt;0,"Pendente de análise",IF(E153&gt;0,"Lacunas não explicadas",IF(F153&gt;0,"Lacunas explicadas","Completo")))))</f>
        <v/>
      </c>
      <c r="H153" s="15" t="n"/>
      <c r="I153" s="15" t="n"/>
      <c r="J153" s="15" t="n"/>
      <c r="K153" s="16">
        <f>IF(H153="","",IF(D153&gt;0,"NÃO – há pendências",IF(AND(H153&lt;&gt;G153,H153&lt;&gt;"Não avaliável"),"NÃO – difere do automático: justificar em ata",IF(H153="Lacunas não explicadas",IF(I153=3,"Sim","NÃO – exige unanimidade"),IF(I153&gt;=2,"Sim","NÃO – sem maioria")))))</f>
        <v/>
      </c>
    </row>
    <row r="154">
      <c r="A154" s="15" t="n"/>
      <c r="B154" s="15" t="n"/>
      <c r="C154" s="16">
        <f>IF(A154="","",COUNTIFS(Completude!$F$2:$F$301,A154,Completude!$B$2:$B$301,B154))</f>
        <v/>
      </c>
      <c r="D154" s="16">
        <f>IF(A154="","",COUNTIFS(Completude!$F$2:$F$301,A154,Completude!$B$2:$B$301,B154,Completude!$M$2:$M$301,"Aguarda*")+COUNTIFS(Completude!$F$2:$F$301,A154,Completude!$B$2:$B$301,B154,Completude!$M$2:$M$301,"NÃO*"))</f>
        <v/>
      </c>
      <c r="E154" s="16">
        <f>IF(A154="","",COUNTIFS(Completude!$F$2:$F$301,A154,Completude!$B$2:$B$301,B154,Completude!$M$2:$M$301,"Lacuna não explicada"))</f>
        <v/>
      </c>
      <c r="F154" s="16">
        <f>IF(A154="","",COUNTIFS(Completude!$F$2:$F$301,A154,Completude!$B$2:$B$301,B154,Completude!$M$2:$M$301,"Lacuna explicada"))</f>
        <v/>
      </c>
      <c r="G154" s="16">
        <f>IF(A154="","",IF(C154=0,"Sem registros: confirme que o F5 rodou",IF(D154&gt;0,"Pendente de análise",IF(E154&gt;0,"Lacunas não explicadas",IF(F154&gt;0,"Lacunas explicadas","Completo")))))</f>
        <v/>
      </c>
      <c r="H154" s="15" t="n"/>
      <c r="I154" s="15" t="n"/>
      <c r="J154" s="15" t="n"/>
      <c r="K154" s="16">
        <f>IF(H154="","",IF(D154&gt;0,"NÃO – há pendências",IF(AND(H154&lt;&gt;G154,H154&lt;&gt;"Não avaliável"),"NÃO – difere do automático: justificar em ata",IF(H154="Lacunas não explicadas",IF(I154=3,"Sim","NÃO – exige unanimidade"),IF(I154&gt;=2,"Sim","NÃO – sem maioria")))))</f>
        <v/>
      </c>
    </row>
    <row r="155">
      <c r="A155" s="15" t="n"/>
      <c r="B155" s="15" t="n"/>
      <c r="C155" s="16">
        <f>IF(A155="","",COUNTIFS(Completude!$F$2:$F$301,A155,Completude!$B$2:$B$301,B155))</f>
        <v/>
      </c>
      <c r="D155" s="16">
        <f>IF(A155="","",COUNTIFS(Completude!$F$2:$F$301,A155,Completude!$B$2:$B$301,B155,Completude!$M$2:$M$301,"Aguarda*")+COUNTIFS(Completude!$F$2:$F$301,A155,Completude!$B$2:$B$301,B155,Completude!$M$2:$M$301,"NÃO*"))</f>
        <v/>
      </c>
      <c r="E155" s="16">
        <f>IF(A155="","",COUNTIFS(Completude!$F$2:$F$301,A155,Completude!$B$2:$B$301,B155,Completude!$M$2:$M$301,"Lacuna não explicada"))</f>
        <v/>
      </c>
      <c r="F155" s="16">
        <f>IF(A155="","",COUNTIFS(Completude!$F$2:$F$301,A155,Completude!$B$2:$B$301,B155,Completude!$M$2:$M$301,"Lacuna explicada"))</f>
        <v/>
      </c>
      <c r="G155" s="16">
        <f>IF(A155="","",IF(C155=0,"Sem registros: confirme que o F5 rodou",IF(D155&gt;0,"Pendente de análise",IF(E155&gt;0,"Lacunas não explicadas",IF(F155&gt;0,"Lacunas explicadas","Completo")))))</f>
        <v/>
      </c>
      <c r="H155" s="15" t="n"/>
      <c r="I155" s="15" t="n"/>
      <c r="J155" s="15" t="n"/>
      <c r="K155" s="16">
        <f>IF(H155="","",IF(D155&gt;0,"NÃO – há pendências",IF(AND(H155&lt;&gt;G155,H155&lt;&gt;"Não avaliável"),"NÃO – difere do automático: justificar em ata",IF(H155="Lacunas não explicadas",IF(I155=3,"Sim","NÃO – exige unanimidade"),IF(I155&gt;=2,"Sim","NÃO – sem maioria")))))</f>
        <v/>
      </c>
    </row>
    <row r="156">
      <c r="A156" s="15" t="n"/>
      <c r="B156" s="15" t="n"/>
      <c r="C156" s="16">
        <f>IF(A156="","",COUNTIFS(Completude!$F$2:$F$301,A156,Completude!$B$2:$B$301,B156))</f>
        <v/>
      </c>
      <c r="D156" s="16">
        <f>IF(A156="","",COUNTIFS(Completude!$F$2:$F$301,A156,Completude!$B$2:$B$301,B156,Completude!$M$2:$M$301,"Aguarda*")+COUNTIFS(Completude!$F$2:$F$301,A156,Completude!$B$2:$B$301,B156,Completude!$M$2:$M$301,"NÃO*"))</f>
        <v/>
      </c>
      <c r="E156" s="16">
        <f>IF(A156="","",COUNTIFS(Completude!$F$2:$F$301,A156,Completude!$B$2:$B$301,B156,Completude!$M$2:$M$301,"Lacuna não explicada"))</f>
        <v/>
      </c>
      <c r="F156" s="16">
        <f>IF(A156="","",COUNTIFS(Completude!$F$2:$F$301,A156,Completude!$B$2:$B$301,B156,Completude!$M$2:$M$301,"Lacuna explicada"))</f>
        <v/>
      </c>
      <c r="G156" s="16">
        <f>IF(A156="","",IF(C156=0,"Sem registros: confirme que o F5 rodou",IF(D156&gt;0,"Pendente de análise",IF(E156&gt;0,"Lacunas não explicadas",IF(F156&gt;0,"Lacunas explicadas","Completo")))))</f>
        <v/>
      </c>
      <c r="H156" s="15" t="n"/>
      <c r="I156" s="15" t="n"/>
      <c r="J156" s="15" t="n"/>
      <c r="K156" s="16">
        <f>IF(H156="","",IF(D156&gt;0,"NÃO – há pendências",IF(AND(H156&lt;&gt;G156,H156&lt;&gt;"Não avaliável"),"NÃO – difere do automático: justificar em ata",IF(H156="Lacunas não explicadas",IF(I156=3,"Sim","NÃO – exige unanimidade"),IF(I156&gt;=2,"Sim","NÃO – sem maioria")))))</f>
        <v/>
      </c>
    </row>
    <row r="157">
      <c r="A157" s="15" t="n"/>
      <c r="B157" s="15" t="n"/>
      <c r="C157" s="16">
        <f>IF(A157="","",COUNTIFS(Completude!$F$2:$F$301,A157,Completude!$B$2:$B$301,B157))</f>
        <v/>
      </c>
      <c r="D157" s="16">
        <f>IF(A157="","",COUNTIFS(Completude!$F$2:$F$301,A157,Completude!$B$2:$B$301,B157,Completude!$M$2:$M$301,"Aguarda*")+COUNTIFS(Completude!$F$2:$F$301,A157,Completude!$B$2:$B$301,B157,Completude!$M$2:$M$301,"NÃO*"))</f>
        <v/>
      </c>
      <c r="E157" s="16">
        <f>IF(A157="","",COUNTIFS(Completude!$F$2:$F$301,A157,Completude!$B$2:$B$301,B157,Completude!$M$2:$M$301,"Lacuna não explicada"))</f>
        <v/>
      </c>
      <c r="F157" s="16">
        <f>IF(A157="","",COUNTIFS(Completude!$F$2:$F$301,A157,Completude!$B$2:$B$301,B157,Completude!$M$2:$M$301,"Lacuna explicada"))</f>
        <v/>
      </c>
      <c r="G157" s="16">
        <f>IF(A157="","",IF(C157=0,"Sem registros: confirme que o F5 rodou",IF(D157&gt;0,"Pendente de análise",IF(E157&gt;0,"Lacunas não explicadas",IF(F157&gt;0,"Lacunas explicadas","Completo")))))</f>
        <v/>
      </c>
      <c r="H157" s="15" t="n"/>
      <c r="I157" s="15" t="n"/>
      <c r="J157" s="15" t="n"/>
      <c r="K157" s="16">
        <f>IF(H157="","",IF(D157&gt;0,"NÃO – há pendências",IF(AND(H157&lt;&gt;G157,H157&lt;&gt;"Não avaliável"),"NÃO – difere do automático: justificar em ata",IF(H157="Lacunas não explicadas",IF(I157=3,"Sim","NÃO – exige unanimidade"),IF(I157&gt;=2,"Sim","NÃO – sem maioria")))))</f>
        <v/>
      </c>
    </row>
    <row r="158">
      <c r="A158" s="15" t="n"/>
      <c r="B158" s="15" t="n"/>
      <c r="C158" s="16">
        <f>IF(A158="","",COUNTIFS(Completude!$F$2:$F$301,A158,Completude!$B$2:$B$301,B158))</f>
        <v/>
      </c>
      <c r="D158" s="16">
        <f>IF(A158="","",COUNTIFS(Completude!$F$2:$F$301,A158,Completude!$B$2:$B$301,B158,Completude!$M$2:$M$301,"Aguarda*")+COUNTIFS(Completude!$F$2:$F$301,A158,Completude!$B$2:$B$301,B158,Completude!$M$2:$M$301,"NÃO*"))</f>
        <v/>
      </c>
      <c r="E158" s="16">
        <f>IF(A158="","",COUNTIFS(Completude!$F$2:$F$301,A158,Completude!$B$2:$B$301,B158,Completude!$M$2:$M$301,"Lacuna não explicada"))</f>
        <v/>
      </c>
      <c r="F158" s="16">
        <f>IF(A158="","",COUNTIFS(Completude!$F$2:$F$301,A158,Completude!$B$2:$B$301,B158,Completude!$M$2:$M$301,"Lacuna explicada"))</f>
        <v/>
      </c>
      <c r="G158" s="16">
        <f>IF(A158="","",IF(C158=0,"Sem registros: confirme que o F5 rodou",IF(D158&gt;0,"Pendente de análise",IF(E158&gt;0,"Lacunas não explicadas",IF(F158&gt;0,"Lacunas explicadas","Completo")))))</f>
        <v/>
      </c>
      <c r="H158" s="15" t="n"/>
      <c r="I158" s="15" t="n"/>
      <c r="J158" s="15" t="n"/>
      <c r="K158" s="16">
        <f>IF(H158="","",IF(D158&gt;0,"NÃO – há pendências",IF(AND(H158&lt;&gt;G158,H158&lt;&gt;"Não avaliável"),"NÃO – difere do automático: justificar em ata",IF(H158="Lacunas não explicadas",IF(I158=3,"Sim","NÃO – exige unanimidade"),IF(I158&gt;=2,"Sim","NÃO – sem maioria")))))</f>
        <v/>
      </c>
    </row>
    <row r="159">
      <c r="A159" s="15" t="n"/>
      <c r="B159" s="15" t="n"/>
      <c r="C159" s="16">
        <f>IF(A159="","",COUNTIFS(Completude!$F$2:$F$301,A159,Completude!$B$2:$B$301,B159))</f>
        <v/>
      </c>
      <c r="D159" s="16">
        <f>IF(A159="","",COUNTIFS(Completude!$F$2:$F$301,A159,Completude!$B$2:$B$301,B159,Completude!$M$2:$M$301,"Aguarda*")+COUNTIFS(Completude!$F$2:$F$301,A159,Completude!$B$2:$B$301,B159,Completude!$M$2:$M$301,"NÃO*"))</f>
        <v/>
      </c>
      <c r="E159" s="16">
        <f>IF(A159="","",COUNTIFS(Completude!$F$2:$F$301,A159,Completude!$B$2:$B$301,B159,Completude!$M$2:$M$301,"Lacuna não explicada"))</f>
        <v/>
      </c>
      <c r="F159" s="16">
        <f>IF(A159="","",COUNTIFS(Completude!$F$2:$F$301,A159,Completude!$B$2:$B$301,B159,Completude!$M$2:$M$301,"Lacuna explicada"))</f>
        <v/>
      </c>
      <c r="G159" s="16">
        <f>IF(A159="","",IF(C159=0,"Sem registros: confirme que o F5 rodou",IF(D159&gt;0,"Pendente de análise",IF(E159&gt;0,"Lacunas não explicadas",IF(F159&gt;0,"Lacunas explicadas","Completo")))))</f>
        <v/>
      </c>
      <c r="H159" s="15" t="n"/>
      <c r="I159" s="15" t="n"/>
      <c r="J159" s="15" t="n"/>
      <c r="K159" s="16">
        <f>IF(H159="","",IF(D159&gt;0,"NÃO – há pendências",IF(AND(H159&lt;&gt;G159,H159&lt;&gt;"Não avaliável"),"NÃO – difere do automático: justificar em ata",IF(H159="Lacunas não explicadas",IF(I159=3,"Sim","NÃO – exige unanimidade"),IF(I159&gt;=2,"Sim","NÃO – sem maioria")))))</f>
        <v/>
      </c>
    </row>
    <row r="160">
      <c r="A160" s="15" t="n"/>
      <c r="B160" s="15" t="n"/>
      <c r="C160" s="16">
        <f>IF(A160="","",COUNTIFS(Completude!$F$2:$F$301,A160,Completude!$B$2:$B$301,B160))</f>
        <v/>
      </c>
      <c r="D160" s="16">
        <f>IF(A160="","",COUNTIFS(Completude!$F$2:$F$301,A160,Completude!$B$2:$B$301,B160,Completude!$M$2:$M$301,"Aguarda*")+COUNTIFS(Completude!$F$2:$F$301,A160,Completude!$B$2:$B$301,B160,Completude!$M$2:$M$301,"NÃO*"))</f>
        <v/>
      </c>
      <c r="E160" s="16">
        <f>IF(A160="","",COUNTIFS(Completude!$F$2:$F$301,A160,Completude!$B$2:$B$301,B160,Completude!$M$2:$M$301,"Lacuna não explicada"))</f>
        <v/>
      </c>
      <c r="F160" s="16">
        <f>IF(A160="","",COUNTIFS(Completude!$F$2:$F$301,A160,Completude!$B$2:$B$301,B160,Completude!$M$2:$M$301,"Lacuna explicada"))</f>
        <v/>
      </c>
      <c r="G160" s="16">
        <f>IF(A160="","",IF(C160=0,"Sem registros: confirme que o F5 rodou",IF(D160&gt;0,"Pendente de análise",IF(E160&gt;0,"Lacunas não explicadas",IF(F160&gt;0,"Lacunas explicadas","Completo")))))</f>
        <v/>
      </c>
      <c r="H160" s="15" t="n"/>
      <c r="I160" s="15" t="n"/>
      <c r="J160" s="15" t="n"/>
      <c r="K160" s="16">
        <f>IF(H160="","",IF(D160&gt;0,"NÃO – há pendências",IF(AND(H160&lt;&gt;G160,H160&lt;&gt;"Não avaliável"),"NÃO – difere do automático: justificar em ata",IF(H160="Lacunas não explicadas",IF(I160=3,"Sim","NÃO – exige unanimidade"),IF(I160&gt;=2,"Sim","NÃO – sem maioria")))))</f>
        <v/>
      </c>
    </row>
    <row r="161">
      <c r="A161" s="15" t="n"/>
      <c r="B161" s="15" t="n"/>
      <c r="C161" s="16">
        <f>IF(A161="","",COUNTIFS(Completude!$F$2:$F$301,A161,Completude!$B$2:$B$301,B161))</f>
        <v/>
      </c>
      <c r="D161" s="16">
        <f>IF(A161="","",COUNTIFS(Completude!$F$2:$F$301,A161,Completude!$B$2:$B$301,B161,Completude!$M$2:$M$301,"Aguarda*")+COUNTIFS(Completude!$F$2:$F$301,A161,Completude!$B$2:$B$301,B161,Completude!$M$2:$M$301,"NÃO*"))</f>
        <v/>
      </c>
      <c r="E161" s="16">
        <f>IF(A161="","",COUNTIFS(Completude!$F$2:$F$301,A161,Completude!$B$2:$B$301,B161,Completude!$M$2:$M$301,"Lacuna não explicada"))</f>
        <v/>
      </c>
      <c r="F161" s="16">
        <f>IF(A161="","",COUNTIFS(Completude!$F$2:$F$301,A161,Completude!$B$2:$B$301,B161,Completude!$M$2:$M$301,"Lacuna explicada"))</f>
        <v/>
      </c>
      <c r="G161" s="16">
        <f>IF(A161="","",IF(C161=0,"Sem registros: confirme que o F5 rodou",IF(D161&gt;0,"Pendente de análise",IF(E161&gt;0,"Lacunas não explicadas",IF(F161&gt;0,"Lacunas explicadas","Completo")))))</f>
        <v/>
      </c>
      <c r="H161" s="15" t="n"/>
      <c r="I161" s="15" t="n"/>
      <c r="J161" s="15" t="n"/>
      <c r="K161" s="16">
        <f>IF(H161="","",IF(D161&gt;0,"NÃO – há pendências",IF(AND(H161&lt;&gt;G161,H161&lt;&gt;"Não avaliável"),"NÃO – difere do automático: justificar em ata",IF(H161="Lacunas não explicadas",IF(I161=3,"Sim","NÃO – exige unanimidade"),IF(I161&gt;=2,"Sim","NÃO – sem maioria")))))</f>
        <v/>
      </c>
    </row>
    <row r="162">
      <c r="A162" s="15" t="n"/>
      <c r="B162" s="15" t="n"/>
      <c r="C162" s="16">
        <f>IF(A162="","",COUNTIFS(Completude!$F$2:$F$301,A162,Completude!$B$2:$B$301,B162))</f>
        <v/>
      </c>
      <c r="D162" s="16">
        <f>IF(A162="","",COUNTIFS(Completude!$F$2:$F$301,A162,Completude!$B$2:$B$301,B162,Completude!$M$2:$M$301,"Aguarda*")+COUNTIFS(Completude!$F$2:$F$301,A162,Completude!$B$2:$B$301,B162,Completude!$M$2:$M$301,"NÃO*"))</f>
        <v/>
      </c>
      <c r="E162" s="16">
        <f>IF(A162="","",COUNTIFS(Completude!$F$2:$F$301,A162,Completude!$B$2:$B$301,B162,Completude!$M$2:$M$301,"Lacuna não explicada"))</f>
        <v/>
      </c>
      <c r="F162" s="16">
        <f>IF(A162="","",COUNTIFS(Completude!$F$2:$F$301,A162,Completude!$B$2:$B$301,B162,Completude!$M$2:$M$301,"Lacuna explicada"))</f>
        <v/>
      </c>
      <c r="G162" s="16">
        <f>IF(A162="","",IF(C162=0,"Sem registros: confirme que o F5 rodou",IF(D162&gt;0,"Pendente de análise",IF(E162&gt;0,"Lacunas não explicadas",IF(F162&gt;0,"Lacunas explicadas","Completo")))))</f>
        <v/>
      </c>
      <c r="H162" s="15" t="n"/>
      <c r="I162" s="15" t="n"/>
      <c r="J162" s="15" t="n"/>
      <c r="K162" s="16">
        <f>IF(H162="","",IF(D162&gt;0,"NÃO – há pendências",IF(AND(H162&lt;&gt;G162,H162&lt;&gt;"Não avaliável"),"NÃO – difere do automático: justificar em ata",IF(H162="Lacunas não explicadas",IF(I162=3,"Sim","NÃO – exige unanimidade"),IF(I162&gt;=2,"Sim","NÃO – sem maioria")))))</f>
        <v/>
      </c>
    </row>
    <row r="163">
      <c r="A163" s="15" t="n"/>
      <c r="B163" s="15" t="n"/>
      <c r="C163" s="16">
        <f>IF(A163="","",COUNTIFS(Completude!$F$2:$F$301,A163,Completude!$B$2:$B$301,B163))</f>
        <v/>
      </c>
      <c r="D163" s="16">
        <f>IF(A163="","",COUNTIFS(Completude!$F$2:$F$301,A163,Completude!$B$2:$B$301,B163,Completude!$M$2:$M$301,"Aguarda*")+COUNTIFS(Completude!$F$2:$F$301,A163,Completude!$B$2:$B$301,B163,Completude!$M$2:$M$301,"NÃO*"))</f>
        <v/>
      </c>
      <c r="E163" s="16">
        <f>IF(A163="","",COUNTIFS(Completude!$F$2:$F$301,A163,Completude!$B$2:$B$301,B163,Completude!$M$2:$M$301,"Lacuna não explicada"))</f>
        <v/>
      </c>
      <c r="F163" s="16">
        <f>IF(A163="","",COUNTIFS(Completude!$F$2:$F$301,A163,Completude!$B$2:$B$301,B163,Completude!$M$2:$M$301,"Lacuna explicada"))</f>
        <v/>
      </c>
      <c r="G163" s="16">
        <f>IF(A163="","",IF(C163=0,"Sem registros: confirme que o F5 rodou",IF(D163&gt;0,"Pendente de análise",IF(E163&gt;0,"Lacunas não explicadas",IF(F163&gt;0,"Lacunas explicadas","Completo")))))</f>
        <v/>
      </c>
      <c r="H163" s="15" t="n"/>
      <c r="I163" s="15" t="n"/>
      <c r="J163" s="15" t="n"/>
      <c r="K163" s="16">
        <f>IF(H163="","",IF(D163&gt;0,"NÃO – há pendências",IF(AND(H163&lt;&gt;G163,H163&lt;&gt;"Não avaliável"),"NÃO – difere do automático: justificar em ata",IF(H163="Lacunas não explicadas",IF(I163=3,"Sim","NÃO – exige unanimidade"),IF(I163&gt;=2,"Sim","NÃO – sem maioria")))))</f>
        <v/>
      </c>
    </row>
    <row r="164">
      <c r="A164" s="15" t="n"/>
      <c r="B164" s="15" t="n"/>
      <c r="C164" s="16">
        <f>IF(A164="","",COUNTIFS(Completude!$F$2:$F$301,A164,Completude!$B$2:$B$301,B164))</f>
        <v/>
      </c>
      <c r="D164" s="16">
        <f>IF(A164="","",COUNTIFS(Completude!$F$2:$F$301,A164,Completude!$B$2:$B$301,B164,Completude!$M$2:$M$301,"Aguarda*")+COUNTIFS(Completude!$F$2:$F$301,A164,Completude!$B$2:$B$301,B164,Completude!$M$2:$M$301,"NÃO*"))</f>
        <v/>
      </c>
      <c r="E164" s="16">
        <f>IF(A164="","",COUNTIFS(Completude!$F$2:$F$301,A164,Completude!$B$2:$B$301,B164,Completude!$M$2:$M$301,"Lacuna não explicada"))</f>
        <v/>
      </c>
      <c r="F164" s="16">
        <f>IF(A164="","",COUNTIFS(Completude!$F$2:$F$301,A164,Completude!$B$2:$B$301,B164,Completude!$M$2:$M$301,"Lacuna explicada"))</f>
        <v/>
      </c>
      <c r="G164" s="16">
        <f>IF(A164="","",IF(C164=0,"Sem registros: confirme que o F5 rodou",IF(D164&gt;0,"Pendente de análise",IF(E164&gt;0,"Lacunas não explicadas",IF(F164&gt;0,"Lacunas explicadas","Completo")))))</f>
        <v/>
      </c>
      <c r="H164" s="15" t="n"/>
      <c r="I164" s="15" t="n"/>
      <c r="J164" s="15" t="n"/>
      <c r="K164" s="16">
        <f>IF(H164="","",IF(D164&gt;0,"NÃO – há pendências",IF(AND(H164&lt;&gt;G164,H164&lt;&gt;"Não avaliável"),"NÃO – difere do automático: justificar em ata",IF(H164="Lacunas não explicadas",IF(I164=3,"Sim","NÃO – exige unanimidade"),IF(I164&gt;=2,"Sim","NÃO – sem maioria")))))</f>
        <v/>
      </c>
    </row>
    <row r="165">
      <c r="A165" s="15" t="n"/>
      <c r="B165" s="15" t="n"/>
      <c r="C165" s="16">
        <f>IF(A165="","",COUNTIFS(Completude!$F$2:$F$301,A165,Completude!$B$2:$B$301,B165))</f>
        <v/>
      </c>
      <c r="D165" s="16">
        <f>IF(A165="","",COUNTIFS(Completude!$F$2:$F$301,A165,Completude!$B$2:$B$301,B165,Completude!$M$2:$M$301,"Aguarda*")+COUNTIFS(Completude!$F$2:$F$301,A165,Completude!$B$2:$B$301,B165,Completude!$M$2:$M$301,"NÃO*"))</f>
        <v/>
      </c>
      <c r="E165" s="16">
        <f>IF(A165="","",COUNTIFS(Completude!$F$2:$F$301,A165,Completude!$B$2:$B$301,B165,Completude!$M$2:$M$301,"Lacuna não explicada"))</f>
        <v/>
      </c>
      <c r="F165" s="16">
        <f>IF(A165="","",COUNTIFS(Completude!$F$2:$F$301,A165,Completude!$B$2:$B$301,B165,Completude!$M$2:$M$301,"Lacuna explicada"))</f>
        <v/>
      </c>
      <c r="G165" s="16">
        <f>IF(A165="","",IF(C165=0,"Sem registros: confirme que o F5 rodou",IF(D165&gt;0,"Pendente de análise",IF(E165&gt;0,"Lacunas não explicadas",IF(F165&gt;0,"Lacunas explicadas","Completo")))))</f>
        <v/>
      </c>
      <c r="H165" s="15" t="n"/>
      <c r="I165" s="15" t="n"/>
      <c r="J165" s="15" t="n"/>
      <c r="K165" s="16">
        <f>IF(H165="","",IF(D165&gt;0,"NÃO – há pendências",IF(AND(H165&lt;&gt;G165,H165&lt;&gt;"Não avaliável"),"NÃO – difere do automático: justificar em ata",IF(H165="Lacunas não explicadas",IF(I165=3,"Sim","NÃO – exige unanimidade"),IF(I165&gt;=2,"Sim","NÃO – sem maioria")))))</f>
        <v/>
      </c>
    </row>
    <row r="166">
      <c r="A166" s="15" t="n"/>
      <c r="B166" s="15" t="n"/>
      <c r="C166" s="16">
        <f>IF(A166="","",COUNTIFS(Completude!$F$2:$F$301,A166,Completude!$B$2:$B$301,B166))</f>
        <v/>
      </c>
      <c r="D166" s="16">
        <f>IF(A166="","",COUNTIFS(Completude!$F$2:$F$301,A166,Completude!$B$2:$B$301,B166,Completude!$M$2:$M$301,"Aguarda*")+COUNTIFS(Completude!$F$2:$F$301,A166,Completude!$B$2:$B$301,B166,Completude!$M$2:$M$301,"NÃO*"))</f>
        <v/>
      </c>
      <c r="E166" s="16">
        <f>IF(A166="","",COUNTIFS(Completude!$F$2:$F$301,A166,Completude!$B$2:$B$301,B166,Completude!$M$2:$M$301,"Lacuna não explicada"))</f>
        <v/>
      </c>
      <c r="F166" s="16">
        <f>IF(A166="","",COUNTIFS(Completude!$F$2:$F$301,A166,Completude!$B$2:$B$301,B166,Completude!$M$2:$M$301,"Lacuna explicada"))</f>
        <v/>
      </c>
      <c r="G166" s="16">
        <f>IF(A166="","",IF(C166=0,"Sem registros: confirme que o F5 rodou",IF(D166&gt;0,"Pendente de análise",IF(E166&gt;0,"Lacunas não explicadas",IF(F166&gt;0,"Lacunas explicadas","Completo")))))</f>
        <v/>
      </c>
      <c r="H166" s="15" t="n"/>
      <c r="I166" s="15" t="n"/>
      <c r="J166" s="15" t="n"/>
      <c r="K166" s="16">
        <f>IF(H166="","",IF(D166&gt;0,"NÃO – há pendências",IF(AND(H166&lt;&gt;G166,H166&lt;&gt;"Não avaliável"),"NÃO – difere do automático: justificar em ata",IF(H166="Lacunas não explicadas",IF(I166=3,"Sim","NÃO – exige unanimidade"),IF(I166&gt;=2,"Sim","NÃO – sem maioria")))))</f>
        <v/>
      </c>
    </row>
    <row r="167">
      <c r="A167" s="15" t="n"/>
      <c r="B167" s="15" t="n"/>
      <c r="C167" s="16">
        <f>IF(A167="","",COUNTIFS(Completude!$F$2:$F$301,A167,Completude!$B$2:$B$301,B167))</f>
        <v/>
      </c>
      <c r="D167" s="16">
        <f>IF(A167="","",COUNTIFS(Completude!$F$2:$F$301,A167,Completude!$B$2:$B$301,B167,Completude!$M$2:$M$301,"Aguarda*")+COUNTIFS(Completude!$F$2:$F$301,A167,Completude!$B$2:$B$301,B167,Completude!$M$2:$M$301,"NÃO*"))</f>
        <v/>
      </c>
      <c r="E167" s="16">
        <f>IF(A167="","",COUNTIFS(Completude!$F$2:$F$301,A167,Completude!$B$2:$B$301,B167,Completude!$M$2:$M$301,"Lacuna não explicada"))</f>
        <v/>
      </c>
      <c r="F167" s="16">
        <f>IF(A167="","",COUNTIFS(Completude!$F$2:$F$301,A167,Completude!$B$2:$B$301,B167,Completude!$M$2:$M$301,"Lacuna explicada"))</f>
        <v/>
      </c>
      <c r="G167" s="16">
        <f>IF(A167="","",IF(C167=0,"Sem registros: confirme que o F5 rodou",IF(D167&gt;0,"Pendente de análise",IF(E167&gt;0,"Lacunas não explicadas",IF(F167&gt;0,"Lacunas explicadas","Completo")))))</f>
        <v/>
      </c>
      <c r="H167" s="15" t="n"/>
      <c r="I167" s="15" t="n"/>
      <c r="J167" s="15" t="n"/>
      <c r="K167" s="16">
        <f>IF(H167="","",IF(D167&gt;0,"NÃO – há pendências",IF(AND(H167&lt;&gt;G167,H167&lt;&gt;"Não avaliável"),"NÃO – difere do automático: justificar em ata",IF(H167="Lacunas não explicadas",IF(I167=3,"Sim","NÃO – exige unanimidade"),IF(I167&gt;=2,"Sim","NÃO – sem maioria")))))</f>
        <v/>
      </c>
    </row>
    <row r="168">
      <c r="A168" s="15" t="n"/>
      <c r="B168" s="15" t="n"/>
      <c r="C168" s="16">
        <f>IF(A168="","",COUNTIFS(Completude!$F$2:$F$301,A168,Completude!$B$2:$B$301,B168))</f>
        <v/>
      </c>
      <c r="D168" s="16">
        <f>IF(A168="","",COUNTIFS(Completude!$F$2:$F$301,A168,Completude!$B$2:$B$301,B168,Completude!$M$2:$M$301,"Aguarda*")+COUNTIFS(Completude!$F$2:$F$301,A168,Completude!$B$2:$B$301,B168,Completude!$M$2:$M$301,"NÃO*"))</f>
        <v/>
      </c>
      <c r="E168" s="16">
        <f>IF(A168="","",COUNTIFS(Completude!$F$2:$F$301,A168,Completude!$B$2:$B$301,B168,Completude!$M$2:$M$301,"Lacuna não explicada"))</f>
        <v/>
      </c>
      <c r="F168" s="16">
        <f>IF(A168="","",COUNTIFS(Completude!$F$2:$F$301,A168,Completude!$B$2:$B$301,B168,Completude!$M$2:$M$301,"Lacuna explicada"))</f>
        <v/>
      </c>
      <c r="G168" s="16">
        <f>IF(A168="","",IF(C168=0,"Sem registros: confirme que o F5 rodou",IF(D168&gt;0,"Pendente de análise",IF(E168&gt;0,"Lacunas não explicadas",IF(F168&gt;0,"Lacunas explicadas","Completo")))))</f>
        <v/>
      </c>
      <c r="H168" s="15" t="n"/>
      <c r="I168" s="15" t="n"/>
      <c r="J168" s="15" t="n"/>
      <c r="K168" s="16">
        <f>IF(H168="","",IF(D168&gt;0,"NÃO – há pendências",IF(AND(H168&lt;&gt;G168,H168&lt;&gt;"Não avaliável"),"NÃO – difere do automático: justificar em ata",IF(H168="Lacunas não explicadas",IF(I168=3,"Sim","NÃO – exige unanimidade"),IF(I168&gt;=2,"Sim","NÃO – sem maioria")))))</f>
        <v/>
      </c>
    </row>
    <row r="169">
      <c r="A169" s="15" t="n"/>
      <c r="B169" s="15" t="n"/>
      <c r="C169" s="16">
        <f>IF(A169="","",COUNTIFS(Completude!$F$2:$F$301,A169,Completude!$B$2:$B$301,B169))</f>
        <v/>
      </c>
      <c r="D169" s="16">
        <f>IF(A169="","",COUNTIFS(Completude!$F$2:$F$301,A169,Completude!$B$2:$B$301,B169,Completude!$M$2:$M$301,"Aguarda*")+COUNTIFS(Completude!$F$2:$F$301,A169,Completude!$B$2:$B$301,B169,Completude!$M$2:$M$301,"NÃO*"))</f>
        <v/>
      </c>
      <c r="E169" s="16">
        <f>IF(A169="","",COUNTIFS(Completude!$F$2:$F$301,A169,Completude!$B$2:$B$301,B169,Completude!$M$2:$M$301,"Lacuna não explicada"))</f>
        <v/>
      </c>
      <c r="F169" s="16">
        <f>IF(A169="","",COUNTIFS(Completude!$F$2:$F$301,A169,Completude!$B$2:$B$301,B169,Completude!$M$2:$M$301,"Lacuna explicada"))</f>
        <v/>
      </c>
      <c r="G169" s="16">
        <f>IF(A169="","",IF(C169=0,"Sem registros: confirme que o F5 rodou",IF(D169&gt;0,"Pendente de análise",IF(E169&gt;0,"Lacunas não explicadas",IF(F169&gt;0,"Lacunas explicadas","Completo")))))</f>
        <v/>
      </c>
      <c r="H169" s="15" t="n"/>
      <c r="I169" s="15" t="n"/>
      <c r="J169" s="15" t="n"/>
      <c r="K169" s="16">
        <f>IF(H169="","",IF(D169&gt;0,"NÃO – há pendências",IF(AND(H169&lt;&gt;G169,H169&lt;&gt;"Não avaliável"),"NÃO – difere do automático: justificar em ata",IF(H169="Lacunas não explicadas",IF(I169=3,"Sim","NÃO – exige unanimidade"),IF(I169&gt;=2,"Sim","NÃO – sem maioria")))))</f>
        <v/>
      </c>
    </row>
    <row r="170">
      <c r="A170" s="15" t="n"/>
      <c r="B170" s="15" t="n"/>
      <c r="C170" s="16">
        <f>IF(A170="","",COUNTIFS(Completude!$F$2:$F$301,A170,Completude!$B$2:$B$301,B170))</f>
        <v/>
      </c>
      <c r="D170" s="16">
        <f>IF(A170="","",COUNTIFS(Completude!$F$2:$F$301,A170,Completude!$B$2:$B$301,B170,Completude!$M$2:$M$301,"Aguarda*")+COUNTIFS(Completude!$F$2:$F$301,A170,Completude!$B$2:$B$301,B170,Completude!$M$2:$M$301,"NÃO*"))</f>
        <v/>
      </c>
      <c r="E170" s="16">
        <f>IF(A170="","",COUNTIFS(Completude!$F$2:$F$301,A170,Completude!$B$2:$B$301,B170,Completude!$M$2:$M$301,"Lacuna não explicada"))</f>
        <v/>
      </c>
      <c r="F170" s="16">
        <f>IF(A170="","",COUNTIFS(Completude!$F$2:$F$301,A170,Completude!$B$2:$B$301,B170,Completude!$M$2:$M$301,"Lacuna explicada"))</f>
        <v/>
      </c>
      <c r="G170" s="16">
        <f>IF(A170="","",IF(C170=0,"Sem registros: confirme que o F5 rodou",IF(D170&gt;0,"Pendente de análise",IF(E170&gt;0,"Lacunas não explicadas",IF(F170&gt;0,"Lacunas explicadas","Completo")))))</f>
        <v/>
      </c>
      <c r="H170" s="15" t="n"/>
      <c r="I170" s="15" t="n"/>
      <c r="J170" s="15" t="n"/>
      <c r="K170" s="16">
        <f>IF(H170="","",IF(D170&gt;0,"NÃO – há pendências",IF(AND(H170&lt;&gt;G170,H170&lt;&gt;"Não avaliável"),"NÃO – difere do automático: justificar em ata",IF(H170="Lacunas não explicadas",IF(I170=3,"Sim","NÃO – exige unanimidade"),IF(I170&gt;=2,"Sim","NÃO – sem maioria")))))</f>
        <v/>
      </c>
    </row>
    <row r="171">
      <c r="A171" s="15" t="n"/>
      <c r="B171" s="15" t="n"/>
      <c r="C171" s="16">
        <f>IF(A171="","",COUNTIFS(Completude!$F$2:$F$301,A171,Completude!$B$2:$B$301,B171))</f>
        <v/>
      </c>
      <c r="D171" s="16">
        <f>IF(A171="","",COUNTIFS(Completude!$F$2:$F$301,A171,Completude!$B$2:$B$301,B171,Completude!$M$2:$M$301,"Aguarda*")+COUNTIFS(Completude!$F$2:$F$301,A171,Completude!$B$2:$B$301,B171,Completude!$M$2:$M$301,"NÃO*"))</f>
        <v/>
      </c>
      <c r="E171" s="16">
        <f>IF(A171="","",COUNTIFS(Completude!$F$2:$F$301,A171,Completude!$B$2:$B$301,B171,Completude!$M$2:$M$301,"Lacuna não explicada"))</f>
        <v/>
      </c>
      <c r="F171" s="16">
        <f>IF(A171="","",COUNTIFS(Completude!$F$2:$F$301,A171,Completude!$B$2:$B$301,B171,Completude!$M$2:$M$301,"Lacuna explicada"))</f>
        <v/>
      </c>
      <c r="G171" s="16">
        <f>IF(A171="","",IF(C171=0,"Sem registros: confirme que o F5 rodou",IF(D171&gt;0,"Pendente de análise",IF(E171&gt;0,"Lacunas não explicadas",IF(F171&gt;0,"Lacunas explicadas","Completo")))))</f>
        <v/>
      </c>
      <c r="H171" s="15" t="n"/>
      <c r="I171" s="15" t="n"/>
      <c r="J171" s="15" t="n"/>
      <c r="K171" s="16">
        <f>IF(H171="","",IF(D171&gt;0,"NÃO – há pendências",IF(AND(H171&lt;&gt;G171,H171&lt;&gt;"Não avaliável"),"NÃO – difere do automático: justificar em ata",IF(H171="Lacunas não explicadas",IF(I171=3,"Sim","NÃO – exige unanimidade"),IF(I171&gt;=2,"Sim","NÃO – sem maioria")))))</f>
        <v/>
      </c>
    </row>
    <row r="172">
      <c r="A172" s="15" t="n"/>
      <c r="B172" s="15" t="n"/>
      <c r="C172" s="16">
        <f>IF(A172="","",COUNTIFS(Completude!$F$2:$F$301,A172,Completude!$B$2:$B$301,B172))</f>
        <v/>
      </c>
      <c r="D172" s="16">
        <f>IF(A172="","",COUNTIFS(Completude!$F$2:$F$301,A172,Completude!$B$2:$B$301,B172,Completude!$M$2:$M$301,"Aguarda*")+COUNTIFS(Completude!$F$2:$F$301,A172,Completude!$B$2:$B$301,B172,Completude!$M$2:$M$301,"NÃO*"))</f>
        <v/>
      </c>
      <c r="E172" s="16">
        <f>IF(A172="","",COUNTIFS(Completude!$F$2:$F$301,A172,Completude!$B$2:$B$301,B172,Completude!$M$2:$M$301,"Lacuna não explicada"))</f>
        <v/>
      </c>
      <c r="F172" s="16">
        <f>IF(A172="","",COUNTIFS(Completude!$F$2:$F$301,A172,Completude!$B$2:$B$301,B172,Completude!$M$2:$M$301,"Lacuna explicada"))</f>
        <v/>
      </c>
      <c r="G172" s="16">
        <f>IF(A172="","",IF(C172=0,"Sem registros: confirme que o F5 rodou",IF(D172&gt;0,"Pendente de análise",IF(E172&gt;0,"Lacunas não explicadas",IF(F172&gt;0,"Lacunas explicadas","Completo")))))</f>
        <v/>
      </c>
      <c r="H172" s="15" t="n"/>
      <c r="I172" s="15" t="n"/>
      <c r="J172" s="15" t="n"/>
      <c r="K172" s="16">
        <f>IF(H172="","",IF(D172&gt;0,"NÃO – há pendências",IF(AND(H172&lt;&gt;G172,H172&lt;&gt;"Não avaliável"),"NÃO – difere do automático: justificar em ata",IF(H172="Lacunas não explicadas",IF(I172=3,"Sim","NÃO – exige unanimidade"),IF(I172&gt;=2,"Sim","NÃO – sem maioria")))))</f>
        <v/>
      </c>
    </row>
    <row r="173">
      <c r="A173" s="15" t="n"/>
      <c r="B173" s="15" t="n"/>
      <c r="C173" s="16">
        <f>IF(A173="","",COUNTIFS(Completude!$F$2:$F$301,A173,Completude!$B$2:$B$301,B173))</f>
        <v/>
      </c>
      <c r="D173" s="16">
        <f>IF(A173="","",COUNTIFS(Completude!$F$2:$F$301,A173,Completude!$B$2:$B$301,B173,Completude!$M$2:$M$301,"Aguarda*")+COUNTIFS(Completude!$F$2:$F$301,A173,Completude!$B$2:$B$301,B173,Completude!$M$2:$M$301,"NÃO*"))</f>
        <v/>
      </c>
      <c r="E173" s="16">
        <f>IF(A173="","",COUNTIFS(Completude!$F$2:$F$301,A173,Completude!$B$2:$B$301,B173,Completude!$M$2:$M$301,"Lacuna não explicada"))</f>
        <v/>
      </c>
      <c r="F173" s="16">
        <f>IF(A173="","",COUNTIFS(Completude!$F$2:$F$301,A173,Completude!$B$2:$B$301,B173,Completude!$M$2:$M$301,"Lacuna explicada"))</f>
        <v/>
      </c>
      <c r="G173" s="16">
        <f>IF(A173="","",IF(C173=0,"Sem registros: confirme que o F5 rodou",IF(D173&gt;0,"Pendente de análise",IF(E173&gt;0,"Lacunas não explicadas",IF(F173&gt;0,"Lacunas explicadas","Completo")))))</f>
        <v/>
      </c>
      <c r="H173" s="15" t="n"/>
      <c r="I173" s="15" t="n"/>
      <c r="J173" s="15" t="n"/>
      <c r="K173" s="16">
        <f>IF(H173="","",IF(D173&gt;0,"NÃO – há pendências",IF(AND(H173&lt;&gt;G173,H173&lt;&gt;"Não avaliável"),"NÃO – difere do automático: justificar em ata",IF(H173="Lacunas não explicadas",IF(I173=3,"Sim","NÃO – exige unanimidade"),IF(I173&gt;=2,"Sim","NÃO – sem maioria")))))</f>
        <v/>
      </c>
    </row>
    <row r="174">
      <c r="A174" s="15" t="n"/>
      <c r="B174" s="15" t="n"/>
      <c r="C174" s="16">
        <f>IF(A174="","",COUNTIFS(Completude!$F$2:$F$301,A174,Completude!$B$2:$B$301,B174))</f>
        <v/>
      </c>
      <c r="D174" s="16">
        <f>IF(A174="","",COUNTIFS(Completude!$F$2:$F$301,A174,Completude!$B$2:$B$301,B174,Completude!$M$2:$M$301,"Aguarda*")+COUNTIFS(Completude!$F$2:$F$301,A174,Completude!$B$2:$B$301,B174,Completude!$M$2:$M$301,"NÃO*"))</f>
        <v/>
      </c>
      <c r="E174" s="16">
        <f>IF(A174="","",COUNTIFS(Completude!$F$2:$F$301,A174,Completude!$B$2:$B$301,B174,Completude!$M$2:$M$301,"Lacuna não explicada"))</f>
        <v/>
      </c>
      <c r="F174" s="16">
        <f>IF(A174="","",COUNTIFS(Completude!$F$2:$F$301,A174,Completude!$B$2:$B$301,B174,Completude!$M$2:$M$301,"Lacuna explicada"))</f>
        <v/>
      </c>
      <c r="G174" s="16">
        <f>IF(A174="","",IF(C174=0,"Sem registros: confirme que o F5 rodou",IF(D174&gt;0,"Pendente de análise",IF(E174&gt;0,"Lacunas não explicadas",IF(F174&gt;0,"Lacunas explicadas","Completo")))))</f>
        <v/>
      </c>
      <c r="H174" s="15" t="n"/>
      <c r="I174" s="15" t="n"/>
      <c r="J174" s="15" t="n"/>
      <c r="K174" s="16">
        <f>IF(H174="","",IF(D174&gt;0,"NÃO – há pendências",IF(AND(H174&lt;&gt;G174,H174&lt;&gt;"Não avaliável"),"NÃO – difere do automático: justificar em ata",IF(H174="Lacunas não explicadas",IF(I174=3,"Sim","NÃO – exige unanimidade"),IF(I174&gt;=2,"Sim","NÃO – sem maioria")))))</f>
        <v/>
      </c>
    </row>
    <row r="175">
      <c r="A175" s="15" t="n"/>
      <c r="B175" s="15" t="n"/>
      <c r="C175" s="16">
        <f>IF(A175="","",COUNTIFS(Completude!$F$2:$F$301,A175,Completude!$B$2:$B$301,B175))</f>
        <v/>
      </c>
      <c r="D175" s="16">
        <f>IF(A175="","",COUNTIFS(Completude!$F$2:$F$301,A175,Completude!$B$2:$B$301,B175,Completude!$M$2:$M$301,"Aguarda*")+COUNTIFS(Completude!$F$2:$F$301,A175,Completude!$B$2:$B$301,B175,Completude!$M$2:$M$301,"NÃO*"))</f>
        <v/>
      </c>
      <c r="E175" s="16">
        <f>IF(A175="","",COUNTIFS(Completude!$F$2:$F$301,A175,Completude!$B$2:$B$301,B175,Completude!$M$2:$M$301,"Lacuna não explicada"))</f>
        <v/>
      </c>
      <c r="F175" s="16">
        <f>IF(A175="","",COUNTIFS(Completude!$F$2:$F$301,A175,Completude!$B$2:$B$301,B175,Completude!$M$2:$M$301,"Lacuna explicada"))</f>
        <v/>
      </c>
      <c r="G175" s="16">
        <f>IF(A175="","",IF(C175=0,"Sem registros: confirme que o F5 rodou",IF(D175&gt;0,"Pendente de análise",IF(E175&gt;0,"Lacunas não explicadas",IF(F175&gt;0,"Lacunas explicadas","Completo")))))</f>
        <v/>
      </c>
      <c r="H175" s="15" t="n"/>
      <c r="I175" s="15" t="n"/>
      <c r="J175" s="15" t="n"/>
      <c r="K175" s="16">
        <f>IF(H175="","",IF(D175&gt;0,"NÃO – há pendências",IF(AND(H175&lt;&gt;G175,H175&lt;&gt;"Não avaliável"),"NÃO – difere do automático: justificar em ata",IF(H175="Lacunas não explicadas",IF(I175=3,"Sim","NÃO – exige unanimidade"),IF(I175&gt;=2,"Sim","NÃO – sem maioria")))))</f>
        <v/>
      </c>
    </row>
    <row r="176">
      <c r="A176" s="15" t="n"/>
      <c r="B176" s="15" t="n"/>
      <c r="C176" s="16">
        <f>IF(A176="","",COUNTIFS(Completude!$F$2:$F$301,A176,Completude!$B$2:$B$301,B176))</f>
        <v/>
      </c>
      <c r="D176" s="16">
        <f>IF(A176="","",COUNTIFS(Completude!$F$2:$F$301,A176,Completude!$B$2:$B$301,B176,Completude!$M$2:$M$301,"Aguarda*")+COUNTIFS(Completude!$F$2:$F$301,A176,Completude!$B$2:$B$301,B176,Completude!$M$2:$M$301,"NÃO*"))</f>
        <v/>
      </c>
      <c r="E176" s="16">
        <f>IF(A176="","",COUNTIFS(Completude!$F$2:$F$301,A176,Completude!$B$2:$B$301,B176,Completude!$M$2:$M$301,"Lacuna não explicada"))</f>
        <v/>
      </c>
      <c r="F176" s="16">
        <f>IF(A176="","",COUNTIFS(Completude!$F$2:$F$301,A176,Completude!$B$2:$B$301,B176,Completude!$M$2:$M$301,"Lacuna explicada"))</f>
        <v/>
      </c>
      <c r="G176" s="16">
        <f>IF(A176="","",IF(C176=0,"Sem registros: confirme que o F5 rodou",IF(D176&gt;0,"Pendente de análise",IF(E176&gt;0,"Lacunas não explicadas",IF(F176&gt;0,"Lacunas explicadas","Completo")))))</f>
        <v/>
      </c>
      <c r="H176" s="15" t="n"/>
      <c r="I176" s="15" t="n"/>
      <c r="J176" s="15" t="n"/>
      <c r="K176" s="16">
        <f>IF(H176="","",IF(D176&gt;0,"NÃO – há pendências",IF(AND(H176&lt;&gt;G176,H176&lt;&gt;"Não avaliável"),"NÃO – difere do automático: justificar em ata",IF(H176="Lacunas não explicadas",IF(I176=3,"Sim","NÃO – exige unanimidade"),IF(I176&gt;=2,"Sim","NÃO – sem maioria")))))</f>
        <v/>
      </c>
    </row>
    <row r="177">
      <c r="A177" s="15" t="n"/>
      <c r="B177" s="15" t="n"/>
      <c r="C177" s="16">
        <f>IF(A177="","",COUNTIFS(Completude!$F$2:$F$301,A177,Completude!$B$2:$B$301,B177))</f>
        <v/>
      </c>
      <c r="D177" s="16">
        <f>IF(A177="","",COUNTIFS(Completude!$F$2:$F$301,A177,Completude!$B$2:$B$301,B177,Completude!$M$2:$M$301,"Aguarda*")+COUNTIFS(Completude!$F$2:$F$301,A177,Completude!$B$2:$B$301,B177,Completude!$M$2:$M$301,"NÃO*"))</f>
        <v/>
      </c>
      <c r="E177" s="16">
        <f>IF(A177="","",COUNTIFS(Completude!$F$2:$F$301,A177,Completude!$B$2:$B$301,B177,Completude!$M$2:$M$301,"Lacuna não explicada"))</f>
        <v/>
      </c>
      <c r="F177" s="16">
        <f>IF(A177="","",COUNTIFS(Completude!$F$2:$F$301,A177,Completude!$B$2:$B$301,B177,Completude!$M$2:$M$301,"Lacuna explicada"))</f>
        <v/>
      </c>
      <c r="G177" s="16">
        <f>IF(A177="","",IF(C177=0,"Sem registros: confirme que o F5 rodou",IF(D177&gt;0,"Pendente de análise",IF(E177&gt;0,"Lacunas não explicadas",IF(F177&gt;0,"Lacunas explicadas","Completo")))))</f>
        <v/>
      </c>
      <c r="H177" s="15" t="n"/>
      <c r="I177" s="15" t="n"/>
      <c r="J177" s="15" t="n"/>
      <c r="K177" s="16">
        <f>IF(H177="","",IF(D177&gt;0,"NÃO – há pendências",IF(AND(H177&lt;&gt;G177,H177&lt;&gt;"Não avaliável"),"NÃO – difere do automático: justificar em ata",IF(H177="Lacunas não explicadas",IF(I177=3,"Sim","NÃO – exige unanimidade"),IF(I177&gt;=2,"Sim","NÃO – sem maioria")))))</f>
        <v/>
      </c>
    </row>
    <row r="178">
      <c r="A178" s="15" t="n"/>
      <c r="B178" s="15" t="n"/>
      <c r="C178" s="16">
        <f>IF(A178="","",COUNTIFS(Completude!$F$2:$F$301,A178,Completude!$B$2:$B$301,B178))</f>
        <v/>
      </c>
      <c r="D178" s="16">
        <f>IF(A178="","",COUNTIFS(Completude!$F$2:$F$301,A178,Completude!$B$2:$B$301,B178,Completude!$M$2:$M$301,"Aguarda*")+COUNTIFS(Completude!$F$2:$F$301,A178,Completude!$B$2:$B$301,B178,Completude!$M$2:$M$301,"NÃO*"))</f>
        <v/>
      </c>
      <c r="E178" s="16">
        <f>IF(A178="","",COUNTIFS(Completude!$F$2:$F$301,A178,Completude!$B$2:$B$301,B178,Completude!$M$2:$M$301,"Lacuna não explicada"))</f>
        <v/>
      </c>
      <c r="F178" s="16">
        <f>IF(A178="","",COUNTIFS(Completude!$F$2:$F$301,A178,Completude!$B$2:$B$301,B178,Completude!$M$2:$M$301,"Lacuna explicada"))</f>
        <v/>
      </c>
      <c r="G178" s="16">
        <f>IF(A178="","",IF(C178=0,"Sem registros: confirme que o F5 rodou",IF(D178&gt;0,"Pendente de análise",IF(E178&gt;0,"Lacunas não explicadas",IF(F178&gt;0,"Lacunas explicadas","Completo")))))</f>
        <v/>
      </c>
      <c r="H178" s="15" t="n"/>
      <c r="I178" s="15" t="n"/>
      <c r="J178" s="15" t="n"/>
      <c r="K178" s="16">
        <f>IF(H178="","",IF(D178&gt;0,"NÃO – há pendências",IF(AND(H178&lt;&gt;G178,H178&lt;&gt;"Não avaliável"),"NÃO – difere do automático: justificar em ata",IF(H178="Lacunas não explicadas",IF(I178=3,"Sim","NÃO – exige unanimidade"),IF(I178&gt;=2,"Sim","NÃO – sem maioria")))))</f>
        <v/>
      </c>
    </row>
    <row r="179">
      <c r="A179" s="15" t="n"/>
      <c r="B179" s="15" t="n"/>
      <c r="C179" s="16">
        <f>IF(A179="","",COUNTIFS(Completude!$F$2:$F$301,A179,Completude!$B$2:$B$301,B179))</f>
        <v/>
      </c>
      <c r="D179" s="16">
        <f>IF(A179="","",COUNTIFS(Completude!$F$2:$F$301,A179,Completude!$B$2:$B$301,B179,Completude!$M$2:$M$301,"Aguarda*")+COUNTIFS(Completude!$F$2:$F$301,A179,Completude!$B$2:$B$301,B179,Completude!$M$2:$M$301,"NÃO*"))</f>
        <v/>
      </c>
      <c r="E179" s="16">
        <f>IF(A179="","",COUNTIFS(Completude!$F$2:$F$301,A179,Completude!$B$2:$B$301,B179,Completude!$M$2:$M$301,"Lacuna não explicada"))</f>
        <v/>
      </c>
      <c r="F179" s="16">
        <f>IF(A179="","",COUNTIFS(Completude!$F$2:$F$301,A179,Completude!$B$2:$B$301,B179,Completude!$M$2:$M$301,"Lacuna explicada"))</f>
        <v/>
      </c>
      <c r="G179" s="16">
        <f>IF(A179="","",IF(C179=0,"Sem registros: confirme que o F5 rodou",IF(D179&gt;0,"Pendente de análise",IF(E179&gt;0,"Lacunas não explicadas",IF(F179&gt;0,"Lacunas explicadas","Completo")))))</f>
        <v/>
      </c>
      <c r="H179" s="15" t="n"/>
      <c r="I179" s="15" t="n"/>
      <c r="J179" s="15" t="n"/>
      <c r="K179" s="16">
        <f>IF(H179="","",IF(D179&gt;0,"NÃO – há pendências",IF(AND(H179&lt;&gt;G179,H179&lt;&gt;"Não avaliável"),"NÃO – difere do automático: justificar em ata",IF(H179="Lacunas não explicadas",IF(I179=3,"Sim","NÃO – exige unanimidade"),IF(I179&gt;=2,"Sim","NÃO – sem maioria")))))</f>
        <v/>
      </c>
    </row>
    <row r="180">
      <c r="A180" s="15" t="n"/>
      <c r="B180" s="15" t="n"/>
      <c r="C180" s="16">
        <f>IF(A180="","",COUNTIFS(Completude!$F$2:$F$301,A180,Completude!$B$2:$B$301,B180))</f>
        <v/>
      </c>
      <c r="D180" s="16">
        <f>IF(A180="","",COUNTIFS(Completude!$F$2:$F$301,A180,Completude!$B$2:$B$301,B180,Completude!$M$2:$M$301,"Aguarda*")+COUNTIFS(Completude!$F$2:$F$301,A180,Completude!$B$2:$B$301,B180,Completude!$M$2:$M$301,"NÃO*"))</f>
        <v/>
      </c>
      <c r="E180" s="16">
        <f>IF(A180="","",COUNTIFS(Completude!$F$2:$F$301,A180,Completude!$B$2:$B$301,B180,Completude!$M$2:$M$301,"Lacuna não explicada"))</f>
        <v/>
      </c>
      <c r="F180" s="16">
        <f>IF(A180="","",COUNTIFS(Completude!$F$2:$F$301,A180,Completude!$B$2:$B$301,B180,Completude!$M$2:$M$301,"Lacuna explicada"))</f>
        <v/>
      </c>
      <c r="G180" s="16">
        <f>IF(A180="","",IF(C180=0,"Sem registros: confirme que o F5 rodou",IF(D180&gt;0,"Pendente de análise",IF(E180&gt;0,"Lacunas não explicadas",IF(F180&gt;0,"Lacunas explicadas","Completo")))))</f>
        <v/>
      </c>
      <c r="H180" s="15" t="n"/>
      <c r="I180" s="15" t="n"/>
      <c r="J180" s="15" t="n"/>
      <c r="K180" s="16">
        <f>IF(H180="","",IF(D180&gt;0,"NÃO – há pendências",IF(AND(H180&lt;&gt;G180,H180&lt;&gt;"Não avaliável"),"NÃO – difere do automático: justificar em ata",IF(H180="Lacunas não explicadas",IF(I180=3,"Sim","NÃO – exige unanimidade"),IF(I180&gt;=2,"Sim","NÃO – sem maioria")))))</f>
        <v/>
      </c>
    </row>
    <row r="181">
      <c r="A181" s="15" t="n"/>
      <c r="B181" s="15" t="n"/>
      <c r="C181" s="16">
        <f>IF(A181="","",COUNTIFS(Completude!$F$2:$F$301,A181,Completude!$B$2:$B$301,B181))</f>
        <v/>
      </c>
      <c r="D181" s="16">
        <f>IF(A181="","",COUNTIFS(Completude!$F$2:$F$301,A181,Completude!$B$2:$B$301,B181,Completude!$M$2:$M$301,"Aguarda*")+COUNTIFS(Completude!$F$2:$F$301,A181,Completude!$B$2:$B$301,B181,Completude!$M$2:$M$301,"NÃO*"))</f>
        <v/>
      </c>
      <c r="E181" s="16">
        <f>IF(A181="","",COUNTIFS(Completude!$F$2:$F$301,A181,Completude!$B$2:$B$301,B181,Completude!$M$2:$M$301,"Lacuna não explicada"))</f>
        <v/>
      </c>
      <c r="F181" s="16">
        <f>IF(A181="","",COUNTIFS(Completude!$F$2:$F$301,A181,Completude!$B$2:$B$301,B181,Completude!$M$2:$M$301,"Lacuna explicada"))</f>
        <v/>
      </c>
      <c r="G181" s="16">
        <f>IF(A181="","",IF(C181=0,"Sem registros: confirme que o F5 rodou",IF(D181&gt;0,"Pendente de análise",IF(E181&gt;0,"Lacunas não explicadas",IF(F181&gt;0,"Lacunas explicadas","Completo")))))</f>
        <v/>
      </c>
      <c r="H181" s="15" t="n"/>
      <c r="I181" s="15" t="n"/>
      <c r="J181" s="15" t="n"/>
      <c r="K181" s="16">
        <f>IF(H181="","",IF(D181&gt;0,"NÃO – há pendências",IF(AND(H181&lt;&gt;G181,H181&lt;&gt;"Não avaliável"),"NÃO – difere do automático: justificar em ata",IF(H181="Lacunas não explicadas",IF(I181=3,"Sim","NÃO – exige unanimidade"),IF(I181&gt;=2,"Sim","NÃO – sem maioria")))))</f>
        <v/>
      </c>
    </row>
    <row r="182">
      <c r="A182" s="15" t="n"/>
      <c r="B182" s="15" t="n"/>
      <c r="C182" s="16">
        <f>IF(A182="","",COUNTIFS(Completude!$F$2:$F$301,A182,Completude!$B$2:$B$301,B182))</f>
        <v/>
      </c>
      <c r="D182" s="16">
        <f>IF(A182="","",COUNTIFS(Completude!$F$2:$F$301,A182,Completude!$B$2:$B$301,B182,Completude!$M$2:$M$301,"Aguarda*")+COUNTIFS(Completude!$F$2:$F$301,A182,Completude!$B$2:$B$301,B182,Completude!$M$2:$M$301,"NÃO*"))</f>
        <v/>
      </c>
      <c r="E182" s="16">
        <f>IF(A182="","",COUNTIFS(Completude!$F$2:$F$301,A182,Completude!$B$2:$B$301,B182,Completude!$M$2:$M$301,"Lacuna não explicada"))</f>
        <v/>
      </c>
      <c r="F182" s="16">
        <f>IF(A182="","",COUNTIFS(Completude!$F$2:$F$301,A182,Completude!$B$2:$B$301,B182,Completude!$M$2:$M$301,"Lacuna explicada"))</f>
        <v/>
      </c>
      <c r="G182" s="16">
        <f>IF(A182="","",IF(C182=0,"Sem registros: confirme que o F5 rodou",IF(D182&gt;0,"Pendente de análise",IF(E182&gt;0,"Lacunas não explicadas",IF(F182&gt;0,"Lacunas explicadas","Completo")))))</f>
        <v/>
      </c>
      <c r="H182" s="15" t="n"/>
      <c r="I182" s="15" t="n"/>
      <c r="J182" s="15" t="n"/>
      <c r="K182" s="16">
        <f>IF(H182="","",IF(D182&gt;0,"NÃO – há pendências",IF(AND(H182&lt;&gt;G182,H182&lt;&gt;"Não avaliável"),"NÃO – difere do automático: justificar em ata",IF(H182="Lacunas não explicadas",IF(I182=3,"Sim","NÃO – exige unanimidade"),IF(I182&gt;=2,"Sim","NÃO – sem maioria")))))</f>
        <v/>
      </c>
    </row>
    <row r="183">
      <c r="A183" s="15" t="n"/>
      <c r="B183" s="15" t="n"/>
      <c r="C183" s="16">
        <f>IF(A183="","",COUNTIFS(Completude!$F$2:$F$301,A183,Completude!$B$2:$B$301,B183))</f>
        <v/>
      </c>
      <c r="D183" s="16">
        <f>IF(A183="","",COUNTIFS(Completude!$F$2:$F$301,A183,Completude!$B$2:$B$301,B183,Completude!$M$2:$M$301,"Aguarda*")+COUNTIFS(Completude!$F$2:$F$301,A183,Completude!$B$2:$B$301,B183,Completude!$M$2:$M$301,"NÃO*"))</f>
        <v/>
      </c>
      <c r="E183" s="16">
        <f>IF(A183="","",COUNTIFS(Completude!$F$2:$F$301,A183,Completude!$B$2:$B$301,B183,Completude!$M$2:$M$301,"Lacuna não explicada"))</f>
        <v/>
      </c>
      <c r="F183" s="16">
        <f>IF(A183="","",COUNTIFS(Completude!$F$2:$F$301,A183,Completude!$B$2:$B$301,B183,Completude!$M$2:$M$301,"Lacuna explicada"))</f>
        <v/>
      </c>
      <c r="G183" s="16">
        <f>IF(A183="","",IF(C183=0,"Sem registros: confirme que o F5 rodou",IF(D183&gt;0,"Pendente de análise",IF(E183&gt;0,"Lacunas não explicadas",IF(F183&gt;0,"Lacunas explicadas","Completo")))))</f>
        <v/>
      </c>
      <c r="H183" s="15" t="n"/>
      <c r="I183" s="15" t="n"/>
      <c r="J183" s="15" t="n"/>
      <c r="K183" s="16">
        <f>IF(H183="","",IF(D183&gt;0,"NÃO – há pendências",IF(AND(H183&lt;&gt;G183,H183&lt;&gt;"Não avaliável"),"NÃO – difere do automático: justificar em ata",IF(H183="Lacunas não explicadas",IF(I183=3,"Sim","NÃO – exige unanimidade"),IF(I183&gt;=2,"Sim","NÃO – sem maioria")))))</f>
        <v/>
      </c>
    </row>
    <row r="184">
      <c r="A184" s="15" t="n"/>
      <c r="B184" s="15" t="n"/>
      <c r="C184" s="16">
        <f>IF(A184="","",COUNTIFS(Completude!$F$2:$F$301,A184,Completude!$B$2:$B$301,B184))</f>
        <v/>
      </c>
      <c r="D184" s="16">
        <f>IF(A184="","",COUNTIFS(Completude!$F$2:$F$301,A184,Completude!$B$2:$B$301,B184,Completude!$M$2:$M$301,"Aguarda*")+COUNTIFS(Completude!$F$2:$F$301,A184,Completude!$B$2:$B$301,B184,Completude!$M$2:$M$301,"NÃO*"))</f>
        <v/>
      </c>
      <c r="E184" s="16">
        <f>IF(A184="","",COUNTIFS(Completude!$F$2:$F$301,A184,Completude!$B$2:$B$301,B184,Completude!$M$2:$M$301,"Lacuna não explicada"))</f>
        <v/>
      </c>
      <c r="F184" s="16">
        <f>IF(A184="","",COUNTIFS(Completude!$F$2:$F$301,A184,Completude!$B$2:$B$301,B184,Completude!$M$2:$M$301,"Lacuna explicada"))</f>
        <v/>
      </c>
      <c r="G184" s="16">
        <f>IF(A184="","",IF(C184=0,"Sem registros: confirme que o F5 rodou",IF(D184&gt;0,"Pendente de análise",IF(E184&gt;0,"Lacunas não explicadas",IF(F184&gt;0,"Lacunas explicadas","Completo")))))</f>
        <v/>
      </c>
      <c r="H184" s="15" t="n"/>
      <c r="I184" s="15" t="n"/>
      <c r="J184" s="15" t="n"/>
      <c r="K184" s="16">
        <f>IF(H184="","",IF(D184&gt;0,"NÃO – há pendências",IF(AND(H184&lt;&gt;G184,H184&lt;&gt;"Não avaliável"),"NÃO – difere do automático: justificar em ata",IF(H184="Lacunas não explicadas",IF(I184=3,"Sim","NÃO – exige unanimidade"),IF(I184&gt;=2,"Sim","NÃO – sem maioria")))))</f>
        <v/>
      </c>
    </row>
    <row r="185">
      <c r="A185" s="15" t="n"/>
      <c r="B185" s="15" t="n"/>
      <c r="C185" s="16">
        <f>IF(A185="","",COUNTIFS(Completude!$F$2:$F$301,A185,Completude!$B$2:$B$301,B185))</f>
        <v/>
      </c>
      <c r="D185" s="16">
        <f>IF(A185="","",COUNTIFS(Completude!$F$2:$F$301,A185,Completude!$B$2:$B$301,B185,Completude!$M$2:$M$301,"Aguarda*")+COUNTIFS(Completude!$F$2:$F$301,A185,Completude!$B$2:$B$301,B185,Completude!$M$2:$M$301,"NÃO*"))</f>
        <v/>
      </c>
      <c r="E185" s="16">
        <f>IF(A185="","",COUNTIFS(Completude!$F$2:$F$301,A185,Completude!$B$2:$B$301,B185,Completude!$M$2:$M$301,"Lacuna não explicada"))</f>
        <v/>
      </c>
      <c r="F185" s="16">
        <f>IF(A185="","",COUNTIFS(Completude!$F$2:$F$301,A185,Completude!$B$2:$B$301,B185,Completude!$M$2:$M$301,"Lacuna explicada"))</f>
        <v/>
      </c>
      <c r="G185" s="16">
        <f>IF(A185="","",IF(C185=0,"Sem registros: confirme que o F5 rodou",IF(D185&gt;0,"Pendente de análise",IF(E185&gt;0,"Lacunas não explicadas",IF(F185&gt;0,"Lacunas explicadas","Completo")))))</f>
        <v/>
      </c>
      <c r="H185" s="15" t="n"/>
      <c r="I185" s="15" t="n"/>
      <c r="J185" s="15" t="n"/>
      <c r="K185" s="16">
        <f>IF(H185="","",IF(D185&gt;0,"NÃO – há pendências",IF(AND(H185&lt;&gt;G185,H185&lt;&gt;"Não avaliável"),"NÃO – difere do automático: justificar em ata",IF(H185="Lacunas não explicadas",IF(I185=3,"Sim","NÃO – exige unanimidade"),IF(I185&gt;=2,"Sim","NÃO – sem maioria")))))</f>
        <v/>
      </c>
    </row>
    <row r="186">
      <c r="A186" s="15" t="n"/>
      <c r="B186" s="15" t="n"/>
      <c r="C186" s="16">
        <f>IF(A186="","",COUNTIFS(Completude!$F$2:$F$301,A186,Completude!$B$2:$B$301,B186))</f>
        <v/>
      </c>
      <c r="D186" s="16">
        <f>IF(A186="","",COUNTIFS(Completude!$F$2:$F$301,A186,Completude!$B$2:$B$301,B186,Completude!$M$2:$M$301,"Aguarda*")+COUNTIFS(Completude!$F$2:$F$301,A186,Completude!$B$2:$B$301,B186,Completude!$M$2:$M$301,"NÃO*"))</f>
        <v/>
      </c>
      <c r="E186" s="16">
        <f>IF(A186="","",COUNTIFS(Completude!$F$2:$F$301,A186,Completude!$B$2:$B$301,B186,Completude!$M$2:$M$301,"Lacuna não explicada"))</f>
        <v/>
      </c>
      <c r="F186" s="16">
        <f>IF(A186="","",COUNTIFS(Completude!$F$2:$F$301,A186,Completude!$B$2:$B$301,B186,Completude!$M$2:$M$301,"Lacuna explicada"))</f>
        <v/>
      </c>
      <c r="G186" s="16">
        <f>IF(A186="","",IF(C186=0,"Sem registros: confirme que o F5 rodou",IF(D186&gt;0,"Pendente de análise",IF(E186&gt;0,"Lacunas não explicadas",IF(F186&gt;0,"Lacunas explicadas","Completo")))))</f>
        <v/>
      </c>
      <c r="H186" s="15" t="n"/>
      <c r="I186" s="15" t="n"/>
      <c r="J186" s="15" t="n"/>
      <c r="K186" s="16">
        <f>IF(H186="","",IF(D186&gt;0,"NÃO – há pendências",IF(AND(H186&lt;&gt;G186,H186&lt;&gt;"Não avaliável"),"NÃO – difere do automático: justificar em ata",IF(H186="Lacunas não explicadas",IF(I186=3,"Sim","NÃO – exige unanimidade"),IF(I186&gt;=2,"Sim","NÃO – sem maioria")))))</f>
        <v/>
      </c>
    </row>
    <row r="187">
      <c r="A187" s="15" t="n"/>
      <c r="B187" s="15" t="n"/>
      <c r="C187" s="16">
        <f>IF(A187="","",COUNTIFS(Completude!$F$2:$F$301,A187,Completude!$B$2:$B$301,B187))</f>
        <v/>
      </c>
      <c r="D187" s="16">
        <f>IF(A187="","",COUNTIFS(Completude!$F$2:$F$301,A187,Completude!$B$2:$B$301,B187,Completude!$M$2:$M$301,"Aguarda*")+COUNTIFS(Completude!$F$2:$F$301,A187,Completude!$B$2:$B$301,B187,Completude!$M$2:$M$301,"NÃO*"))</f>
        <v/>
      </c>
      <c r="E187" s="16">
        <f>IF(A187="","",COUNTIFS(Completude!$F$2:$F$301,A187,Completude!$B$2:$B$301,B187,Completude!$M$2:$M$301,"Lacuna não explicada"))</f>
        <v/>
      </c>
      <c r="F187" s="16">
        <f>IF(A187="","",COUNTIFS(Completude!$F$2:$F$301,A187,Completude!$B$2:$B$301,B187,Completude!$M$2:$M$301,"Lacuna explicada"))</f>
        <v/>
      </c>
      <c r="G187" s="16">
        <f>IF(A187="","",IF(C187=0,"Sem registros: confirme que o F5 rodou",IF(D187&gt;0,"Pendente de análise",IF(E187&gt;0,"Lacunas não explicadas",IF(F187&gt;0,"Lacunas explicadas","Completo")))))</f>
        <v/>
      </c>
      <c r="H187" s="15" t="n"/>
      <c r="I187" s="15" t="n"/>
      <c r="J187" s="15" t="n"/>
      <c r="K187" s="16">
        <f>IF(H187="","",IF(D187&gt;0,"NÃO – há pendências",IF(AND(H187&lt;&gt;G187,H187&lt;&gt;"Não avaliável"),"NÃO – difere do automático: justificar em ata",IF(H187="Lacunas não explicadas",IF(I187=3,"Sim","NÃO – exige unanimidade"),IF(I187&gt;=2,"Sim","NÃO – sem maioria")))))</f>
        <v/>
      </c>
    </row>
    <row r="188">
      <c r="A188" s="15" t="n"/>
      <c r="B188" s="15" t="n"/>
      <c r="C188" s="16">
        <f>IF(A188="","",COUNTIFS(Completude!$F$2:$F$301,A188,Completude!$B$2:$B$301,B188))</f>
        <v/>
      </c>
      <c r="D188" s="16">
        <f>IF(A188="","",COUNTIFS(Completude!$F$2:$F$301,A188,Completude!$B$2:$B$301,B188,Completude!$M$2:$M$301,"Aguarda*")+COUNTIFS(Completude!$F$2:$F$301,A188,Completude!$B$2:$B$301,B188,Completude!$M$2:$M$301,"NÃO*"))</f>
        <v/>
      </c>
      <c r="E188" s="16">
        <f>IF(A188="","",COUNTIFS(Completude!$F$2:$F$301,A188,Completude!$B$2:$B$301,B188,Completude!$M$2:$M$301,"Lacuna não explicada"))</f>
        <v/>
      </c>
      <c r="F188" s="16">
        <f>IF(A188="","",COUNTIFS(Completude!$F$2:$F$301,A188,Completude!$B$2:$B$301,B188,Completude!$M$2:$M$301,"Lacuna explicada"))</f>
        <v/>
      </c>
      <c r="G188" s="16">
        <f>IF(A188="","",IF(C188=0,"Sem registros: confirme que o F5 rodou",IF(D188&gt;0,"Pendente de análise",IF(E188&gt;0,"Lacunas não explicadas",IF(F188&gt;0,"Lacunas explicadas","Completo")))))</f>
        <v/>
      </c>
      <c r="H188" s="15" t="n"/>
      <c r="I188" s="15" t="n"/>
      <c r="J188" s="15" t="n"/>
      <c r="K188" s="16">
        <f>IF(H188="","",IF(D188&gt;0,"NÃO – há pendências",IF(AND(H188&lt;&gt;G188,H188&lt;&gt;"Não avaliável"),"NÃO – difere do automático: justificar em ata",IF(H188="Lacunas não explicadas",IF(I188=3,"Sim","NÃO – exige unanimidade"),IF(I188&gt;=2,"Sim","NÃO – sem maioria")))))</f>
        <v/>
      </c>
    </row>
    <row r="189">
      <c r="A189" s="15" t="n"/>
      <c r="B189" s="15" t="n"/>
      <c r="C189" s="16">
        <f>IF(A189="","",COUNTIFS(Completude!$F$2:$F$301,A189,Completude!$B$2:$B$301,B189))</f>
        <v/>
      </c>
      <c r="D189" s="16">
        <f>IF(A189="","",COUNTIFS(Completude!$F$2:$F$301,A189,Completude!$B$2:$B$301,B189,Completude!$M$2:$M$301,"Aguarda*")+COUNTIFS(Completude!$F$2:$F$301,A189,Completude!$B$2:$B$301,B189,Completude!$M$2:$M$301,"NÃO*"))</f>
        <v/>
      </c>
      <c r="E189" s="16">
        <f>IF(A189="","",COUNTIFS(Completude!$F$2:$F$301,A189,Completude!$B$2:$B$301,B189,Completude!$M$2:$M$301,"Lacuna não explicada"))</f>
        <v/>
      </c>
      <c r="F189" s="16">
        <f>IF(A189="","",COUNTIFS(Completude!$F$2:$F$301,A189,Completude!$B$2:$B$301,B189,Completude!$M$2:$M$301,"Lacuna explicada"))</f>
        <v/>
      </c>
      <c r="G189" s="16">
        <f>IF(A189="","",IF(C189=0,"Sem registros: confirme que o F5 rodou",IF(D189&gt;0,"Pendente de análise",IF(E189&gt;0,"Lacunas não explicadas",IF(F189&gt;0,"Lacunas explicadas","Completo")))))</f>
        <v/>
      </c>
      <c r="H189" s="15" t="n"/>
      <c r="I189" s="15" t="n"/>
      <c r="J189" s="15" t="n"/>
      <c r="K189" s="16">
        <f>IF(H189="","",IF(D189&gt;0,"NÃO – há pendências",IF(AND(H189&lt;&gt;G189,H189&lt;&gt;"Não avaliável"),"NÃO – difere do automático: justificar em ata",IF(H189="Lacunas não explicadas",IF(I189=3,"Sim","NÃO – exige unanimidade"),IF(I189&gt;=2,"Sim","NÃO – sem maioria")))))</f>
        <v/>
      </c>
    </row>
    <row r="190">
      <c r="A190" s="15" t="n"/>
      <c r="B190" s="15" t="n"/>
      <c r="C190" s="16">
        <f>IF(A190="","",COUNTIFS(Completude!$F$2:$F$301,A190,Completude!$B$2:$B$301,B190))</f>
        <v/>
      </c>
      <c r="D190" s="16">
        <f>IF(A190="","",COUNTIFS(Completude!$F$2:$F$301,A190,Completude!$B$2:$B$301,B190,Completude!$M$2:$M$301,"Aguarda*")+COUNTIFS(Completude!$F$2:$F$301,A190,Completude!$B$2:$B$301,B190,Completude!$M$2:$M$301,"NÃO*"))</f>
        <v/>
      </c>
      <c r="E190" s="16">
        <f>IF(A190="","",COUNTIFS(Completude!$F$2:$F$301,A190,Completude!$B$2:$B$301,B190,Completude!$M$2:$M$301,"Lacuna não explicada"))</f>
        <v/>
      </c>
      <c r="F190" s="16">
        <f>IF(A190="","",COUNTIFS(Completude!$F$2:$F$301,A190,Completude!$B$2:$B$301,B190,Completude!$M$2:$M$301,"Lacuna explicada"))</f>
        <v/>
      </c>
      <c r="G190" s="16">
        <f>IF(A190="","",IF(C190=0,"Sem registros: confirme que o F5 rodou",IF(D190&gt;0,"Pendente de análise",IF(E190&gt;0,"Lacunas não explicadas",IF(F190&gt;0,"Lacunas explicadas","Completo")))))</f>
        <v/>
      </c>
      <c r="H190" s="15" t="n"/>
      <c r="I190" s="15" t="n"/>
      <c r="J190" s="15" t="n"/>
      <c r="K190" s="16">
        <f>IF(H190="","",IF(D190&gt;0,"NÃO – há pendências",IF(AND(H190&lt;&gt;G190,H190&lt;&gt;"Não avaliável"),"NÃO – difere do automático: justificar em ata",IF(H190="Lacunas não explicadas",IF(I190=3,"Sim","NÃO – exige unanimidade"),IF(I190&gt;=2,"Sim","NÃO – sem maioria")))))</f>
        <v/>
      </c>
    </row>
    <row r="191">
      <c r="A191" s="15" t="n"/>
      <c r="B191" s="15" t="n"/>
      <c r="C191" s="16">
        <f>IF(A191="","",COUNTIFS(Completude!$F$2:$F$301,A191,Completude!$B$2:$B$301,B191))</f>
        <v/>
      </c>
      <c r="D191" s="16">
        <f>IF(A191="","",COUNTIFS(Completude!$F$2:$F$301,A191,Completude!$B$2:$B$301,B191,Completude!$M$2:$M$301,"Aguarda*")+COUNTIFS(Completude!$F$2:$F$301,A191,Completude!$B$2:$B$301,B191,Completude!$M$2:$M$301,"NÃO*"))</f>
        <v/>
      </c>
      <c r="E191" s="16">
        <f>IF(A191="","",COUNTIFS(Completude!$F$2:$F$301,A191,Completude!$B$2:$B$301,B191,Completude!$M$2:$M$301,"Lacuna não explicada"))</f>
        <v/>
      </c>
      <c r="F191" s="16">
        <f>IF(A191="","",COUNTIFS(Completude!$F$2:$F$301,A191,Completude!$B$2:$B$301,B191,Completude!$M$2:$M$301,"Lacuna explicada"))</f>
        <v/>
      </c>
      <c r="G191" s="16">
        <f>IF(A191="","",IF(C191=0,"Sem registros: confirme que o F5 rodou",IF(D191&gt;0,"Pendente de análise",IF(E191&gt;0,"Lacunas não explicadas",IF(F191&gt;0,"Lacunas explicadas","Completo")))))</f>
        <v/>
      </c>
      <c r="H191" s="15" t="n"/>
      <c r="I191" s="15" t="n"/>
      <c r="J191" s="15" t="n"/>
      <c r="K191" s="16">
        <f>IF(H191="","",IF(D191&gt;0,"NÃO – há pendências",IF(AND(H191&lt;&gt;G191,H191&lt;&gt;"Não avaliável"),"NÃO – difere do automático: justificar em ata",IF(H191="Lacunas não explicadas",IF(I191=3,"Sim","NÃO – exige unanimidade"),IF(I191&gt;=2,"Sim","NÃO – sem maioria")))))</f>
        <v/>
      </c>
    </row>
    <row r="192">
      <c r="A192" s="15" t="n"/>
      <c r="B192" s="15" t="n"/>
      <c r="C192" s="16">
        <f>IF(A192="","",COUNTIFS(Completude!$F$2:$F$301,A192,Completude!$B$2:$B$301,B192))</f>
        <v/>
      </c>
      <c r="D192" s="16">
        <f>IF(A192="","",COUNTIFS(Completude!$F$2:$F$301,A192,Completude!$B$2:$B$301,B192,Completude!$M$2:$M$301,"Aguarda*")+COUNTIFS(Completude!$F$2:$F$301,A192,Completude!$B$2:$B$301,B192,Completude!$M$2:$M$301,"NÃO*"))</f>
        <v/>
      </c>
      <c r="E192" s="16">
        <f>IF(A192="","",COUNTIFS(Completude!$F$2:$F$301,A192,Completude!$B$2:$B$301,B192,Completude!$M$2:$M$301,"Lacuna não explicada"))</f>
        <v/>
      </c>
      <c r="F192" s="16">
        <f>IF(A192="","",COUNTIFS(Completude!$F$2:$F$301,A192,Completude!$B$2:$B$301,B192,Completude!$M$2:$M$301,"Lacuna explicada"))</f>
        <v/>
      </c>
      <c r="G192" s="16">
        <f>IF(A192="","",IF(C192=0,"Sem registros: confirme que o F5 rodou",IF(D192&gt;0,"Pendente de análise",IF(E192&gt;0,"Lacunas não explicadas",IF(F192&gt;0,"Lacunas explicadas","Completo")))))</f>
        <v/>
      </c>
      <c r="H192" s="15" t="n"/>
      <c r="I192" s="15" t="n"/>
      <c r="J192" s="15" t="n"/>
      <c r="K192" s="16">
        <f>IF(H192="","",IF(D192&gt;0,"NÃO – há pendências",IF(AND(H192&lt;&gt;G192,H192&lt;&gt;"Não avaliável"),"NÃO – difere do automático: justificar em ata",IF(H192="Lacunas não explicadas",IF(I192=3,"Sim","NÃO – exige unanimidade"),IF(I192&gt;=2,"Sim","NÃO – sem maioria")))))</f>
        <v/>
      </c>
    </row>
    <row r="193">
      <c r="A193" s="15" t="n"/>
      <c r="B193" s="15" t="n"/>
      <c r="C193" s="16">
        <f>IF(A193="","",COUNTIFS(Completude!$F$2:$F$301,A193,Completude!$B$2:$B$301,B193))</f>
        <v/>
      </c>
      <c r="D193" s="16">
        <f>IF(A193="","",COUNTIFS(Completude!$F$2:$F$301,A193,Completude!$B$2:$B$301,B193,Completude!$M$2:$M$301,"Aguarda*")+COUNTIFS(Completude!$F$2:$F$301,A193,Completude!$B$2:$B$301,B193,Completude!$M$2:$M$301,"NÃO*"))</f>
        <v/>
      </c>
      <c r="E193" s="16">
        <f>IF(A193="","",COUNTIFS(Completude!$F$2:$F$301,A193,Completude!$B$2:$B$301,B193,Completude!$M$2:$M$301,"Lacuna não explicada"))</f>
        <v/>
      </c>
      <c r="F193" s="16">
        <f>IF(A193="","",COUNTIFS(Completude!$F$2:$F$301,A193,Completude!$B$2:$B$301,B193,Completude!$M$2:$M$301,"Lacuna explicada"))</f>
        <v/>
      </c>
      <c r="G193" s="16">
        <f>IF(A193="","",IF(C193=0,"Sem registros: confirme que o F5 rodou",IF(D193&gt;0,"Pendente de análise",IF(E193&gt;0,"Lacunas não explicadas",IF(F193&gt;0,"Lacunas explicadas","Completo")))))</f>
        <v/>
      </c>
      <c r="H193" s="15" t="n"/>
      <c r="I193" s="15" t="n"/>
      <c r="J193" s="15" t="n"/>
      <c r="K193" s="16">
        <f>IF(H193="","",IF(D193&gt;0,"NÃO – há pendências",IF(AND(H193&lt;&gt;G193,H193&lt;&gt;"Não avaliável"),"NÃO – difere do automático: justificar em ata",IF(H193="Lacunas não explicadas",IF(I193=3,"Sim","NÃO – exige unanimidade"),IF(I193&gt;=2,"Sim","NÃO – sem maioria")))))</f>
        <v/>
      </c>
    </row>
    <row r="194">
      <c r="A194" s="15" t="n"/>
      <c r="B194" s="15" t="n"/>
      <c r="C194" s="16">
        <f>IF(A194="","",COUNTIFS(Completude!$F$2:$F$301,A194,Completude!$B$2:$B$301,B194))</f>
        <v/>
      </c>
      <c r="D194" s="16">
        <f>IF(A194="","",COUNTIFS(Completude!$F$2:$F$301,A194,Completude!$B$2:$B$301,B194,Completude!$M$2:$M$301,"Aguarda*")+COUNTIFS(Completude!$F$2:$F$301,A194,Completude!$B$2:$B$301,B194,Completude!$M$2:$M$301,"NÃO*"))</f>
        <v/>
      </c>
      <c r="E194" s="16">
        <f>IF(A194="","",COUNTIFS(Completude!$F$2:$F$301,A194,Completude!$B$2:$B$301,B194,Completude!$M$2:$M$301,"Lacuna não explicada"))</f>
        <v/>
      </c>
      <c r="F194" s="16">
        <f>IF(A194="","",COUNTIFS(Completude!$F$2:$F$301,A194,Completude!$B$2:$B$301,B194,Completude!$M$2:$M$301,"Lacuna explicada"))</f>
        <v/>
      </c>
      <c r="G194" s="16">
        <f>IF(A194="","",IF(C194=0,"Sem registros: confirme que o F5 rodou",IF(D194&gt;0,"Pendente de análise",IF(E194&gt;0,"Lacunas não explicadas",IF(F194&gt;0,"Lacunas explicadas","Completo")))))</f>
        <v/>
      </c>
      <c r="H194" s="15" t="n"/>
      <c r="I194" s="15" t="n"/>
      <c r="J194" s="15" t="n"/>
      <c r="K194" s="16">
        <f>IF(H194="","",IF(D194&gt;0,"NÃO – há pendências",IF(AND(H194&lt;&gt;G194,H194&lt;&gt;"Não avaliável"),"NÃO – difere do automático: justificar em ata",IF(H194="Lacunas não explicadas",IF(I194=3,"Sim","NÃO – exige unanimidade"),IF(I194&gt;=2,"Sim","NÃO – sem maioria")))))</f>
        <v/>
      </c>
    </row>
    <row r="195">
      <c r="A195" s="15" t="n"/>
      <c r="B195" s="15" t="n"/>
      <c r="C195" s="16">
        <f>IF(A195="","",COUNTIFS(Completude!$F$2:$F$301,A195,Completude!$B$2:$B$301,B195))</f>
        <v/>
      </c>
      <c r="D195" s="16">
        <f>IF(A195="","",COUNTIFS(Completude!$F$2:$F$301,A195,Completude!$B$2:$B$301,B195,Completude!$M$2:$M$301,"Aguarda*")+COUNTIFS(Completude!$F$2:$F$301,A195,Completude!$B$2:$B$301,B195,Completude!$M$2:$M$301,"NÃO*"))</f>
        <v/>
      </c>
      <c r="E195" s="16">
        <f>IF(A195="","",COUNTIFS(Completude!$F$2:$F$301,A195,Completude!$B$2:$B$301,B195,Completude!$M$2:$M$301,"Lacuna não explicada"))</f>
        <v/>
      </c>
      <c r="F195" s="16">
        <f>IF(A195="","",COUNTIFS(Completude!$F$2:$F$301,A195,Completude!$B$2:$B$301,B195,Completude!$M$2:$M$301,"Lacuna explicada"))</f>
        <v/>
      </c>
      <c r="G195" s="16">
        <f>IF(A195="","",IF(C195=0,"Sem registros: confirme que o F5 rodou",IF(D195&gt;0,"Pendente de análise",IF(E195&gt;0,"Lacunas não explicadas",IF(F195&gt;0,"Lacunas explicadas","Completo")))))</f>
        <v/>
      </c>
      <c r="H195" s="15" t="n"/>
      <c r="I195" s="15" t="n"/>
      <c r="J195" s="15" t="n"/>
      <c r="K195" s="16">
        <f>IF(H195="","",IF(D195&gt;0,"NÃO – há pendências",IF(AND(H195&lt;&gt;G195,H195&lt;&gt;"Não avaliável"),"NÃO – difere do automático: justificar em ata",IF(H195="Lacunas não explicadas",IF(I195=3,"Sim","NÃO – exige unanimidade"),IF(I195&gt;=2,"Sim","NÃO – sem maioria")))))</f>
        <v/>
      </c>
    </row>
    <row r="196">
      <c r="A196" s="15" t="n"/>
      <c r="B196" s="15" t="n"/>
      <c r="C196" s="16">
        <f>IF(A196="","",COUNTIFS(Completude!$F$2:$F$301,A196,Completude!$B$2:$B$301,B196))</f>
        <v/>
      </c>
      <c r="D196" s="16">
        <f>IF(A196="","",COUNTIFS(Completude!$F$2:$F$301,A196,Completude!$B$2:$B$301,B196,Completude!$M$2:$M$301,"Aguarda*")+COUNTIFS(Completude!$F$2:$F$301,A196,Completude!$B$2:$B$301,B196,Completude!$M$2:$M$301,"NÃO*"))</f>
        <v/>
      </c>
      <c r="E196" s="16">
        <f>IF(A196="","",COUNTIFS(Completude!$F$2:$F$301,A196,Completude!$B$2:$B$301,B196,Completude!$M$2:$M$301,"Lacuna não explicada"))</f>
        <v/>
      </c>
      <c r="F196" s="16">
        <f>IF(A196="","",COUNTIFS(Completude!$F$2:$F$301,A196,Completude!$B$2:$B$301,B196,Completude!$M$2:$M$301,"Lacuna explicada"))</f>
        <v/>
      </c>
      <c r="G196" s="16">
        <f>IF(A196="","",IF(C196=0,"Sem registros: confirme que o F5 rodou",IF(D196&gt;0,"Pendente de análise",IF(E196&gt;0,"Lacunas não explicadas",IF(F196&gt;0,"Lacunas explicadas","Completo")))))</f>
        <v/>
      </c>
      <c r="H196" s="15" t="n"/>
      <c r="I196" s="15" t="n"/>
      <c r="J196" s="15" t="n"/>
      <c r="K196" s="16">
        <f>IF(H196="","",IF(D196&gt;0,"NÃO – há pendências",IF(AND(H196&lt;&gt;G196,H196&lt;&gt;"Não avaliável"),"NÃO – difere do automático: justificar em ata",IF(H196="Lacunas não explicadas",IF(I196=3,"Sim","NÃO – exige unanimidade"),IF(I196&gt;=2,"Sim","NÃO – sem maioria")))))</f>
        <v/>
      </c>
    </row>
    <row r="197">
      <c r="A197" s="15" t="n"/>
      <c r="B197" s="15" t="n"/>
      <c r="C197" s="16">
        <f>IF(A197="","",COUNTIFS(Completude!$F$2:$F$301,A197,Completude!$B$2:$B$301,B197))</f>
        <v/>
      </c>
      <c r="D197" s="16">
        <f>IF(A197="","",COUNTIFS(Completude!$F$2:$F$301,A197,Completude!$B$2:$B$301,B197,Completude!$M$2:$M$301,"Aguarda*")+COUNTIFS(Completude!$F$2:$F$301,A197,Completude!$B$2:$B$301,B197,Completude!$M$2:$M$301,"NÃO*"))</f>
        <v/>
      </c>
      <c r="E197" s="16">
        <f>IF(A197="","",COUNTIFS(Completude!$F$2:$F$301,A197,Completude!$B$2:$B$301,B197,Completude!$M$2:$M$301,"Lacuna não explicada"))</f>
        <v/>
      </c>
      <c r="F197" s="16">
        <f>IF(A197="","",COUNTIFS(Completude!$F$2:$F$301,A197,Completude!$B$2:$B$301,B197,Completude!$M$2:$M$301,"Lacuna explicada"))</f>
        <v/>
      </c>
      <c r="G197" s="16">
        <f>IF(A197="","",IF(C197=0,"Sem registros: confirme que o F5 rodou",IF(D197&gt;0,"Pendente de análise",IF(E197&gt;0,"Lacunas não explicadas",IF(F197&gt;0,"Lacunas explicadas","Completo")))))</f>
        <v/>
      </c>
      <c r="H197" s="15" t="n"/>
      <c r="I197" s="15" t="n"/>
      <c r="J197" s="15" t="n"/>
      <c r="K197" s="16">
        <f>IF(H197="","",IF(D197&gt;0,"NÃO – há pendências",IF(AND(H197&lt;&gt;G197,H197&lt;&gt;"Não avaliável"),"NÃO – difere do automático: justificar em ata",IF(H197="Lacunas não explicadas",IF(I197=3,"Sim","NÃO – exige unanimidade"),IF(I197&gt;=2,"Sim","NÃO – sem maioria")))))</f>
        <v/>
      </c>
    </row>
    <row r="198">
      <c r="A198" s="15" t="n"/>
      <c r="B198" s="15" t="n"/>
      <c r="C198" s="16">
        <f>IF(A198="","",COUNTIFS(Completude!$F$2:$F$301,A198,Completude!$B$2:$B$301,B198))</f>
        <v/>
      </c>
      <c r="D198" s="16">
        <f>IF(A198="","",COUNTIFS(Completude!$F$2:$F$301,A198,Completude!$B$2:$B$301,B198,Completude!$M$2:$M$301,"Aguarda*")+COUNTIFS(Completude!$F$2:$F$301,A198,Completude!$B$2:$B$301,B198,Completude!$M$2:$M$301,"NÃO*"))</f>
        <v/>
      </c>
      <c r="E198" s="16">
        <f>IF(A198="","",COUNTIFS(Completude!$F$2:$F$301,A198,Completude!$B$2:$B$301,B198,Completude!$M$2:$M$301,"Lacuna não explicada"))</f>
        <v/>
      </c>
      <c r="F198" s="16">
        <f>IF(A198="","",COUNTIFS(Completude!$F$2:$F$301,A198,Completude!$B$2:$B$301,B198,Completude!$M$2:$M$301,"Lacuna explicada"))</f>
        <v/>
      </c>
      <c r="G198" s="16">
        <f>IF(A198="","",IF(C198=0,"Sem registros: confirme que o F5 rodou",IF(D198&gt;0,"Pendente de análise",IF(E198&gt;0,"Lacunas não explicadas",IF(F198&gt;0,"Lacunas explicadas","Completo")))))</f>
        <v/>
      </c>
      <c r="H198" s="15" t="n"/>
      <c r="I198" s="15" t="n"/>
      <c r="J198" s="15" t="n"/>
      <c r="K198" s="16">
        <f>IF(H198="","",IF(D198&gt;0,"NÃO – há pendências",IF(AND(H198&lt;&gt;G198,H198&lt;&gt;"Não avaliável"),"NÃO – difere do automático: justificar em ata",IF(H198="Lacunas não explicadas",IF(I198=3,"Sim","NÃO – exige unanimidade"),IF(I198&gt;=2,"Sim","NÃO – sem maioria")))))</f>
        <v/>
      </c>
    </row>
    <row r="199">
      <c r="A199" s="15" t="n"/>
      <c r="B199" s="15" t="n"/>
      <c r="C199" s="16">
        <f>IF(A199="","",COUNTIFS(Completude!$F$2:$F$301,A199,Completude!$B$2:$B$301,B199))</f>
        <v/>
      </c>
      <c r="D199" s="16">
        <f>IF(A199="","",COUNTIFS(Completude!$F$2:$F$301,A199,Completude!$B$2:$B$301,B199,Completude!$M$2:$M$301,"Aguarda*")+COUNTIFS(Completude!$F$2:$F$301,A199,Completude!$B$2:$B$301,B199,Completude!$M$2:$M$301,"NÃO*"))</f>
        <v/>
      </c>
      <c r="E199" s="16">
        <f>IF(A199="","",COUNTIFS(Completude!$F$2:$F$301,A199,Completude!$B$2:$B$301,B199,Completude!$M$2:$M$301,"Lacuna não explicada"))</f>
        <v/>
      </c>
      <c r="F199" s="16">
        <f>IF(A199="","",COUNTIFS(Completude!$F$2:$F$301,A199,Completude!$B$2:$B$301,B199,Completude!$M$2:$M$301,"Lacuna explicada"))</f>
        <v/>
      </c>
      <c r="G199" s="16">
        <f>IF(A199="","",IF(C199=0,"Sem registros: confirme que o F5 rodou",IF(D199&gt;0,"Pendente de análise",IF(E199&gt;0,"Lacunas não explicadas",IF(F199&gt;0,"Lacunas explicadas","Completo")))))</f>
        <v/>
      </c>
      <c r="H199" s="15" t="n"/>
      <c r="I199" s="15" t="n"/>
      <c r="J199" s="15" t="n"/>
      <c r="K199" s="16">
        <f>IF(H199="","",IF(D199&gt;0,"NÃO – há pendências",IF(AND(H199&lt;&gt;G199,H199&lt;&gt;"Não avaliável"),"NÃO – difere do automático: justificar em ata",IF(H199="Lacunas não explicadas",IF(I199=3,"Sim","NÃO – exige unanimidade"),IF(I199&gt;=2,"Sim","NÃO – sem maioria")))))</f>
        <v/>
      </c>
    </row>
    <row r="200">
      <c r="A200" s="15" t="n"/>
      <c r="B200" s="15" t="n"/>
      <c r="C200" s="16">
        <f>IF(A200="","",COUNTIFS(Completude!$F$2:$F$301,A200,Completude!$B$2:$B$301,B200))</f>
        <v/>
      </c>
      <c r="D200" s="16">
        <f>IF(A200="","",COUNTIFS(Completude!$F$2:$F$301,A200,Completude!$B$2:$B$301,B200,Completude!$M$2:$M$301,"Aguarda*")+COUNTIFS(Completude!$F$2:$F$301,A200,Completude!$B$2:$B$301,B200,Completude!$M$2:$M$301,"NÃO*"))</f>
        <v/>
      </c>
      <c r="E200" s="16">
        <f>IF(A200="","",COUNTIFS(Completude!$F$2:$F$301,A200,Completude!$B$2:$B$301,B200,Completude!$M$2:$M$301,"Lacuna não explicada"))</f>
        <v/>
      </c>
      <c r="F200" s="16">
        <f>IF(A200="","",COUNTIFS(Completude!$F$2:$F$301,A200,Completude!$B$2:$B$301,B200,Completude!$M$2:$M$301,"Lacuna explicada"))</f>
        <v/>
      </c>
      <c r="G200" s="16">
        <f>IF(A200="","",IF(C200=0,"Sem registros: confirme que o F5 rodou",IF(D200&gt;0,"Pendente de análise",IF(E200&gt;0,"Lacunas não explicadas",IF(F200&gt;0,"Lacunas explicadas","Completo")))))</f>
        <v/>
      </c>
      <c r="H200" s="15" t="n"/>
      <c r="I200" s="15" t="n"/>
      <c r="J200" s="15" t="n"/>
      <c r="K200" s="16">
        <f>IF(H200="","",IF(D200&gt;0,"NÃO – há pendências",IF(AND(H200&lt;&gt;G200,H200&lt;&gt;"Não avaliável"),"NÃO – difere do automático: justificar em ata",IF(H200="Lacunas não explicadas",IF(I200=3,"Sim","NÃO – exige unanimidade"),IF(I200&gt;=2,"Sim","NÃO – sem maioria")))))</f>
        <v/>
      </c>
    </row>
    <row r="201">
      <c r="A201" s="15" t="n"/>
      <c r="B201" s="15" t="n"/>
      <c r="C201" s="16">
        <f>IF(A201="","",COUNTIFS(Completude!$F$2:$F$301,A201,Completude!$B$2:$B$301,B201))</f>
        <v/>
      </c>
      <c r="D201" s="16">
        <f>IF(A201="","",COUNTIFS(Completude!$F$2:$F$301,A201,Completude!$B$2:$B$301,B201,Completude!$M$2:$M$301,"Aguarda*")+COUNTIFS(Completude!$F$2:$F$301,A201,Completude!$B$2:$B$301,B201,Completude!$M$2:$M$301,"NÃO*"))</f>
        <v/>
      </c>
      <c r="E201" s="16">
        <f>IF(A201="","",COUNTIFS(Completude!$F$2:$F$301,A201,Completude!$B$2:$B$301,B201,Completude!$M$2:$M$301,"Lacuna não explicada"))</f>
        <v/>
      </c>
      <c r="F201" s="16">
        <f>IF(A201="","",COUNTIFS(Completude!$F$2:$F$301,A201,Completude!$B$2:$B$301,B201,Completude!$M$2:$M$301,"Lacuna explicada"))</f>
        <v/>
      </c>
      <c r="G201" s="16">
        <f>IF(A201="","",IF(C201=0,"Sem registros: confirme que o F5 rodou",IF(D201&gt;0,"Pendente de análise",IF(E201&gt;0,"Lacunas não explicadas",IF(F201&gt;0,"Lacunas explicadas","Completo")))))</f>
        <v/>
      </c>
      <c r="H201" s="15" t="n"/>
      <c r="I201" s="15" t="n"/>
      <c r="J201" s="15" t="n"/>
      <c r="K201" s="16">
        <f>IF(H201="","",IF(D201&gt;0,"NÃO – há pendências",IF(AND(H201&lt;&gt;G201,H201&lt;&gt;"Não avaliável"),"NÃO – difere do automático: justificar em ata",IF(H201="Lacunas não explicadas",IF(I201=3,"Sim","NÃO – exige unanimidade"),IF(I201&gt;=2,"Sim","NÃO – sem maioria")))))</f>
        <v/>
      </c>
    </row>
    <row r="202">
      <c r="A202" s="15" t="n"/>
      <c r="B202" s="15" t="n"/>
      <c r="C202" s="16">
        <f>IF(A202="","",COUNTIFS(Completude!$F$2:$F$301,A202,Completude!$B$2:$B$301,B202))</f>
        <v/>
      </c>
      <c r="D202" s="16">
        <f>IF(A202="","",COUNTIFS(Completude!$F$2:$F$301,A202,Completude!$B$2:$B$301,B202,Completude!$M$2:$M$301,"Aguarda*")+COUNTIFS(Completude!$F$2:$F$301,A202,Completude!$B$2:$B$301,B202,Completude!$M$2:$M$301,"NÃO*"))</f>
        <v/>
      </c>
      <c r="E202" s="16">
        <f>IF(A202="","",COUNTIFS(Completude!$F$2:$F$301,A202,Completude!$B$2:$B$301,B202,Completude!$M$2:$M$301,"Lacuna não explicada"))</f>
        <v/>
      </c>
      <c r="F202" s="16">
        <f>IF(A202="","",COUNTIFS(Completude!$F$2:$F$301,A202,Completude!$B$2:$B$301,B202,Completude!$M$2:$M$301,"Lacuna explicada"))</f>
        <v/>
      </c>
      <c r="G202" s="16">
        <f>IF(A202="","",IF(C202=0,"Sem registros: confirme que o F5 rodou",IF(D202&gt;0,"Pendente de análise",IF(E202&gt;0,"Lacunas não explicadas",IF(F202&gt;0,"Lacunas explicadas","Completo")))))</f>
        <v/>
      </c>
      <c r="H202" s="15" t="n"/>
      <c r="I202" s="15" t="n"/>
      <c r="J202" s="15" t="n"/>
      <c r="K202" s="16">
        <f>IF(H202="","",IF(D202&gt;0,"NÃO – há pendências",IF(AND(H202&lt;&gt;G202,H202&lt;&gt;"Não avaliável"),"NÃO – difere do automático: justificar em ata",IF(H202="Lacunas não explicadas",IF(I202=3,"Sim","NÃO – exige unanimidade"),IF(I202&gt;=2,"Sim","NÃO – sem maioria")))))</f>
        <v/>
      </c>
    </row>
    <row r="203">
      <c r="A203" s="15" t="n"/>
      <c r="B203" s="15" t="n"/>
      <c r="C203" s="16">
        <f>IF(A203="","",COUNTIFS(Completude!$F$2:$F$301,A203,Completude!$B$2:$B$301,B203))</f>
        <v/>
      </c>
      <c r="D203" s="16">
        <f>IF(A203="","",COUNTIFS(Completude!$F$2:$F$301,A203,Completude!$B$2:$B$301,B203,Completude!$M$2:$M$301,"Aguarda*")+COUNTIFS(Completude!$F$2:$F$301,A203,Completude!$B$2:$B$301,B203,Completude!$M$2:$M$301,"NÃO*"))</f>
        <v/>
      </c>
      <c r="E203" s="16">
        <f>IF(A203="","",COUNTIFS(Completude!$F$2:$F$301,A203,Completude!$B$2:$B$301,B203,Completude!$M$2:$M$301,"Lacuna não explicada"))</f>
        <v/>
      </c>
      <c r="F203" s="16">
        <f>IF(A203="","",COUNTIFS(Completude!$F$2:$F$301,A203,Completude!$B$2:$B$301,B203,Completude!$M$2:$M$301,"Lacuna explicada"))</f>
        <v/>
      </c>
      <c r="G203" s="16">
        <f>IF(A203="","",IF(C203=0,"Sem registros: confirme que o F5 rodou",IF(D203&gt;0,"Pendente de análise",IF(E203&gt;0,"Lacunas não explicadas",IF(F203&gt;0,"Lacunas explicadas","Completo")))))</f>
        <v/>
      </c>
      <c r="H203" s="15" t="n"/>
      <c r="I203" s="15" t="n"/>
      <c r="J203" s="15" t="n"/>
      <c r="K203" s="16">
        <f>IF(H203="","",IF(D203&gt;0,"NÃO – há pendências",IF(AND(H203&lt;&gt;G203,H203&lt;&gt;"Não avaliável"),"NÃO – difere do automático: justificar em ata",IF(H203="Lacunas não explicadas",IF(I203=3,"Sim","NÃO – exige unanimidade"),IF(I203&gt;=2,"Sim","NÃO – sem maioria")))))</f>
        <v/>
      </c>
    </row>
    <row r="204">
      <c r="A204" s="15" t="n"/>
      <c r="B204" s="15" t="n"/>
      <c r="C204" s="16">
        <f>IF(A204="","",COUNTIFS(Completude!$F$2:$F$301,A204,Completude!$B$2:$B$301,B204))</f>
        <v/>
      </c>
      <c r="D204" s="16">
        <f>IF(A204="","",COUNTIFS(Completude!$F$2:$F$301,A204,Completude!$B$2:$B$301,B204,Completude!$M$2:$M$301,"Aguarda*")+COUNTIFS(Completude!$F$2:$F$301,A204,Completude!$B$2:$B$301,B204,Completude!$M$2:$M$301,"NÃO*"))</f>
        <v/>
      </c>
      <c r="E204" s="16">
        <f>IF(A204="","",COUNTIFS(Completude!$F$2:$F$301,A204,Completude!$B$2:$B$301,B204,Completude!$M$2:$M$301,"Lacuna não explicada"))</f>
        <v/>
      </c>
      <c r="F204" s="16">
        <f>IF(A204="","",COUNTIFS(Completude!$F$2:$F$301,A204,Completude!$B$2:$B$301,B204,Completude!$M$2:$M$301,"Lacuna explicada"))</f>
        <v/>
      </c>
      <c r="G204" s="16">
        <f>IF(A204="","",IF(C204=0,"Sem registros: confirme que o F5 rodou",IF(D204&gt;0,"Pendente de análise",IF(E204&gt;0,"Lacunas não explicadas",IF(F204&gt;0,"Lacunas explicadas","Completo")))))</f>
        <v/>
      </c>
      <c r="H204" s="15" t="n"/>
      <c r="I204" s="15" t="n"/>
      <c r="J204" s="15" t="n"/>
      <c r="K204" s="16">
        <f>IF(H204="","",IF(D204&gt;0,"NÃO – há pendências",IF(AND(H204&lt;&gt;G204,H204&lt;&gt;"Não avaliável"),"NÃO – difere do automático: justificar em ata",IF(H204="Lacunas não explicadas",IF(I204=3,"Sim","NÃO – exige unanimidade"),IF(I204&gt;=2,"Sim","NÃO – sem maioria")))))</f>
        <v/>
      </c>
    </row>
    <row r="205">
      <c r="A205" s="15" t="n"/>
      <c r="B205" s="15" t="n"/>
      <c r="C205" s="16">
        <f>IF(A205="","",COUNTIFS(Completude!$F$2:$F$301,A205,Completude!$B$2:$B$301,B205))</f>
        <v/>
      </c>
      <c r="D205" s="16">
        <f>IF(A205="","",COUNTIFS(Completude!$F$2:$F$301,A205,Completude!$B$2:$B$301,B205,Completude!$M$2:$M$301,"Aguarda*")+COUNTIFS(Completude!$F$2:$F$301,A205,Completude!$B$2:$B$301,B205,Completude!$M$2:$M$301,"NÃO*"))</f>
        <v/>
      </c>
      <c r="E205" s="16">
        <f>IF(A205="","",COUNTIFS(Completude!$F$2:$F$301,A205,Completude!$B$2:$B$301,B205,Completude!$M$2:$M$301,"Lacuna não explicada"))</f>
        <v/>
      </c>
      <c r="F205" s="16">
        <f>IF(A205="","",COUNTIFS(Completude!$F$2:$F$301,A205,Completude!$B$2:$B$301,B205,Completude!$M$2:$M$301,"Lacuna explicada"))</f>
        <v/>
      </c>
      <c r="G205" s="16">
        <f>IF(A205="","",IF(C205=0,"Sem registros: confirme que o F5 rodou",IF(D205&gt;0,"Pendente de análise",IF(E205&gt;0,"Lacunas não explicadas",IF(F205&gt;0,"Lacunas explicadas","Completo")))))</f>
        <v/>
      </c>
      <c r="H205" s="15" t="n"/>
      <c r="I205" s="15" t="n"/>
      <c r="J205" s="15" t="n"/>
      <c r="K205" s="16">
        <f>IF(H205="","",IF(D205&gt;0,"NÃO – há pendências",IF(AND(H205&lt;&gt;G205,H205&lt;&gt;"Não avaliável"),"NÃO – difere do automático: justificar em ata",IF(H205="Lacunas não explicadas",IF(I205=3,"Sim","NÃO – exige unanimidade"),IF(I205&gt;=2,"Sim","NÃO – sem maioria")))))</f>
        <v/>
      </c>
    </row>
    <row r="206">
      <c r="A206" s="15" t="n"/>
      <c r="B206" s="15" t="n"/>
      <c r="C206" s="16">
        <f>IF(A206="","",COUNTIFS(Completude!$F$2:$F$301,A206,Completude!$B$2:$B$301,B206))</f>
        <v/>
      </c>
      <c r="D206" s="16">
        <f>IF(A206="","",COUNTIFS(Completude!$F$2:$F$301,A206,Completude!$B$2:$B$301,B206,Completude!$M$2:$M$301,"Aguarda*")+COUNTIFS(Completude!$F$2:$F$301,A206,Completude!$B$2:$B$301,B206,Completude!$M$2:$M$301,"NÃO*"))</f>
        <v/>
      </c>
      <c r="E206" s="16">
        <f>IF(A206="","",COUNTIFS(Completude!$F$2:$F$301,A206,Completude!$B$2:$B$301,B206,Completude!$M$2:$M$301,"Lacuna não explicada"))</f>
        <v/>
      </c>
      <c r="F206" s="16">
        <f>IF(A206="","",COUNTIFS(Completude!$F$2:$F$301,A206,Completude!$B$2:$B$301,B206,Completude!$M$2:$M$301,"Lacuna explicada"))</f>
        <v/>
      </c>
      <c r="G206" s="16">
        <f>IF(A206="","",IF(C206=0,"Sem registros: confirme que o F5 rodou",IF(D206&gt;0,"Pendente de análise",IF(E206&gt;0,"Lacunas não explicadas",IF(F206&gt;0,"Lacunas explicadas","Completo")))))</f>
        <v/>
      </c>
      <c r="H206" s="15" t="n"/>
      <c r="I206" s="15" t="n"/>
      <c r="J206" s="15" t="n"/>
      <c r="K206" s="16">
        <f>IF(H206="","",IF(D206&gt;0,"NÃO – há pendências",IF(AND(H206&lt;&gt;G206,H206&lt;&gt;"Não avaliável"),"NÃO – difere do automático: justificar em ata",IF(H206="Lacunas não explicadas",IF(I206=3,"Sim","NÃO – exige unanimidade"),IF(I206&gt;=2,"Sim","NÃO – sem maioria")))))</f>
        <v/>
      </c>
    </row>
    <row r="207">
      <c r="A207" s="15" t="n"/>
      <c r="B207" s="15" t="n"/>
      <c r="C207" s="16">
        <f>IF(A207="","",COUNTIFS(Completude!$F$2:$F$301,A207,Completude!$B$2:$B$301,B207))</f>
        <v/>
      </c>
      <c r="D207" s="16">
        <f>IF(A207="","",COUNTIFS(Completude!$F$2:$F$301,A207,Completude!$B$2:$B$301,B207,Completude!$M$2:$M$301,"Aguarda*")+COUNTIFS(Completude!$F$2:$F$301,A207,Completude!$B$2:$B$301,B207,Completude!$M$2:$M$301,"NÃO*"))</f>
        <v/>
      </c>
      <c r="E207" s="16">
        <f>IF(A207="","",COUNTIFS(Completude!$F$2:$F$301,A207,Completude!$B$2:$B$301,B207,Completude!$M$2:$M$301,"Lacuna não explicada"))</f>
        <v/>
      </c>
      <c r="F207" s="16">
        <f>IF(A207="","",COUNTIFS(Completude!$F$2:$F$301,A207,Completude!$B$2:$B$301,B207,Completude!$M$2:$M$301,"Lacuna explicada"))</f>
        <v/>
      </c>
      <c r="G207" s="16">
        <f>IF(A207="","",IF(C207=0,"Sem registros: confirme que o F5 rodou",IF(D207&gt;0,"Pendente de análise",IF(E207&gt;0,"Lacunas não explicadas",IF(F207&gt;0,"Lacunas explicadas","Completo")))))</f>
        <v/>
      </c>
      <c r="H207" s="15" t="n"/>
      <c r="I207" s="15" t="n"/>
      <c r="J207" s="15" t="n"/>
      <c r="K207" s="16">
        <f>IF(H207="","",IF(D207&gt;0,"NÃO – há pendências",IF(AND(H207&lt;&gt;G207,H207&lt;&gt;"Não avaliável"),"NÃO – difere do automático: justificar em ata",IF(H207="Lacunas não explicadas",IF(I207=3,"Sim","NÃO – exige unanimidade"),IF(I207&gt;=2,"Sim","NÃO – sem maioria")))))</f>
        <v/>
      </c>
    </row>
    <row r="208">
      <c r="A208" s="15" t="n"/>
      <c r="B208" s="15" t="n"/>
      <c r="C208" s="16">
        <f>IF(A208="","",COUNTIFS(Completude!$F$2:$F$301,A208,Completude!$B$2:$B$301,B208))</f>
        <v/>
      </c>
      <c r="D208" s="16">
        <f>IF(A208="","",COUNTIFS(Completude!$F$2:$F$301,A208,Completude!$B$2:$B$301,B208,Completude!$M$2:$M$301,"Aguarda*")+COUNTIFS(Completude!$F$2:$F$301,A208,Completude!$B$2:$B$301,B208,Completude!$M$2:$M$301,"NÃO*"))</f>
        <v/>
      </c>
      <c r="E208" s="16">
        <f>IF(A208="","",COUNTIFS(Completude!$F$2:$F$301,A208,Completude!$B$2:$B$301,B208,Completude!$M$2:$M$301,"Lacuna não explicada"))</f>
        <v/>
      </c>
      <c r="F208" s="16">
        <f>IF(A208="","",COUNTIFS(Completude!$F$2:$F$301,A208,Completude!$B$2:$B$301,B208,Completude!$M$2:$M$301,"Lacuna explicada"))</f>
        <v/>
      </c>
      <c r="G208" s="16">
        <f>IF(A208="","",IF(C208=0,"Sem registros: confirme que o F5 rodou",IF(D208&gt;0,"Pendente de análise",IF(E208&gt;0,"Lacunas não explicadas",IF(F208&gt;0,"Lacunas explicadas","Completo")))))</f>
        <v/>
      </c>
      <c r="H208" s="15" t="n"/>
      <c r="I208" s="15" t="n"/>
      <c r="J208" s="15" t="n"/>
      <c r="K208" s="16">
        <f>IF(H208="","",IF(D208&gt;0,"NÃO – há pendências",IF(AND(H208&lt;&gt;G208,H208&lt;&gt;"Não avaliável"),"NÃO – difere do automático: justificar em ata",IF(H208="Lacunas não explicadas",IF(I208=3,"Sim","NÃO – exige unanimidade"),IF(I208&gt;=2,"Sim","NÃO – sem maioria")))))</f>
        <v/>
      </c>
    </row>
    <row r="209">
      <c r="A209" s="15" t="n"/>
      <c r="B209" s="15" t="n"/>
      <c r="C209" s="16">
        <f>IF(A209="","",COUNTIFS(Completude!$F$2:$F$301,A209,Completude!$B$2:$B$301,B209))</f>
        <v/>
      </c>
      <c r="D209" s="16">
        <f>IF(A209="","",COUNTIFS(Completude!$F$2:$F$301,A209,Completude!$B$2:$B$301,B209,Completude!$M$2:$M$301,"Aguarda*")+COUNTIFS(Completude!$F$2:$F$301,A209,Completude!$B$2:$B$301,B209,Completude!$M$2:$M$301,"NÃO*"))</f>
        <v/>
      </c>
      <c r="E209" s="16">
        <f>IF(A209="","",COUNTIFS(Completude!$F$2:$F$301,A209,Completude!$B$2:$B$301,B209,Completude!$M$2:$M$301,"Lacuna não explicada"))</f>
        <v/>
      </c>
      <c r="F209" s="16">
        <f>IF(A209="","",COUNTIFS(Completude!$F$2:$F$301,A209,Completude!$B$2:$B$301,B209,Completude!$M$2:$M$301,"Lacuna explicada"))</f>
        <v/>
      </c>
      <c r="G209" s="16">
        <f>IF(A209="","",IF(C209=0,"Sem registros: confirme que o F5 rodou",IF(D209&gt;0,"Pendente de análise",IF(E209&gt;0,"Lacunas não explicadas",IF(F209&gt;0,"Lacunas explicadas","Completo")))))</f>
        <v/>
      </c>
      <c r="H209" s="15" t="n"/>
      <c r="I209" s="15" t="n"/>
      <c r="J209" s="15" t="n"/>
      <c r="K209" s="16">
        <f>IF(H209="","",IF(D209&gt;0,"NÃO – há pendências",IF(AND(H209&lt;&gt;G209,H209&lt;&gt;"Não avaliável"),"NÃO – difere do automático: justificar em ata",IF(H209="Lacunas não explicadas",IF(I209=3,"Sim","NÃO – exige unanimidade"),IF(I209&gt;=2,"Sim","NÃO – sem maioria")))))</f>
        <v/>
      </c>
    </row>
    <row r="210">
      <c r="A210" s="15" t="n"/>
      <c r="B210" s="15" t="n"/>
      <c r="C210" s="16">
        <f>IF(A210="","",COUNTIFS(Completude!$F$2:$F$301,A210,Completude!$B$2:$B$301,B210))</f>
        <v/>
      </c>
      <c r="D210" s="16">
        <f>IF(A210="","",COUNTIFS(Completude!$F$2:$F$301,A210,Completude!$B$2:$B$301,B210,Completude!$M$2:$M$301,"Aguarda*")+COUNTIFS(Completude!$F$2:$F$301,A210,Completude!$B$2:$B$301,B210,Completude!$M$2:$M$301,"NÃO*"))</f>
        <v/>
      </c>
      <c r="E210" s="16">
        <f>IF(A210="","",COUNTIFS(Completude!$F$2:$F$301,A210,Completude!$B$2:$B$301,B210,Completude!$M$2:$M$301,"Lacuna não explicada"))</f>
        <v/>
      </c>
      <c r="F210" s="16">
        <f>IF(A210="","",COUNTIFS(Completude!$F$2:$F$301,A210,Completude!$B$2:$B$301,B210,Completude!$M$2:$M$301,"Lacuna explicada"))</f>
        <v/>
      </c>
      <c r="G210" s="16">
        <f>IF(A210="","",IF(C210=0,"Sem registros: confirme que o F5 rodou",IF(D210&gt;0,"Pendente de análise",IF(E210&gt;0,"Lacunas não explicadas",IF(F210&gt;0,"Lacunas explicadas","Completo")))))</f>
        <v/>
      </c>
      <c r="H210" s="15" t="n"/>
      <c r="I210" s="15" t="n"/>
      <c r="J210" s="15" t="n"/>
      <c r="K210" s="16">
        <f>IF(H210="","",IF(D210&gt;0,"NÃO – há pendências",IF(AND(H210&lt;&gt;G210,H210&lt;&gt;"Não avaliável"),"NÃO – difere do automático: justificar em ata",IF(H210="Lacunas não explicadas",IF(I210=3,"Sim","NÃO – exige unanimidade"),IF(I210&gt;=2,"Sim","NÃO – sem maioria")))))</f>
        <v/>
      </c>
    </row>
    <row r="211">
      <c r="A211" s="15" t="n"/>
      <c r="B211" s="15" t="n"/>
      <c r="C211" s="16">
        <f>IF(A211="","",COUNTIFS(Completude!$F$2:$F$301,A211,Completude!$B$2:$B$301,B211))</f>
        <v/>
      </c>
      <c r="D211" s="16">
        <f>IF(A211="","",COUNTIFS(Completude!$F$2:$F$301,A211,Completude!$B$2:$B$301,B211,Completude!$M$2:$M$301,"Aguarda*")+COUNTIFS(Completude!$F$2:$F$301,A211,Completude!$B$2:$B$301,B211,Completude!$M$2:$M$301,"NÃO*"))</f>
        <v/>
      </c>
      <c r="E211" s="16">
        <f>IF(A211="","",COUNTIFS(Completude!$F$2:$F$301,A211,Completude!$B$2:$B$301,B211,Completude!$M$2:$M$301,"Lacuna não explicada"))</f>
        <v/>
      </c>
      <c r="F211" s="16">
        <f>IF(A211="","",COUNTIFS(Completude!$F$2:$F$301,A211,Completude!$B$2:$B$301,B211,Completude!$M$2:$M$301,"Lacuna explicada"))</f>
        <v/>
      </c>
      <c r="G211" s="16">
        <f>IF(A211="","",IF(C211=0,"Sem registros: confirme que o F5 rodou",IF(D211&gt;0,"Pendente de análise",IF(E211&gt;0,"Lacunas não explicadas",IF(F211&gt;0,"Lacunas explicadas","Completo")))))</f>
        <v/>
      </c>
      <c r="H211" s="15" t="n"/>
      <c r="I211" s="15" t="n"/>
      <c r="J211" s="15" t="n"/>
      <c r="K211" s="16">
        <f>IF(H211="","",IF(D211&gt;0,"NÃO – há pendências",IF(AND(H211&lt;&gt;G211,H211&lt;&gt;"Não avaliável"),"NÃO – difere do automático: justificar em ata",IF(H211="Lacunas não explicadas",IF(I211=3,"Sim","NÃO – exige unanimidade"),IF(I211&gt;=2,"Sim","NÃO – sem maioria")))))</f>
        <v/>
      </c>
    </row>
    <row r="212">
      <c r="A212" s="15" t="n"/>
      <c r="B212" s="15" t="n"/>
      <c r="C212" s="16">
        <f>IF(A212="","",COUNTIFS(Completude!$F$2:$F$301,A212,Completude!$B$2:$B$301,B212))</f>
        <v/>
      </c>
      <c r="D212" s="16">
        <f>IF(A212="","",COUNTIFS(Completude!$F$2:$F$301,A212,Completude!$B$2:$B$301,B212,Completude!$M$2:$M$301,"Aguarda*")+COUNTIFS(Completude!$F$2:$F$301,A212,Completude!$B$2:$B$301,B212,Completude!$M$2:$M$301,"NÃO*"))</f>
        <v/>
      </c>
      <c r="E212" s="16">
        <f>IF(A212="","",COUNTIFS(Completude!$F$2:$F$301,A212,Completude!$B$2:$B$301,B212,Completude!$M$2:$M$301,"Lacuna não explicada"))</f>
        <v/>
      </c>
      <c r="F212" s="16">
        <f>IF(A212="","",COUNTIFS(Completude!$F$2:$F$301,A212,Completude!$B$2:$B$301,B212,Completude!$M$2:$M$301,"Lacuna explicada"))</f>
        <v/>
      </c>
      <c r="G212" s="16">
        <f>IF(A212="","",IF(C212=0,"Sem registros: confirme que o F5 rodou",IF(D212&gt;0,"Pendente de análise",IF(E212&gt;0,"Lacunas não explicadas",IF(F212&gt;0,"Lacunas explicadas","Completo")))))</f>
        <v/>
      </c>
      <c r="H212" s="15" t="n"/>
      <c r="I212" s="15" t="n"/>
      <c r="J212" s="15" t="n"/>
      <c r="K212" s="16">
        <f>IF(H212="","",IF(D212&gt;0,"NÃO – há pendências",IF(AND(H212&lt;&gt;G212,H212&lt;&gt;"Não avaliável"),"NÃO – difere do automático: justificar em ata",IF(H212="Lacunas não explicadas",IF(I212=3,"Sim","NÃO – exige unanimidade"),IF(I212&gt;=2,"Sim","NÃO – sem maioria")))))</f>
        <v/>
      </c>
    </row>
    <row r="213">
      <c r="A213" s="15" t="n"/>
      <c r="B213" s="15" t="n"/>
      <c r="C213" s="16">
        <f>IF(A213="","",COUNTIFS(Completude!$F$2:$F$301,A213,Completude!$B$2:$B$301,B213))</f>
        <v/>
      </c>
      <c r="D213" s="16">
        <f>IF(A213="","",COUNTIFS(Completude!$F$2:$F$301,A213,Completude!$B$2:$B$301,B213,Completude!$M$2:$M$301,"Aguarda*")+COUNTIFS(Completude!$F$2:$F$301,A213,Completude!$B$2:$B$301,B213,Completude!$M$2:$M$301,"NÃO*"))</f>
        <v/>
      </c>
      <c r="E213" s="16">
        <f>IF(A213="","",COUNTIFS(Completude!$F$2:$F$301,A213,Completude!$B$2:$B$301,B213,Completude!$M$2:$M$301,"Lacuna não explicada"))</f>
        <v/>
      </c>
      <c r="F213" s="16">
        <f>IF(A213="","",COUNTIFS(Completude!$F$2:$F$301,A213,Completude!$B$2:$B$301,B213,Completude!$M$2:$M$301,"Lacuna explicada"))</f>
        <v/>
      </c>
      <c r="G213" s="16">
        <f>IF(A213="","",IF(C213=0,"Sem registros: confirme que o F5 rodou",IF(D213&gt;0,"Pendente de análise",IF(E213&gt;0,"Lacunas não explicadas",IF(F213&gt;0,"Lacunas explicadas","Completo")))))</f>
        <v/>
      </c>
      <c r="H213" s="15" t="n"/>
      <c r="I213" s="15" t="n"/>
      <c r="J213" s="15" t="n"/>
      <c r="K213" s="16">
        <f>IF(H213="","",IF(D213&gt;0,"NÃO – há pendências",IF(AND(H213&lt;&gt;G213,H213&lt;&gt;"Não avaliável"),"NÃO – difere do automático: justificar em ata",IF(H213="Lacunas não explicadas",IF(I213=3,"Sim","NÃO – exige unanimidade"),IF(I213&gt;=2,"Sim","NÃO – sem maioria")))))</f>
        <v/>
      </c>
    </row>
    <row r="214">
      <c r="A214" s="15" t="n"/>
      <c r="B214" s="15" t="n"/>
      <c r="C214" s="16">
        <f>IF(A214="","",COUNTIFS(Completude!$F$2:$F$301,A214,Completude!$B$2:$B$301,B214))</f>
        <v/>
      </c>
      <c r="D214" s="16">
        <f>IF(A214="","",COUNTIFS(Completude!$F$2:$F$301,A214,Completude!$B$2:$B$301,B214,Completude!$M$2:$M$301,"Aguarda*")+COUNTIFS(Completude!$F$2:$F$301,A214,Completude!$B$2:$B$301,B214,Completude!$M$2:$M$301,"NÃO*"))</f>
        <v/>
      </c>
      <c r="E214" s="16">
        <f>IF(A214="","",COUNTIFS(Completude!$F$2:$F$301,A214,Completude!$B$2:$B$301,B214,Completude!$M$2:$M$301,"Lacuna não explicada"))</f>
        <v/>
      </c>
      <c r="F214" s="16">
        <f>IF(A214="","",COUNTIFS(Completude!$F$2:$F$301,A214,Completude!$B$2:$B$301,B214,Completude!$M$2:$M$301,"Lacuna explicada"))</f>
        <v/>
      </c>
      <c r="G214" s="16">
        <f>IF(A214="","",IF(C214=0,"Sem registros: confirme que o F5 rodou",IF(D214&gt;0,"Pendente de análise",IF(E214&gt;0,"Lacunas não explicadas",IF(F214&gt;0,"Lacunas explicadas","Completo")))))</f>
        <v/>
      </c>
      <c r="H214" s="15" t="n"/>
      <c r="I214" s="15" t="n"/>
      <c r="J214" s="15" t="n"/>
      <c r="K214" s="16">
        <f>IF(H214="","",IF(D214&gt;0,"NÃO – há pendências",IF(AND(H214&lt;&gt;G214,H214&lt;&gt;"Não avaliável"),"NÃO – difere do automático: justificar em ata",IF(H214="Lacunas não explicadas",IF(I214=3,"Sim","NÃO – exige unanimidade"),IF(I214&gt;=2,"Sim","NÃO – sem maioria")))))</f>
        <v/>
      </c>
    </row>
    <row r="215">
      <c r="A215" s="15" t="n"/>
      <c r="B215" s="15" t="n"/>
      <c r="C215" s="16">
        <f>IF(A215="","",COUNTIFS(Completude!$F$2:$F$301,A215,Completude!$B$2:$B$301,B215))</f>
        <v/>
      </c>
      <c r="D215" s="16">
        <f>IF(A215="","",COUNTIFS(Completude!$F$2:$F$301,A215,Completude!$B$2:$B$301,B215,Completude!$M$2:$M$301,"Aguarda*")+COUNTIFS(Completude!$F$2:$F$301,A215,Completude!$B$2:$B$301,B215,Completude!$M$2:$M$301,"NÃO*"))</f>
        <v/>
      </c>
      <c r="E215" s="16">
        <f>IF(A215="","",COUNTIFS(Completude!$F$2:$F$301,A215,Completude!$B$2:$B$301,B215,Completude!$M$2:$M$301,"Lacuna não explicada"))</f>
        <v/>
      </c>
      <c r="F215" s="16">
        <f>IF(A215="","",COUNTIFS(Completude!$F$2:$F$301,A215,Completude!$B$2:$B$301,B215,Completude!$M$2:$M$301,"Lacuna explicada"))</f>
        <v/>
      </c>
      <c r="G215" s="16">
        <f>IF(A215="","",IF(C215=0,"Sem registros: confirme que o F5 rodou",IF(D215&gt;0,"Pendente de análise",IF(E215&gt;0,"Lacunas não explicadas",IF(F215&gt;0,"Lacunas explicadas","Completo")))))</f>
        <v/>
      </c>
      <c r="H215" s="15" t="n"/>
      <c r="I215" s="15" t="n"/>
      <c r="J215" s="15" t="n"/>
      <c r="K215" s="16">
        <f>IF(H215="","",IF(D215&gt;0,"NÃO – há pendências",IF(AND(H215&lt;&gt;G215,H215&lt;&gt;"Não avaliável"),"NÃO – difere do automático: justificar em ata",IF(H215="Lacunas não explicadas",IF(I215=3,"Sim","NÃO – exige unanimidade"),IF(I215&gt;=2,"Sim","NÃO – sem maioria")))))</f>
        <v/>
      </c>
    </row>
    <row r="216">
      <c r="A216" s="15" t="n"/>
      <c r="B216" s="15" t="n"/>
      <c r="C216" s="16">
        <f>IF(A216="","",COUNTIFS(Completude!$F$2:$F$301,A216,Completude!$B$2:$B$301,B216))</f>
        <v/>
      </c>
      <c r="D216" s="16">
        <f>IF(A216="","",COUNTIFS(Completude!$F$2:$F$301,A216,Completude!$B$2:$B$301,B216,Completude!$M$2:$M$301,"Aguarda*")+COUNTIFS(Completude!$F$2:$F$301,A216,Completude!$B$2:$B$301,B216,Completude!$M$2:$M$301,"NÃO*"))</f>
        <v/>
      </c>
      <c r="E216" s="16">
        <f>IF(A216="","",COUNTIFS(Completude!$F$2:$F$301,A216,Completude!$B$2:$B$301,B216,Completude!$M$2:$M$301,"Lacuna não explicada"))</f>
        <v/>
      </c>
      <c r="F216" s="16">
        <f>IF(A216="","",COUNTIFS(Completude!$F$2:$F$301,A216,Completude!$B$2:$B$301,B216,Completude!$M$2:$M$301,"Lacuna explicada"))</f>
        <v/>
      </c>
      <c r="G216" s="16">
        <f>IF(A216="","",IF(C216=0,"Sem registros: confirme que o F5 rodou",IF(D216&gt;0,"Pendente de análise",IF(E216&gt;0,"Lacunas não explicadas",IF(F216&gt;0,"Lacunas explicadas","Completo")))))</f>
        <v/>
      </c>
      <c r="H216" s="15" t="n"/>
      <c r="I216" s="15" t="n"/>
      <c r="J216" s="15" t="n"/>
      <c r="K216" s="16">
        <f>IF(H216="","",IF(D216&gt;0,"NÃO – há pendências",IF(AND(H216&lt;&gt;G216,H216&lt;&gt;"Não avaliável"),"NÃO – difere do automático: justificar em ata",IF(H216="Lacunas não explicadas",IF(I216=3,"Sim","NÃO – exige unanimidade"),IF(I216&gt;=2,"Sim","NÃO – sem maioria")))))</f>
        <v/>
      </c>
    </row>
    <row r="217">
      <c r="A217" s="15" t="n"/>
      <c r="B217" s="15" t="n"/>
      <c r="C217" s="16">
        <f>IF(A217="","",COUNTIFS(Completude!$F$2:$F$301,A217,Completude!$B$2:$B$301,B217))</f>
        <v/>
      </c>
      <c r="D217" s="16">
        <f>IF(A217="","",COUNTIFS(Completude!$F$2:$F$301,A217,Completude!$B$2:$B$301,B217,Completude!$M$2:$M$301,"Aguarda*")+COUNTIFS(Completude!$F$2:$F$301,A217,Completude!$B$2:$B$301,B217,Completude!$M$2:$M$301,"NÃO*"))</f>
        <v/>
      </c>
      <c r="E217" s="16">
        <f>IF(A217="","",COUNTIFS(Completude!$F$2:$F$301,A217,Completude!$B$2:$B$301,B217,Completude!$M$2:$M$301,"Lacuna não explicada"))</f>
        <v/>
      </c>
      <c r="F217" s="16">
        <f>IF(A217="","",COUNTIFS(Completude!$F$2:$F$301,A217,Completude!$B$2:$B$301,B217,Completude!$M$2:$M$301,"Lacuna explicada"))</f>
        <v/>
      </c>
      <c r="G217" s="16">
        <f>IF(A217="","",IF(C217=0,"Sem registros: confirme que o F5 rodou",IF(D217&gt;0,"Pendente de análise",IF(E217&gt;0,"Lacunas não explicadas",IF(F217&gt;0,"Lacunas explicadas","Completo")))))</f>
        <v/>
      </c>
      <c r="H217" s="15" t="n"/>
      <c r="I217" s="15" t="n"/>
      <c r="J217" s="15" t="n"/>
      <c r="K217" s="16">
        <f>IF(H217="","",IF(D217&gt;0,"NÃO – há pendências",IF(AND(H217&lt;&gt;G217,H217&lt;&gt;"Não avaliável"),"NÃO – difere do automático: justificar em ata",IF(H217="Lacunas não explicadas",IF(I217=3,"Sim","NÃO – exige unanimidade"),IF(I217&gt;=2,"Sim","NÃO – sem maioria")))))</f>
        <v/>
      </c>
    </row>
    <row r="218">
      <c r="A218" s="15" t="n"/>
      <c r="B218" s="15" t="n"/>
      <c r="C218" s="16">
        <f>IF(A218="","",COUNTIFS(Completude!$F$2:$F$301,A218,Completude!$B$2:$B$301,B218))</f>
        <v/>
      </c>
      <c r="D218" s="16">
        <f>IF(A218="","",COUNTIFS(Completude!$F$2:$F$301,A218,Completude!$B$2:$B$301,B218,Completude!$M$2:$M$301,"Aguarda*")+COUNTIFS(Completude!$F$2:$F$301,A218,Completude!$B$2:$B$301,B218,Completude!$M$2:$M$301,"NÃO*"))</f>
        <v/>
      </c>
      <c r="E218" s="16">
        <f>IF(A218="","",COUNTIFS(Completude!$F$2:$F$301,A218,Completude!$B$2:$B$301,B218,Completude!$M$2:$M$301,"Lacuna não explicada"))</f>
        <v/>
      </c>
      <c r="F218" s="16">
        <f>IF(A218="","",COUNTIFS(Completude!$F$2:$F$301,A218,Completude!$B$2:$B$301,B218,Completude!$M$2:$M$301,"Lacuna explicada"))</f>
        <v/>
      </c>
      <c r="G218" s="16">
        <f>IF(A218="","",IF(C218=0,"Sem registros: confirme que o F5 rodou",IF(D218&gt;0,"Pendente de análise",IF(E218&gt;0,"Lacunas não explicadas",IF(F218&gt;0,"Lacunas explicadas","Completo")))))</f>
        <v/>
      </c>
      <c r="H218" s="15" t="n"/>
      <c r="I218" s="15" t="n"/>
      <c r="J218" s="15" t="n"/>
      <c r="K218" s="16">
        <f>IF(H218="","",IF(D218&gt;0,"NÃO – há pendências",IF(AND(H218&lt;&gt;G218,H218&lt;&gt;"Não avaliável"),"NÃO – difere do automático: justificar em ata",IF(H218="Lacunas não explicadas",IF(I218=3,"Sim","NÃO – exige unanimidade"),IF(I218&gt;=2,"Sim","NÃO – sem maioria")))))</f>
        <v/>
      </c>
    </row>
    <row r="219">
      <c r="A219" s="15" t="n"/>
      <c r="B219" s="15" t="n"/>
      <c r="C219" s="16">
        <f>IF(A219="","",COUNTIFS(Completude!$F$2:$F$301,A219,Completude!$B$2:$B$301,B219))</f>
        <v/>
      </c>
      <c r="D219" s="16">
        <f>IF(A219="","",COUNTIFS(Completude!$F$2:$F$301,A219,Completude!$B$2:$B$301,B219,Completude!$M$2:$M$301,"Aguarda*")+COUNTIFS(Completude!$F$2:$F$301,A219,Completude!$B$2:$B$301,B219,Completude!$M$2:$M$301,"NÃO*"))</f>
        <v/>
      </c>
      <c r="E219" s="16">
        <f>IF(A219="","",COUNTIFS(Completude!$F$2:$F$301,A219,Completude!$B$2:$B$301,B219,Completude!$M$2:$M$301,"Lacuna não explicada"))</f>
        <v/>
      </c>
      <c r="F219" s="16">
        <f>IF(A219="","",COUNTIFS(Completude!$F$2:$F$301,A219,Completude!$B$2:$B$301,B219,Completude!$M$2:$M$301,"Lacuna explicada"))</f>
        <v/>
      </c>
      <c r="G219" s="16">
        <f>IF(A219="","",IF(C219=0,"Sem registros: confirme que o F5 rodou",IF(D219&gt;0,"Pendente de análise",IF(E219&gt;0,"Lacunas não explicadas",IF(F219&gt;0,"Lacunas explicadas","Completo")))))</f>
        <v/>
      </c>
      <c r="H219" s="15" t="n"/>
      <c r="I219" s="15" t="n"/>
      <c r="J219" s="15" t="n"/>
      <c r="K219" s="16">
        <f>IF(H219="","",IF(D219&gt;0,"NÃO – há pendências",IF(AND(H219&lt;&gt;G219,H219&lt;&gt;"Não avaliável"),"NÃO – difere do automático: justificar em ata",IF(H219="Lacunas não explicadas",IF(I219=3,"Sim","NÃO – exige unanimidade"),IF(I219&gt;=2,"Sim","NÃO – sem maioria")))))</f>
        <v/>
      </c>
    </row>
    <row r="220">
      <c r="A220" s="15" t="n"/>
      <c r="B220" s="15" t="n"/>
      <c r="C220" s="16">
        <f>IF(A220="","",COUNTIFS(Completude!$F$2:$F$301,A220,Completude!$B$2:$B$301,B220))</f>
        <v/>
      </c>
      <c r="D220" s="16">
        <f>IF(A220="","",COUNTIFS(Completude!$F$2:$F$301,A220,Completude!$B$2:$B$301,B220,Completude!$M$2:$M$301,"Aguarda*")+COUNTIFS(Completude!$F$2:$F$301,A220,Completude!$B$2:$B$301,B220,Completude!$M$2:$M$301,"NÃO*"))</f>
        <v/>
      </c>
      <c r="E220" s="16">
        <f>IF(A220="","",COUNTIFS(Completude!$F$2:$F$301,A220,Completude!$B$2:$B$301,B220,Completude!$M$2:$M$301,"Lacuna não explicada"))</f>
        <v/>
      </c>
      <c r="F220" s="16">
        <f>IF(A220="","",COUNTIFS(Completude!$F$2:$F$301,A220,Completude!$B$2:$B$301,B220,Completude!$M$2:$M$301,"Lacuna explicada"))</f>
        <v/>
      </c>
      <c r="G220" s="16">
        <f>IF(A220="","",IF(C220=0,"Sem registros: confirme que o F5 rodou",IF(D220&gt;0,"Pendente de análise",IF(E220&gt;0,"Lacunas não explicadas",IF(F220&gt;0,"Lacunas explicadas","Completo")))))</f>
        <v/>
      </c>
      <c r="H220" s="15" t="n"/>
      <c r="I220" s="15" t="n"/>
      <c r="J220" s="15" t="n"/>
      <c r="K220" s="16">
        <f>IF(H220="","",IF(D220&gt;0,"NÃO – há pendências",IF(AND(H220&lt;&gt;G220,H220&lt;&gt;"Não avaliável"),"NÃO – difere do automático: justificar em ata",IF(H220="Lacunas não explicadas",IF(I220=3,"Sim","NÃO – exige unanimidade"),IF(I220&gt;=2,"Sim","NÃO – sem maioria")))))</f>
        <v/>
      </c>
    </row>
    <row r="221">
      <c r="A221" s="15" t="n"/>
      <c r="B221" s="15" t="n"/>
      <c r="C221" s="16">
        <f>IF(A221="","",COUNTIFS(Completude!$F$2:$F$301,A221,Completude!$B$2:$B$301,B221))</f>
        <v/>
      </c>
      <c r="D221" s="16">
        <f>IF(A221="","",COUNTIFS(Completude!$F$2:$F$301,A221,Completude!$B$2:$B$301,B221,Completude!$M$2:$M$301,"Aguarda*")+COUNTIFS(Completude!$F$2:$F$301,A221,Completude!$B$2:$B$301,B221,Completude!$M$2:$M$301,"NÃO*"))</f>
        <v/>
      </c>
      <c r="E221" s="16">
        <f>IF(A221="","",COUNTIFS(Completude!$F$2:$F$301,A221,Completude!$B$2:$B$301,B221,Completude!$M$2:$M$301,"Lacuna não explicada"))</f>
        <v/>
      </c>
      <c r="F221" s="16">
        <f>IF(A221="","",COUNTIFS(Completude!$F$2:$F$301,A221,Completude!$B$2:$B$301,B221,Completude!$M$2:$M$301,"Lacuna explicada"))</f>
        <v/>
      </c>
      <c r="G221" s="16">
        <f>IF(A221="","",IF(C221=0,"Sem registros: confirme que o F5 rodou",IF(D221&gt;0,"Pendente de análise",IF(E221&gt;0,"Lacunas não explicadas",IF(F221&gt;0,"Lacunas explicadas","Completo")))))</f>
        <v/>
      </c>
      <c r="H221" s="15" t="n"/>
      <c r="I221" s="15" t="n"/>
      <c r="J221" s="15" t="n"/>
      <c r="K221" s="16">
        <f>IF(H221="","",IF(D221&gt;0,"NÃO – há pendências",IF(AND(H221&lt;&gt;G221,H221&lt;&gt;"Não avaliável"),"NÃO – difere do automático: justificar em ata",IF(H221="Lacunas não explicadas",IF(I221=3,"Sim","NÃO – exige unanimidade"),IF(I221&gt;=2,"Sim","NÃO – sem maioria")))))</f>
        <v/>
      </c>
    </row>
    <row r="222">
      <c r="A222" s="15" t="n"/>
      <c r="B222" s="15" t="n"/>
      <c r="C222" s="16">
        <f>IF(A222="","",COUNTIFS(Completude!$F$2:$F$301,A222,Completude!$B$2:$B$301,B222))</f>
        <v/>
      </c>
      <c r="D222" s="16">
        <f>IF(A222="","",COUNTIFS(Completude!$F$2:$F$301,A222,Completude!$B$2:$B$301,B222,Completude!$M$2:$M$301,"Aguarda*")+COUNTIFS(Completude!$F$2:$F$301,A222,Completude!$B$2:$B$301,B222,Completude!$M$2:$M$301,"NÃO*"))</f>
        <v/>
      </c>
      <c r="E222" s="16">
        <f>IF(A222="","",COUNTIFS(Completude!$F$2:$F$301,A222,Completude!$B$2:$B$301,B222,Completude!$M$2:$M$301,"Lacuna não explicada"))</f>
        <v/>
      </c>
      <c r="F222" s="16">
        <f>IF(A222="","",COUNTIFS(Completude!$F$2:$F$301,A222,Completude!$B$2:$B$301,B222,Completude!$M$2:$M$301,"Lacuna explicada"))</f>
        <v/>
      </c>
      <c r="G222" s="16">
        <f>IF(A222="","",IF(C222=0,"Sem registros: confirme que o F5 rodou",IF(D222&gt;0,"Pendente de análise",IF(E222&gt;0,"Lacunas não explicadas",IF(F222&gt;0,"Lacunas explicadas","Completo")))))</f>
        <v/>
      </c>
      <c r="H222" s="15" t="n"/>
      <c r="I222" s="15" t="n"/>
      <c r="J222" s="15" t="n"/>
      <c r="K222" s="16">
        <f>IF(H222="","",IF(D222&gt;0,"NÃO – há pendências",IF(AND(H222&lt;&gt;G222,H222&lt;&gt;"Não avaliável"),"NÃO – difere do automático: justificar em ata",IF(H222="Lacunas não explicadas",IF(I222=3,"Sim","NÃO – exige unanimidade"),IF(I222&gt;=2,"Sim","NÃO – sem maioria")))))</f>
        <v/>
      </c>
    </row>
    <row r="223">
      <c r="A223" s="15" t="n"/>
      <c r="B223" s="15" t="n"/>
      <c r="C223" s="16">
        <f>IF(A223="","",COUNTIFS(Completude!$F$2:$F$301,A223,Completude!$B$2:$B$301,B223))</f>
        <v/>
      </c>
      <c r="D223" s="16">
        <f>IF(A223="","",COUNTIFS(Completude!$F$2:$F$301,A223,Completude!$B$2:$B$301,B223,Completude!$M$2:$M$301,"Aguarda*")+COUNTIFS(Completude!$F$2:$F$301,A223,Completude!$B$2:$B$301,B223,Completude!$M$2:$M$301,"NÃO*"))</f>
        <v/>
      </c>
      <c r="E223" s="16">
        <f>IF(A223="","",COUNTIFS(Completude!$F$2:$F$301,A223,Completude!$B$2:$B$301,B223,Completude!$M$2:$M$301,"Lacuna não explicada"))</f>
        <v/>
      </c>
      <c r="F223" s="16">
        <f>IF(A223="","",COUNTIFS(Completude!$F$2:$F$301,A223,Completude!$B$2:$B$301,B223,Completude!$M$2:$M$301,"Lacuna explicada"))</f>
        <v/>
      </c>
      <c r="G223" s="16">
        <f>IF(A223="","",IF(C223=0,"Sem registros: confirme que o F5 rodou",IF(D223&gt;0,"Pendente de análise",IF(E223&gt;0,"Lacunas não explicadas",IF(F223&gt;0,"Lacunas explicadas","Completo")))))</f>
        <v/>
      </c>
      <c r="H223" s="15" t="n"/>
      <c r="I223" s="15" t="n"/>
      <c r="J223" s="15" t="n"/>
      <c r="K223" s="16">
        <f>IF(H223="","",IF(D223&gt;0,"NÃO – há pendências",IF(AND(H223&lt;&gt;G223,H223&lt;&gt;"Não avaliável"),"NÃO – difere do automático: justificar em ata",IF(H223="Lacunas não explicadas",IF(I223=3,"Sim","NÃO – exige unanimidade"),IF(I223&gt;=2,"Sim","NÃO – sem maioria")))))</f>
        <v/>
      </c>
    </row>
    <row r="224">
      <c r="A224" s="15" t="n"/>
      <c r="B224" s="15" t="n"/>
      <c r="C224" s="16">
        <f>IF(A224="","",COUNTIFS(Completude!$F$2:$F$301,A224,Completude!$B$2:$B$301,B224))</f>
        <v/>
      </c>
      <c r="D224" s="16">
        <f>IF(A224="","",COUNTIFS(Completude!$F$2:$F$301,A224,Completude!$B$2:$B$301,B224,Completude!$M$2:$M$301,"Aguarda*")+COUNTIFS(Completude!$F$2:$F$301,A224,Completude!$B$2:$B$301,B224,Completude!$M$2:$M$301,"NÃO*"))</f>
        <v/>
      </c>
      <c r="E224" s="16">
        <f>IF(A224="","",COUNTIFS(Completude!$F$2:$F$301,A224,Completude!$B$2:$B$301,B224,Completude!$M$2:$M$301,"Lacuna não explicada"))</f>
        <v/>
      </c>
      <c r="F224" s="16">
        <f>IF(A224="","",COUNTIFS(Completude!$F$2:$F$301,A224,Completude!$B$2:$B$301,B224,Completude!$M$2:$M$301,"Lacuna explicada"))</f>
        <v/>
      </c>
      <c r="G224" s="16">
        <f>IF(A224="","",IF(C224=0,"Sem registros: confirme que o F5 rodou",IF(D224&gt;0,"Pendente de análise",IF(E224&gt;0,"Lacunas não explicadas",IF(F224&gt;0,"Lacunas explicadas","Completo")))))</f>
        <v/>
      </c>
      <c r="H224" s="15" t="n"/>
      <c r="I224" s="15" t="n"/>
      <c r="J224" s="15" t="n"/>
      <c r="K224" s="16">
        <f>IF(H224="","",IF(D224&gt;0,"NÃO – há pendências",IF(AND(H224&lt;&gt;G224,H224&lt;&gt;"Não avaliável"),"NÃO – difere do automático: justificar em ata",IF(H224="Lacunas não explicadas",IF(I224=3,"Sim","NÃO – exige unanimidade"),IF(I224&gt;=2,"Sim","NÃO – sem maioria")))))</f>
        <v/>
      </c>
    </row>
    <row r="225">
      <c r="A225" s="15" t="n"/>
      <c r="B225" s="15" t="n"/>
      <c r="C225" s="16">
        <f>IF(A225="","",COUNTIFS(Completude!$F$2:$F$301,A225,Completude!$B$2:$B$301,B225))</f>
        <v/>
      </c>
      <c r="D225" s="16">
        <f>IF(A225="","",COUNTIFS(Completude!$F$2:$F$301,A225,Completude!$B$2:$B$301,B225,Completude!$M$2:$M$301,"Aguarda*")+COUNTIFS(Completude!$F$2:$F$301,A225,Completude!$B$2:$B$301,B225,Completude!$M$2:$M$301,"NÃO*"))</f>
        <v/>
      </c>
      <c r="E225" s="16">
        <f>IF(A225="","",COUNTIFS(Completude!$F$2:$F$301,A225,Completude!$B$2:$B$301,B225,Completude!$M$2:$M$301,"Lacuna não explicada"))</f>
        <v/>
      </c>
      <c r="F225" s="16">
        <f>IF(A225="","",COUNTIFS(Completude!$F$2:$F$301,A225,Completude!$B$2:$B$301,B225,Completude!$M$2:$M$301,"Lacuna explicada"))</f>
        <v/>
      </c>
      <c r="G225" s="16">
        <f>IF(A225="","",IF(C225=0,"Sem registros: confirme que o F5 rodou",IF(D225&gt;0,"Pendente de análise",IF(E225&gt;0,"Lacunas não explicadas",IF(F225&gt;0,"Lacunas explicadas","Completo")))))</f>
        <v/>
      </c>
      <c r="H225" s="15" t="n"/>
      <c r="I225" s="15" t="n"/>
      <c r="J225" s="15" t="n"/>
      <c r="K225" s="16">
        <f>IF(H225="","",IF(D225&gt;0,"NÃO – há pendências",IF(AND(H225&lt;&gt;G225,H225&lt;&gt;"Não avaliável"),"NÃO – difere do automático: justificar em ata",IF(H225="Lacunas não explicadas",IF(I225=3,"Sim","NÃO – exige unanimidade"),IF(I225&gt;=2,"Sim","NÃO – sem maioria")))))</f>
        <v/>
      </c>
    </row>
    <row r="226">
      <c r="A226" s="15" t="n"/>
      <c r="B226" s="15" t="n"/>
      <c r="C226" s="16">
        <f>IF(A226="","",COUNTIFS(Completude!$F$2:$F$301,A226,Completude!$B$2:$B$301,B226))</f>
        <v/>
      </c>
      <c r="D226" s="16">
        <f>IF(A226="","",COUNTIFS(Completude!$F$2:$F$301,A226,Completude!$B$2:$B$301,B226,Completude!$M$2:$M$301,"Aguarda*")+COUNTIFS(Completude!$F$2:$F$301,A226,Completude!$B$2:$B$301,B226,Completude!$M$2:$M$301,"NÃO*"))</f>
        <v/>
      </c>
      <c r="E226" s="16">
        <f>IF(A226="","",COUNTIFS(Completude!$F$2:$F$301,A226,Completude!$B$2:$B$301,B226,Completude!$M$2:$M$301,"Lacuna não explicada"))</f>
        <v/>
      </c>
      <c r="F226" s="16">
        <f>IF(A226="","",COUNTIFS(Completude!$F$2:$F$301,A226,Completude!$B$2:$B$301,B226,Completude!$M$2:$M$301,"Lacuna explicada"))</f>
        <v/>
      </c>
      <c r="G226" s="16">
        <f>IF(A226="","",IF(C226=0,"Sem registros: confirme que o F5 rodou",IF(D226&gt;0,"Pendente de análise",IF(E226&gt;0,"Lacunas não explicadas",IF(F226&gt;0,"Lacunas explicadas","Completo")))))</f>
        <v/>
      </c>
      <c r="H226" s="15" t="n"/>
      <c r="I226" s="15" t="n"/>
      <c r="J226" s="15" t="n"/>
      <c r="K226" s="16">
        <f>IF(H226="","",IF(D226&gt;0,"NÃO – há pendências",IF(AND(H226&lt;&gt;G226,H226&lt;&gt;"Não avaliável"),"NÃO – difere do automático: justificar em ata",IF(H226="Lacunas não explicadas",IF(I226=3,"Sim","NÃO – exige unanimidade"),IF(I226&gt;=2,"Sim","NÃO – sem maioria")))))</f>
        <v/>
      </c>
    </row>
    <row r="227">
      <c r="A227" s="15" t="n"/>
      <c r="B227" s="15" t="n"/>
      <c r="C227" s="16">
        <f>IF(A227="","",COUNTIFS(Completude!$F$2:$F$301,A227,Completude!$B$2:$B$301,B227))</f>
        <v/>
      </c>
      <c r="D227" s="16">
        <f>IF(A227="","",COUNTIFS(Completude!$F$2:$F$301,A227,Completude!$B$2:$B$301,B227,Completude!$M$2:$M$301,"Aguarda*")+COUNTIFS(Completude!$F$2:$F$301,A227,Completude!$B$2:$B$301,B227,Completude!$M$2:$M$301,"NÃO*"))</f>
        <v/>
      </c>
      <c r="E227" s="16">
        <f>IF(A227="","",COUNTIFS(Completude!$F$2:$F$301,A227,Completude!$B$2:$B$301,B227,Completude!$M$2:$M$301,"Lacuna não explicada"))</f>
        <v/>
      </c>
      <c r="F227" s="16">
        <f>IF(A227="","",COUNTIFS(Completude!$F$2:$F$301,A227,Completude!$B$2:$B$301,B227,Completude!$M$2:$M$301,"Lacuna explicada"))</f>
        <v/>
      </c>
      <c r="G227" s="16">
        <f>IF(A227="","",IF(C227=0,"Sem registros: confirme que o F5 rodou",IF(D227&gt;0,"Pendente de análise",IF(E227&gt;0,"Lacunas não explicadas",IF(F227&gt;0,"Lacunas explicadas","Completo")))))</f>
        <v/>
      </c>
      <c r="H227" s="15" t="n"/>
      <c r="I227" s="15" t="n"/>
      <c r="J227" s="15" t="n"/>
      <c r="K227" s="16">
        <f>IF(H227="","",IF(D227&gt;0,"NÃO – há pendências",IF(AND(H227&lt;&gt;G227,H227&lt;&gt;"Não avaliável"),"NÃO – difere do automático: justificar em ata",IF(H227="Lacunas não explicadas",IF(I227=3,"Sim","NÃO – exige unanimidade"),IF(I227&gt;=2,"Sim","NÃO – sem maioria")))))</f>
        <v/>
      </c>
    </row>
    <row r="228">
      <c r="A228" s="15" t="n"/>
      <c r="B228" s="15" t="n"/>
      <c r="C228" s="16">
        <f>IF(A228="","",COUNTIFS(Completude!$F$2:$F$301,A228,Completude!$B$2:$B$301,B228))</f>
        <v/>
      </c>
      <c r="D228" s="16">
        <f>IF(A228="","",COUNTIFS(Completude!$F$2:$F$301,A228,Completude!$B$2:$B$301,B228,Completude!$M$2:$M$301,"Aguarda*")+COUNTIFS(Completude!$F$2:$F$301,A228,Completude!$B$2:$B$301,B228,Completude!$M$2:$M$301,"NÃO*"))</f>
        <v/>
      </c>
      <c r="E228" s="16">
        <f>IF(A228="","",COUNTIFS(Completude!$F$2:$F$301,A228,Completude!$B$2:$B$301,B228,Completude!$M$2:$M$301,"Lacuna não explicada"))</f>
        <v/>
      </c>
      <c r="F228" s="16">
        <f>IF(A228="","",COUNTIFS(Completude!$F$2:$F$301,A228,Completude!$B$2:$B$301,B228,Completude!$M$2:$M$301,"Lacuna explicada"))</f>
        <v/>
      </c>
      <c r="G228" s="16">
        <f>IF(A228="","",IF(C228=0,"Sem registros: confirme que o F5 rodou",IF(D228&gt;0,"Pendente de análise",IF(E228&gt;0,"Lacunas não explicadas",IF(F228&gt;0,"Lacunas explicadas","Completo")))))</f>
        <v/>
      </c>
      <c r="H228" s="15" t="n"/>
      <c r="I228" s="15" t="n"/>
      <c r="J228" s="15" t="n"/>
      <c r="K228" s="16">
        <f>IF(H228="","",IF(D228&gt;0,"NÃO – há pendências",IF(AND(H228&lt;&gt;G228,H228&lt;&gt;"Não avaliável"),"NÃO – difere do automático: justificar em ata",IF(H228="Lacunas não explicadas",IF(I228=3,"Sim","NÃO – exige unanimidade"),IF(I228&gt;=2,"Sim","NÃO – sem maioria")))))</f>
        <v/>
      </c>
    </row>
    <row r="229">
      <c r="A229" s="15" t="n"/>
      <c r="B229" s="15" t="n"/>
      <c r="C229" s="16">
        <f>IF(A229="","",COUNTIFS(Completude!$F$2:$F$301,A229,Completude!$B$2:$B$301,B229))</f>
        <v/>
      </c>
      <c r="D229" s="16">
        <f>IF(A229="","",COUNTIFS(Completude!$F$2:$F$301,A229,Completude!$B$2:$B$301,B229,Completude!$M$2:$M$301,"Aguarda*")+COUNTIFS(Completude!$F$2:$F$301,A229,Completude!$B$2:$B$301,B229,Completude!$M$2:$M$301,"NÃO*"))</f>
        <v/>
      </c>
      <c r="E229" s="16">
        <f>IF(A229="","",COUNTIFS(Completude!$F$2:$F$301,A229,Completude!$B$2:$B$301,B229,Completude!$M$2:$M$301,"Lacuna não explicada"))</f>
        <v/>
      </c>
      <c r="F229" s="16">
        <f>IF(A229="","",COUNTIFS(Completude!$F$2:$F$301,A229,Completude!$B$2:$B$301,B229,Completude!$M$2:$M$301,"Lacuna explicada"))</f>
        <v/>
      </c>
      <c r="G229" s="16">
        <f>IF(A229="","",IF(C229=0,"Sem registros: confirme que o F5 rodou",IF(D229&gt;0,"Pendente de análise",IF(E229&gt;0,"Lacunas não explicadas",IF(F229&gt;0,"Lacunas explicadas","Completo")))))</f>
        <v/>
      </c>
      <c r="H229" s="15" t="n"/>
      <c r="I229" s="15" t="n"/>
      <c r="J229" s="15" t="n"/>
      <c r="K229" s="16">
        <f>IF(H229="","",IF(D229&gt;0,"NÃO – há pendências",IF(AND(H229&lt;&gt;G229,H229&lt;&gt;"Não avaliável"),"NÃO – difere do automático: justificar em ata",IF(H229="Lacunas não explicadas",IF(I229=3,"Sim","NÃO – exige unanimidade"),IF(I229&gt;=2,"Sim","NÃO – sem maioria")))))</f>
        <v/>
      </c>
    </row>
    <row r="230">
      <c r="A230" s="15" t="n"/>
      <c r="B230" s="15" t="n"/>
      <c r="C230" s="16">
        <f>IF(A230="","",COUNTIFS(Completude!$F$2:$F$301,A230,Completude!$B$2:$B$301,B230))</f>
        <v/>
      </c>
      <c r="D230" s="16">
        <f>IF(A230="","",COUNTIFS(Completude!$F$2:$F$301,A230,Completude!$B$2:$B$301,B230,Completude!$M$2:$M$301,"Aguarda*")+COUNTIFS(Completude!$F$2:$F$301,A230,Completude!$B$2:$B$301,B230,Completude!$M$2:$M$301,"NÃO*"))</f>
        <v/>
      </c>
      <c r="E230" s="16">
        <f>IF(A230="","",COUNTIFS(Completude!$F$2:$F$301,A230,Completude!$B$2:$B$301,B230,Completude!$M$2:$M$301,"Lacuna não explicada"))</f>
        <v/>
      </c>
      <c r="F230" s="16">
        <f>IF(A230="","",COUNTIFS(Completude!$F$2:$F$301,A230,Completude!$B$2:$B$301,B230,Completude!$M$2:$M$301,"Lacuna explicada"))</f>
        <v/>
      </c>
      <c r="G230" s="16">
        <f>IF(A230="","",IF(C230=0,"Sem registros: confirme que o F5 rodou",IF(D230&gt;0,"Pendente de análise",IF(E230&gt;0,"Lacunas não explicadas",IF(F230&gt;0,"Lacunas explicadas","Completo")))))</f>
        <v/>
      </c>
      <c r="H230" s="15" t="n"/>
      <c r="I230" s="15" t="n"/>
      <c r="J230" s="15" t="n"/>
      <c r="K230" s="16">
        <f>IF(H230="","",IF(D230&gt;0,"NÃO – há pendências",IF(AND(H230&lt;&gt;G230,H230&lt;&gt;"Não avaliável"),"NÃO – difere do automático: justificar em ata",IF(H230="Lacunas não explicadas",IF(I230=3,"Sim","NÃO – exige unanimidade"),IF(I230&gt;=2,"Sim","NÃO – sem maioria")))))</f>
        <v/>
      </c>
    </row>
    <row r="231">
      <c r="A231" s="15" t="n"/>
      <c r="B231" s="15" t="n"/>
      <c r="C231" s="16">
        <f>IF(A231="","",COUNTIFS(Completude!$F$2:$F$301,A231,Completude!$B$2:$B$301,B231))</f>
        <v/>
      </c>
      <c r="D231" s="16">
        <f>IF(A231="","",COUNTIFS(Completude!$F$2:$F$301,A231,Completude!$B$2:$B$301,B231,Completude!$M$2:$M$301,"Aguarda*")+COUNTIFS(Completude!$F$2:$F$301,A231,Completude!$B$2:$B$301,B231,Completude!$M$2:$M$301,"NÃO*"))</f>
        <v/>
      </c>
      <c r="E231" s="16">
        <f>IF(A231="","",COUNTIFS(Completude!$F$2:$F$301,A231,Completude!$B$2:$B$301,B231,Completude!$M$2:$M$301,"Lacuna não explicada"))</f>
        <v/>
      </c>
      <c r="F231" s="16">
        <f>IF(A231="","",COUNTIFS(Completude!$F$2:$F$301,A231,Completude!$B$2:$B$301,B231,Completude!$M$2:$M$301,"Lacuna explicada"))</f>
        <v/>
      </c>
      <c r="G231" s="16">
        <f>IF(A231="","",IF(C231=0,"Sem registros: confirme que o F5 rodou",IF(D231&gt;0,"Pendente de análise",IF(E231&gt;0,"Lacunas não explicadas",IF(F231&gt;0,"Lacunas explicadas","Completo")))))</f>
        <v/>
      </c>
      <c r="H231" s="15" t="n"/>
      <c r="I231" s="15" t="n"/>
      <c r="J231" s="15" t="n"/>
      <c r="K231" s="16">
        <f>IF(H231="","",IF(D231&gt;0,"NÃO – há pendências",IF(AND(H231&lt;&gt;G231,H231&lt;&gt;"Não avaliável"),"NÃO – difere do automático: justificar em ata",IF(H231="Lacunas não explicadas",IF(I231=3,"Sim","NÃO – exige unanimidade"),IF(I231&gt;=2,"Sim","NÃO – sem maioria")))))</f>
        <v/>
      </c>
    </row>
    <row r="232">
      <c r="A232" s="15" t="n"/>
      <c r="B232" s="15" t="n"/>
      <c r="C232" s="16">
        <f>IF(A232="","",COUNTIFS(Completude!$F$2:$F$301,A232,Completude!$B$2:$B$301,B232))</f>
        <v/>
      </c>
      <c r="D232" s="16">
        <f>IF(A232="","",COUNTIFS(Completude!$F$2:$F$301,A232,Completude!$B$2:$B$301,B232,Completude!$M$2:$M$301,"Aguarda*")+COUNTIFS(Completude!$F$2:$F$301,A232,Completude!$B$2:$B$301,B232,Completude!$M$2:$M$301,"NÃO*"))</f>
        <v/>
      </c>
      <c r="E232" s="16">
        <f>IF(A232="","",COUNTIFS(Completude!$F$2:$F$301,A232,Completude!$B$2:$B$301,B232,Completude!$M$2:$M$301,"Lacuna não explicada"))</f>
        <v/>
      </c>
      <c r="F232" s="16">
        <f>IF(A232="","",COUNTIFS(Completude!$F$2:$F$301,A232,Completude!$B$2:$B$301,B232,Completude!$M$2:$M$301,"Lacuna explicada"))</f>
        <v/>
      </c>
      <c r="G232" s="16">
        <f>IF(A232="","",IF(C232=0,"Sem registros: confirme que o F5 rodou",IF(D232&gt;0,"Pendente de análise",IF(E232&gt;0,"Lacunas não explicadas",IF(F232&gt;0,"Lacunas explicadas","Completo")))))</f>
        <v/>
      </c>
      <c r="H232" s="15" t="n"/>
      <c r="I232" s="15" t="n"/>
      <c r="J232" s="15" t="n"/>
      <c r="K232" s="16">
        <f>IF(H232="","",IF(D232&gt;0,"NÃO – há pendências",IF(AND(H232&lt;&gt;G232,H232&lt;&gt;"Não avaliável"),"NÃO – difere do automático: justificar em ata",IF(H232="Lacunas não explicadas",IF(I232=3,"Sim","NÃO – exige unanimidade"),IF(I232&gt;=2,"Sim","NÃO – sem maioria")))))</f>
        <v/>
      </c>
    </row>
    <row r="233">
      <c r="A233" s="15" t="n"/>
      <c r="B233" s="15" t="n"/>
      <c r="C233" s="16">
        <f>IF(A233="","",COUNTIFS(Completude!$F$2:$F$301,A233,Completude!$B$2:$B$301,B233))</f>
        <v/>
      </c>
      <c r="D233" s="16">
        <f>IF(A233="","",COUNTIFS(Completude!$F$2:$F$301,A233,Completude!$B$2:$B$301,B233,Completude!$M$2:$M$301,"Aguarda*")+COUNTIFS(Completude!$F$2:$F$301,A233,Completude!$B$2:$B$301,B233,Completude!$M$2:$M$301,"NÃO*"))</f>
        <v/>
      </c>
      <c r="E233" s="16">
        <f>IF(A233="","",COUNTIFS(Completude!$F$2:$F$301,A233,Completude!$B$2:$B$301,B233,Completude!$M$2:$M$301,"Lacuna não explicada"))</f>
        <v/>
      </c>
      <c r="F233" s="16">
        <f>IF(A233="","",COUNTIFS(Completude!$F$2:$F$301,A233,Completude!$B$2:$B$301,B233,Completude!$M$2:$M$301,"Lacuna explicada"))</f>
        <v/>
      </c>
      <c r="G233" s="16">
        <f>IF(A233="","",IF(C233=0,"Sem registros: confirme que o F5 rodou",IF(D233&gt;0,"Pendente de análise",IF(E233&gt;0,"Lacunas não explicadas",IF(F233&gt;0,"Lacunas explicadas","Completo")))))</f>
        <v/>
      </c>
      <c r="H233" s="15" t="n"/>
      <c r="I233" s="15" t="n"/>
      <c r="J233" s="15" t="n"/>
      <c r="K233" s="16">
        <f>IF(H233="","",IF(D233&gt;0,"NÃO – há pendências",IF(AND(H233&lt;&gt;G233,H233&lt;&gt;"Não avaliável"),"NÃO – difere do automático: justificar em ata",IF(H233="Lacunas não explicadas",IF(I233=3,"Sim","NÃO – exige unanimidade"),IF(I233&gt;=2,"Sim","NÃO – sem maioria")))))</f>
        <v/>
      </c>
    </row>
    <row r="234">
      <c r="A234" s="15" t="n"/>
      <c r="B234" s="15" t="n"/>
      <c r="C234" s="16">
        <f>IF(A234="","",COUNTIFS(Completude!$F$2:$F$301,A234,Completude!$B$2:$B$301,B234))</f>
        <v/>
      </c>
      <c r="D234" s="16">
        <f>IF(A234="","",COUNTIFS(Completude!$F$2:$F$301,A234,Completude!$B$2:$B$301,B234,Completude!$M$2:$M$301,"Aguarda*")+COUNTIFS(Completude!$F$2:$F$301,A234,Completude!$B$2:$B$301,B234,Completude!$M$2:$M$301,"NÃO*"))</f>
        <v/>
      </c>
      <c r="E234" s="16">
        <f>IF(A234="","",COUNTIFS(Completude!$F$2:$F$301,A234,Completude!$B$2:$B$301,B234,Completude!$M$2:$M$301,"Lacuna não explicada"))</f>
        <v/>
      </c>
      <c r="F234" s="16">
        <f>IF(A234="","",COUNTIFS(Completude!$F$2:$F$301,A234,Completude!$B$2:$B$301,B234,Completude!$M$2:$M$301,"Lacuna explicada"))</f>
        <v/>
      </c>
      <c r="G234" s="16">
        <f>IF(A234="","",IF(C234=0,"Sem registros: confirme que o F5 rodou",IF(D234&gt;0,"Pendente de análise",IF(E234&gt;0,"Lacunas não explicadas",IF(F234&gt;0,"Lacunas explicadas","Completo")))))</f>
        <v/>
      </c>
      <c r="H234" s="15" t="n"/>
      <c r="I234" s="15" t="n"/>
      <c r="J234" s="15" t="n"/>
      <c r="K234" s="16">
        <f>IF(H234="","",IF(D234&gt;0,"NÃO – há pendências",IF(AND(H234&lt;&gt;G234,H234&lt;&gt;"Não avaliável"),"NÃO – difere do automático: justificar em ata",IF(H234="Lacunas não explicadas",IF(I234=3,"Sim","NÃO – exige unanimidade"),IF(I234&gt;=2,"Sim","NÃO – sem maioria")))))</f>
        <v/>
      </c>
    </row>
    <row r="235">
      <c r="A235" s="15" t="n"/>
      <c r="B235" s="15" t="n"/>
      <c r="C235" s="16">
        <f>IF(A235="","",COUNTIFS(Completude!$F$2:$F$301,A235,Completude!$B$2:$B$301,B235))</f>
        <v/>
      </c>
      <c r="D235" s="16">
        <f>IF(A235="","",COUNTIFS(Completude!$F$2:$F$301,A235,Completude!$B$2:$B$301,B235,Completude!$M$2:$M$301,"Aguarda*")+COUNTIFS(Completude!$F$2:$F$301,A235,Completude!$B$2:$B$301,B235,Completude!$M$2:$M$301,"NÃO*"))</f>
        <v/>
      </c>
      <c r="E235" s="16">
        <f>IF(A235="","",COUNTIFS(Completude!$F$2:$F$301,A235,Completude!$B$2:$B$301,B235,Completude!$M$2:$M$301,"Lacuna não explicada"))</f>
        <v/>
      </c>
      <c r="F235" s="16">
        <f>IF(A235="","",COUNTIFS(Completude!$F$2:$F$301,A235,Completude!$B$2:$B$301,B235,Completude!$M$2:$M$301,"Lacuna explicada"))</f>
        <v/>
      </c>
      <c r="G235" s="16">
        <f>IF(A235="","",IF(C235=0,"Sem registros: confirme que o F5 rodou",IF(D235&gt;0,"Pendente de análise",IF(E235&gt;0,"Lacunas não explicadas",IF(F235&gt;0,"Lacunas explicadas","Completo")))))</f>
        <v/>
      </c>
      <c r="H235" s="15" t="n"/>
      <c r="I235" s="15" t="n"/>
      <c r="J235" s="15" t="n"/>
      <c r="K235" s="16">
        <f>IF(H235="","",IF(D235&gt;0,"NÃO – há pendências",IF(AND(H235&lt;&gt;G235,H235&lt;&gt;"Não avaliável"),"NÃO – difere do automático: justificar em ata",IF(H235="Lacunas não explicadas",IF(I235=3,"Sim","NÃO – exige unanimidade"),IF(I235&gt;=2,"Sim","NÃO – sem maioria")))))</f>
        <v/>
      </c>
    </row>
    <row r="236">
      <c r="A236" s="15" t="n"/>
      <c r="B236" s="15" t="n"/>
      <c r="C236" s="16">
        <f>IF(A236="","",COUNTIFS(Completude!$F$2:$F$301,A236,Completude!$B$2:$B$301,B236))</f>
        <v/>
      </c>
      <c r="D236" s="16">
        <f>IF(A236="","",COUNTIFS(Completude!$F$2:$F$301,A236,Completude!$B$2:$B$301,B236,Completude!$M$2:$M$301,"Aguarda*")+COUNTIFS(Completude!$F$2:$F$301,A236,Completude!$B$2:$B$301,B236,Completude!$M$2:$M$301,"NÃO*"))</f>
        <v/>
      </c>
      <c r="E236" s="16">
        <f>IF(A236="","",COUNTIFS(Completude!$F$2:$F$301,A236,Completude!$B$2:$B$301,B236,Completude!$M$2:$M$301,"Lacuna não explicada"))</f>
        <v/>
      </c>
      <c r="F236" s="16">
        <f>IF(A236="","",COUNTIFS(Completude!$F$2:$F$301,A236,Completude!$B$2:$B$301,B236,Completude!$M$2:$M$301,"Lacuna explicada"))</f>
        <v/>
      </c>
      <c r="G236" s="16">
        <f>IF(A236="","",IF(C236=0,"Sem registros: confirme que o F5 rodou",IF(D236&gt;0,"Pendente de análise",IF(E236&gt;0,"Lacunas não explicadas",IF(F236&gt;0,"Lacunas explicadas","Completo")))))</f>
        <v/>
      </c>
      <c r="H236" s="15" t="n"/>
      <c r="I236" s="15" t="n"/>
      <c r="J236" s="15" t="n"/>
      <c r="K236" s="16">
        <f>IF(H236="","",IF(D236&gt;0,"NÃO – há pendências",IF(AND(H236&lt;&gt;G236,H236&lt;&gt;"Não avaliável"),"NÃO – difere do automático: justificar em ata",IF(H236="Lacunas não explicadas",IF(I236=3,"Sim","NÃO – exige unanimidade"),IF(I236&gt;=2,"Sim","NÃO – sem maioria")))))</f>
        <v/>
      </c>
    </row>
    <row r="237">
      <c r="A237" s="15" t="n"/>
      <c r="B237" s="15" t="n"/>
      <c r="C237" s="16">
        <f>IF(A237="","",COUNTIFS(Completude!$F$2:$F$301,A237,Completude!$B$2:$B$301,B237))</f>
        <v/>
      </c>
      <c r="D237" s="16">
        <f>IF(A237="","",COUNTIFS(Completude!$F$2:$F$301,A237,Completude!$B$2:$B$301,B237,Completude!$M$2:$M$301,"Aguarda*")+COUNTIFS(Completude!$F$2:$F$301,A237,Completude!$B$2:$B$301,B237,Completude!$M$2:$M$301,"NÃO*"))</f>
        <v/>
      </c>
      <c r="E237" s="16">
        <f>IF(A237="","",COUNTIFS(Completude!$F$2:$F$301,A237,Completude!$B$2:$B$301,B237,Completude!$M$2:$M$301,"Lacuna não explicada"))</f>
        <v/>
      </c>
      <c r="F237" s="16">
        <f>IF(A237="","",COUNTIFS(Completude!$F$2:$F$301,A237,Completude!$B$2:$B$301,B237,Completude!$M$2:$M$301,"Lacuna explicada"))</f>
        <v/>
      </c>
      <c r="G237" s="16">
        <f>IF(A237="","",IF(C237=0,"Sem registros: confirme que o F5 rodou",IF(D237&gt;0,"Pendente de análise",IF(E237&gt;0,"Lacunas não explicadas",IF(F237&gt;0,"Lacunas explicadas","Completo")))))</f>
        <v/>
      </c>
      <c r="H237" s="15" t="n"/>
      <c r="I237" s="15" t="n"/>
      <c r="J237" s="15" t="n"/>
      <c r="K237" s="16">
        <f>IF(H237="","",IF(D237&gt;0,"NÃO – há pendências",IF(AND(H237&lt;&gt;G237,H237&lt;&gt;"Não avaliável"),"NÃO – difere do automático: justificar em ata",IF(H237="Lacunas não explicadas",IF(I237=3,"Sim","NÃO – exige unanimidade"),IF(I237&gt;=2,"Sim","NÃO – sem maioria")))))</f>
        <v/>
      </c>
    </row>
    <row r="238">
      <c r="A238" s="15" t="n"/>
      <c r="B238" s="15" t="n"/>
      <c r="C238" s="16">
        <f>IF(A238="","",COUNTIFS(Completude!$F$2:$F$301,A238,Completude!$B$2:$B$301,B238))</f>
        <v/>
      </c>
      <c r="D238" s="16">
        <f>IF(A238="","",COUNTIFS(Completude!$F$2:$F$301,A238,Completude!$B$2:$B$301,B238,Completude!$M$2:$M$301,"Aguarda*")+COUNTIFS(Completude!$F$2:$F$301,A238,Completude!$B$2:$B$301,B238,Completude!$M$2:$M$301,"NÃO*"))</f>
        <v/>
      </c>
      <c r="E238" s="16">
        <f>IF(A238="","",COUNTIFS(Completude!$F$2:$F$301,A238,Completude!$B$2:$B$301,B238,Completude!$M$2:$M$301,"Lacuna não explicada"))</f>
        <v/>
      </c>
      <c r="F238" s="16">
        <f>IF(A238="","",COUNTIFS(Completude!$F$2:$F$301,A238,Completude!$B$2:$B$301,B238,Completude!$M$2:$M$301,"Lacuna explicada"))</f>
        <v/>
      </c>
      <c r="G238" s="16">
        <f>IF(A238="","",IF(C238=0,"Sem registros: confirme que o F5 rodou",IF(D238&gt;0,"Pendente de análise",IF(E238&gt;0,"Lacunas não explicadas",IF(F238&gt;0,"Lacunas explicadas","Completo")))))</f>
        <v/>
      </c>
      <c r="H238" s="15" t="n"/>
      <c r="I238" s="15" t="n"/>
      <c r="J238" s="15" t="n"/>
      <c r="K238" s="16">
        <f>IF(H238="","",IF(D238&gt;0,"NÃO – há pendências",IF(AND(H238&lt;&gt;G238,H238&lt;&gt;"Não avaliável"),"NÃO – difere do automático: justificar em ata",IF(H238="Lacunas não explicadas",IF(I238=3,"Sim","NÃO – exige unanimidade"),IF(I238&gt;=2,"Sim","NÃO – sem maioria")))))</f>
        <v/>
      </c>
    </row>
    <row r="239">
      <c r="A239" s="15" t="n"/>
      <c r="B239" s="15" t="n"/>
      <c r="C239" s="16">
        <f>IF(A239="","",COUNTIFS(Completude!$F$2:$F$301,A239,Completude!$B$2:$B$301,B239))</f>
        <v/>
      </c>
      <c r="D239" s="16">
        <f>IF(A239="","",COUNTIFS(Completude!$F$2:$F$301,A239,Completude!$B$2:$B$301,B239,Completude!$M$2:$M$301,"Aguarda*")+COUNTIFS(Completude!$F$2:$F$301,A239,Completude!$B$2:$B$301,B239,Completude!$M$2:$M$301,"NÃO*"))</f>
        <v/>
      </c>
      <c r="E239" s="16">
        <f>IF(A239="","",COUNTIFS(Completude!$F$2:$F$301,A239,Completude!$B$2:$B$301,B239,Completude!$M$2:$M$301,"Lacuna não explicada"))</f>
        <v/>
      </c>
      <c r="F239" s="16">
        <f>IF(A239="","",COUNTIFS(Completude!$F$2:$F$301,A239,Completude!$B$2:$B$301,B239,Completude!$M$2:$M$301,"Lacuna explicada"))</f>
        <v/>
      </c>
      <c r="G239" s="16">
        <f>IF(A239="","",IF(C239=0,"Sem registros: confirme que o F5 rodou",IF(D239&gt;0,"Pendente de análise",IF(E239&gt;0,"Lacunas não explicadas",IF(F239&gt;0,"Lacunas explicadas","Completo")))))</f>
        <v/>
      </c>
      <c r="H239" s="15" t="n"/>
      <c r="I239" s="15" t="n"/>
      <c r="J239" s="15" t="n"/>
      <c r="K239" s="16">
        <f>IF(H239="","",IF(D239&gt;0,"NÃO – há pendências",IF(AND(H239&lt;&gt;G239,H239&lt;&gt;"Não avaliável"),"NÃO – difere do automático: justificar em ata",IF(H239="Lacunas não explicadas",IF(I239=3,"Sim","NÃO – exige unanimidade"),IF(I239&gt;=2,"Sim","NÃO – sem maioria")))))</f>
        <v/>
      </c>
    </row>
    <row r="240">
      <c r="A240" s="15" t="n"/>
      <c r="B240" s="15" t="n"/>
      <c r="C240" s="16">
        <f>IF(A240="","",COUNTIFS(Completude!$F$2:$F$301,A240,Completude!$B$2:$B$301,B240))</f>
        <v/>
      </c>
      <c r="D240" s="16">
        <f>IF(A240="","",COUNTIFS(Completude!$F$2:$F$301,A240,Completude!$B$2:$B$301,B240,Completude!$M$2:$M$301,"Aguarda*")+COUNTIFS(Completude!$F$2:$F$301,A240,Completude!$B$2:$B$301,B240,Completude!$M$2:$M$301,"NÃO*"))</f>
        <v/>
      </c>
      <c r="E240" s="16">
        <f>IF(A240="","",COUNTIFS(Completude!$F$2:$F$301,A240,Completude!$B$2:$B$301,B240,Completude!$M$2:$M$301,"Lacuna não explicada"))</f>
        <v/>
      </c>
      <c r="F240" s="16">
        <f>IF(A240="","",COUNTIFS(Completude!$F$2:$F$301,A240,Completude!$B$2:$B$301,B240,Completude!$M$2:$M$301,"Lacuna explicada"))</f>
        <v/>
      </c>
      <c r="G240" s="16">
        <f>IF(A240="","",IF(C240=0,"Sem registros: confirme que o F5 rodou",IF(D240&gt;0,"Pendente de análise",IF(E240&gt;0,"Lacunas não explicadas",IF(F240&gt;0,"Lacunas explicadas","Completo")))))</f>
        <v/>
      </c>
      <c r="H240" s="15" t="n"/>
      <c r="I240" s="15" t="n"/>
      <c r="J240" s="15" t="n"/>
      <c r="K240" s="16">
        <f>IF(H240="","",IF(D240&gt;0,"NÃO – há pendências",IF(AND(H240&lt;&gt;G240,H240&lt;&gt;"Não avaliável"),"NÃO – difere do automático: justificar em ata",IF(H240="Lacunas não explicadas",IF(I240=3,"Sim","NÃO – exige unanimidade"),IF(I240&gt;=2,"Sim","NÃO – sem maioria")))))</f>
        <v/>
      </c>
    </row>
    <row r="241">
      <c r="A241" s="15" t="n"/>
      <c r="B241" s="15" t="n"/>
      <c r="C241" s="16">
        <f>IF(A241="","",COUNTIFS(Completude!$F$2:$F$301,A241,Completude!$B$2:$B$301,B241))</f>
        <v/>
      </c>
      <c r="D241" s="16">
        <f>IF(A241="","",COUNTIFS(Completude!$F$2:$F$301,A241,Completude!$B$2:$B$301,B241,Completude!$M$2:$M$301,"Aguarda*")+COUNTIFS(Completude!$F$2:$F$301,A241,Completude!$B$2:$B$301,B241,Completude!$M$2:$M$301,"NÃO*"))</f>
        <v/>
      </c>
      <c r="E241" s="16">
        <f>IF(A241="","",COUNTIFS(Completude!$F$2:$F$301,A241,Completude!$B$2:$B$301,B241,Completude!$M$2:$M$301,"Lacuna não explicada"))</f>
        <v/>
      </c>
      <c r="F241" s="16">
        <f>IF(A241="","",COUNTIFS(Completude!$F$2:$F$301,A241,Completude!$B$2:$B$301,B241,Completude!$M$2:$M$301,"Lacuna explicada"))</f>
        <v/>
      </c>
      <c r="G241" s="16">
        <f>IF(A241="","",IF(C241=0,"Sem registros: confirme que o F5 rodou",IF(D241&gt;0,"Pendente de análise",IF(E241&gt;0,"Lacunas não explicadas",IF(F241&gt;0,"Lacunas explicadas","Completo")))))</f>
        <v/>
      </c>
      <c r="H241" s="15" t="n"/>
      <c r="I241" s="15" t="n"/>
      <c r="J241" s="15" t="n"/>
      <c r="K241" s="16">
        <f>IF(H241="","",IF(D241&gt;0,"NÃO – há pendências",IF(AND(H241&lt;&gt;G241,H241&lt;&gt;"Não avaliável"),"NÃO – difere do automático: justificar em ata",IF(H241="Lacunas não explicadas",IF(I241=3,"Sim","NÃO – exige unanimidade"),IF(I241&gt;=2,"Sim","NÃO – sem maioria")))))</f>
        <v/>
      </c>
    </row>
    <row r="242">
      <c r="A242" s="15" t="n"/>
      <c r="B242" s="15" t="n"/>
      <c r="C242" s="16">
        <f>IF(A242="","",COUNTIFS(Completude!$F$2:$F$301,A242,Completude!$B$2:$B$301,B242))</f>
        <v/>
      </c>
      <c r="D242" s="16">
        <f>IF(A242="","",COUNTIFS(Completude!$F$2:$F$301,A242,Completude!$B$2:$B$301,B242,Completude!$M$2:$M$301,"Aguarda*")+COUNTIFS(Completude!$F$2:$F$301,A242,Completude!$B$2:$B$301,B242,Completude!$M$2:$M$301,"NÃO*"))</f>
        <v/>
      </c>
      <c r="E242" s="16">
        <f>IF(A242="","",COUNTIFS(Completude!$F$2:$F$301,A242,Completude!$B$2:$B$301,B242,Completude!$M$2:$M$301,"Lacuna não explicada"))</f>
        <v/>
      </c>
      <c r="F242" s="16">
        <f>IF(A242="","",COUNTIFS(Completude!$F$2:$F$301,A242,Completude!$B$2:$B$301,B242,Completude!$M$2:$M$301,"Lacuna explicada"))</f>
        <v/>
      </c>
      <c r="G242" s="16">
        <f>IF(A242="","",IF(C242=0,"Sem registros: confirme que o F5 rodou",IF(D242&gt;0,"Pendente de análise",IF(E242&gt;0,"Lacunas não explicadas",IF(F242&gt;0,"Lacunas explicadas","Completo")))))</f>
        <v/>
      </c>
      <c r="H242" s="15" t="n"/>
      <c r="I242" s="15" t="n"/>
      <c r="J242" s="15" t="n"/>
      <c r="K242" s="16">
        <f>IF(H242="","",IF(D242&gt;0,"NÃO – há pendências",IF(AND(H242&lt;&gt;G242,H242&lt;&gt;"Não avaliável"),"NÃO – difere do automático: justificar em ata",IF(H242="Lacunas não explicadas",IF(I242=3,"Sim","NÃO – exige unanimidade"),IF(I242&gt;=2,"Sim","NÃO – sem maioria")))))</f>
        <v/>
      </c>
    </row>
    <row r="243">
      <c r="A243" s="15" t="n"/>
      <c r="B243" s="15" t="n"/>
      <c r="C243" s="16">
        <f>IF(A243="","",COUNTIFS(Completude!$F$2:$F$301,A243,Completude!$B$2:$B$301,B243))</f>
        <v/>
      </c>
      <c r="D243" s="16">
        <f>IF(A243="","",COUNTIFS(Completude!$F$2:$F$301,A243,Completude!$B$2:$B$301,B243,Completude!$M$2:$M$301,"Aguarda*")+COUNTIFS(Completude!$F$2:$F$301,A243,Completude!$B$2:$B$301,B243,Completude!$M$2:$M$301,"NÃO*"))</f>
        <v/>
      </c>
      <c r="E243" s="16">
        <f>IF(A243="","",COUNTIFS(Completude!$F$2:$F$301,A243,Completude!$B$2:$B$301,B243,Completude!$M$2:$M$301,"Lacuna não explicada"))</f>
        <v/>
      </c>
      <c r="F243" s="16">
        <f>IF(A243="","",COUNTIFS(Completude!$F$2:$F$301,A243,Completude!$B$2:$B$301,B243,Completude!$M$2:$M$301,"Lacuna explicada"))</f>
        <v/>
      </c>
      <c r="G243" s="16">
        <f>IF(A243="","",IF(C243=0,"Sem registros: confirme que o F5 rodou",IF(D243&gt;0,"Pendente de análise",IF(E243&gt;0,"Lacunas não explicadas",IF(F243&gt;0,"Lacunas explicadas","Completo")))))</f>
        <v/>
      </c>
      <c r="H243" s="15" t="n"/>
      <c r="I243" s="15" t="n"/>
      <c r="J243" s="15" t="n"/>
      <c r="K243" s="16">
        <f>IF(H243="","",IF(D243&gt;0,"NÃO – há pendências",IF(AND(H243&lt;&gt;G243,H243&lt;&gt;"Não avaliável"),"NÃO – difere do automático: justificar em ata",IF(H243="Lacunas não explicadas",IF(I243=3,"Sim","NÃO – exige unanimidade"),IF(I243&gt;=2,"Sim","NÃO – sem maioria")))))</f>
        <v/>
      </c>
    </row>
    <row r="244">
      <c r="A244" s="15" t="n"/>
      <c r="B244" s="15" t="n"/>
      <c r="C244" s="16">
        <f>IF(A244="","",COUNTIFS(Completude!$F$2:$F$301,A244,Completude!$B$2:$B$301,B244))</f>
        <v/>
      </c>
      <c r="D244" s="16">
        <f>IF(A244="","",COUNTIFS(Completude!$F$2:$F$301,A244,Completude!$B$2:$B$301,B244,Completude!$M$2:$M$301,"Aguarda*")+COUNTIFS(Completude!$F$2:$F$301,A244,Completude!$B$2:$B$301,B244,Completude!$M$2:$M$301,"NÃO*"))</f>
        <v/>
      </c>
      <c r="E244" s="16">
        <f>IF(A244="","",COUNTIFS(Completude!$F$2:$F$301,A244,Completude!$B$2:$B$301,B244,Completude!$M$2:$M$301,"Lacuna não explicada"))</f>
        <v/>
      </c>
      <c r="F244" s="16">
        <f>IF(A244="","",COUNTIFS(Completude!$F$2:$F$301,A244,Completude!$B$2:$B$301,B244,Completude!$M$2:$M$301,"Lacuna explicada"))</f>
        <v/>
      </c>
      <c r="G244" s="16">
        <f>IF(A244="","",IF(C244=0,"Sem registros: confirme que o F5 rodou",IF(D244&gt;0,"Pendente de análise",IF(E244&gt;0,"Lacunas não explicadas",IF(F244&gt;0,"Lacunas explicadas","Completo")))))</f>
        <v/>
      </c>
      <c r="H244" s="15" t="n"/>
      <c r="I244" s="15" t="n"/>
      <c r="J244" s="15" t="n"/>
      <c r="K244" s="16">
        <f>IF(H244="","",IF(D244&gt;0,"NÃO – há pendências",IF(AND(H244&lt;&gt;G244,H244&lt;&gt;"Não avaliável"),"NÃO – difere do automático: justificar em ata",IF(H244="Lacunas não explicadas",IF(I244=3,"Sim","NÃO – exige unanimidade"),IF(I244&gt;=2,"Sim","NÃO – sem maioria")))))</f>
        <v/>
      </c>
    </row>
    <row r="245">
      <c r="A245" s="15" t="n"/>
      <c r="B245" s="15" t="n"/>
      <c r="C245" s="16">
        <f>IF(A245="","",COUNTIFS(Completude!$F$2:$F$301,A245,Completude!$B$2:$B$301,B245))</f>
        <v/>
      </c>
      <c r="D245" s="16">
        <f>IF(A245="","",COUNTIFS(Completude!$F$2:$F$301,A245,Completude!$B$2:$B$301,B245,Completude!$M$2:$M$301,"Aguarda*")+COUNTIFS(Completude!$F$2:$F$301,A245,Completude!$B$2:$B$301,B245,Completude!$M$2:$M$301,"NÃO*"))</f>
        <v/>
      </c>
      <c r="E245" s="16">
        <f>IF(A245="","",COUNTIFS(Completude!$F$2:$F$301,A245,Completude!$B$2:$B$301,B245,Completude!$M$2:$M$301,"Lacuna não explicada"))</f>
        <v/>
      </c>
      <c r="F245" s="16">
        <f>IF(A245="","",COUNTIFS(Completude!$F$2:$F$301,A245,Completude!$B$2:$B$301,B245,Completude!$M$2:$M$301,"Lacuna explicada"))</f>
        <v/>
      </c>
      <c r="G245" s="16">
        <f>IF(A245="","",IF(C245=0,"Sem registros: confirme que o F5 rodou",IF(D245&gt;0,"Pendente de análise",IF(E245&gt;0,"Lacunas não explicadas",IF(F245&gt;0,"Lacunas explicadas","Completo")))))</f>
        <v/>
      </c>
      <c r="H245" s="15" t="n"/>
      <c r="I245" s="15" t="n"/>
      <c r="J245" s="15" t="n"/>
      <c r="K245" s="16">
        <f>IF(H245="","",IF(D245&gt;0,"NÃO – há pendências",IF(AND(H245&lt;&gt;G245,H245&lt;&gt;"Não avaliável"),"NÃO – difere do automático: justificar em ata",IF(H245="Lacunas não explicadas",IF(I245=3,"Sim","NÃO – exige unanimidade"),IF(I245&gt;=2,"Sim","NÃO – sem maioria")))))</f>
        <v/>
      </c>
    </row>
    <row r="246">
      <c r="A246" s="15" t="n"/>
      <c r="B246" s="15" t="n"/>
      <c r="C246" s="16">
        <f>IF(A246="","",COUNTIFS(Completude!$F$2:$F$301,A246,Completude!$B$2:$B$301,B246))</f>
        <v/>
      </c>
      <c r="D246" s="16">
        <f>IF(A246="","",COUNTIFS(Completude!$F$2:$F$301,A246,Completude!$B$2:$B$301,B246,Completude!$M$2:$M$301,"Aguarda*")+COUNTIFS(Completude!$F$2:$F$301,A246,Completude!$B$2:$B$301,B246,Completude!$M$2:$M$301,"NÃO*"))</f>
        <v/>
      </c>
      <c r="E246" s="16">
        <f>IF(A246="","",COUNTIFS(Completude!$F$2:$F$301,A246,Completude!$B$2:$B$301,B246,Completude!$M$2:$M$301,"Lacuna não explicada"))</f>
        <v/>
      </c>
      <c r="F246" s="16">
        <f>IF(A246="","",COUNTIFS(Completude!$F$2:$F$301,A246,Completude!$B$2:$B$301,B246,Completude!$M$2:$M$301,"Lacuna explicada"))</f>
        <v/>
      </c>
      <c r="G246" s="16">
        <f>IF(A246="","",IF(C246=0,"Sem registros: confirme que o F5 rodou",IF(D246&gt;0,"Pendente de análise",IF(E246&gt;0,"Lacunas não explicadas",IF(F246&gt;0,"Lacunas explicadas","Completo")))))</f>
        <v/>
      </c>
      <c r="H246" s="15" t="n"/>
      <c r="I246" s="15" t="n"/>
      <c r="J246" s="15" t="n"/>
      <c r="K246" s="16">
        <f>IF(H246="","",IF(D246&gt;0,"NÃO – há pendências",IF(AND(H246&lt;&gt;G246,H246&lt;&gt;"Não avaliável"),"NÃO – difere do automático: justificar em ata",IF(H246="Lacunas não explicadas",IF(I246=3,"Sim","NÃO – exige unanimidade"),IF(I246&gt;=2,"Sim","NÃO – sem maioria")))))</f>
        <v/>
      </c>
    </row>
    <row r="247">
      <c r="A247" s="15" t="n"/>
      <c r="B247" s="15" t="n"/>
      <c r="C247" s="16">
        <f>IF(A247="","",COUNTIFS(Completude!$F$2:$F$301,A247,Completude!$B$2:$B$301,B247))</f>
        <v/>
      </c>
      <c r="D247" s="16">
        <f>IF(A247="","",COUNTIFS(Completude!$F$2:$F$301,A247,Completude!$B$2:$B$301,B247,Completude!$M$2:$M$301,"Aguarda*")+COUNTIFS(Completude!$F$2:$F$301,A247,Completude!$B$2:$B$301,B247,Completude!$M$2:$M$301,"NÃO*"))</f>
        <v/>
      </c>
      <c r="E247" s="16">
        <f>IF(A247="","",COUNTIFS(Completude!$F$2:$F$301,A247,Completude!$B$2:$B$301,B247,Completude!$M$2:$M$301,"Lacuna não explicada"))</f>
        <v/>
      </c>
      <c r="F247" s="16">
        <f>IF(A247="","",COUNTIFS(Completude!$F$2:$F$301,A247,Completude!$B$2:$B$301,B247,Completude!$M$2:$M$301,"Lacuna explicada"))</f>
        <v/>
      </c>
      <c r="G247" s="16">
        <f>IF(A247="","",IF(C247=0,"Sem registros: confirme que o F5 rodou",IF(D247&gt;0,"Pendente de análise",IF(E247&gt;0,"Lacunas não explicadas",IF(F247&gt;0,"Lacunas explicadas","Completo")))))</f>
        <v/>
      </c>
      <c r="H247" s="15" t="n"/>
      <c r="I247" s="15" t="n"/>
      <c r="J247" s="15" t="n"/>
      <c r="K247" s="16">
        <f>IF(H247="","",IF(D247&gt;0,"NÃO – há pendências",IF(AND(H247&lt;&gt;G247,H247&lt;&gt;"Não avaliável"),"NÃO – difere do automático: justificar em ata",IF(H247="Lacunas não explicadas",IF(I247=3,"Sim","NÃO – exige unanimidade"),IF(I247&gt;=2,"Sim","NÃO – sem maioria")))))</f>
        <v/>
      </c>
    </row>
    <row r="248">
      <c r="A248" s="15" t="n"/>
      <c r="B248" s="15" t="n"/>
      <c r="C248" s="16">
        <f>IF(A248="","",COUNTIFS(Completude!$F$2:$F$301,A248,Completude!$B$2:$B$301,B248))</f>
        <v/>
      </c>
      <c r="D248" s="16">
        <f>IF(A248="","",COUNTIFS(Completude!$F$2:$F$301,A248,Completude!$B$2:$B$301,B248,Completude!$M$2:$M$301,"Aguarda*")+COUNTIFS(Completude!$F$2:$F$301,A248,Completude!$B$2:$B$301,B248,Completude!$M$2:$M$301,"NÃO*"))</f>
        <v/>
      </c>
      <c r="E248" s="16">
        <f>IF(A248="","",COUNTIFS(Completude!$F$2:$F$301,A248,Completude!$B$2:$B$301,B248,Completude!$M$2:$M$301,"Lacuna não explicada"))</f>
        <v/>
      </c>
      <c r="F248" s="16">
        <f>IF(A248="","",COUNTIFS(Completude!$F$2:$F$301,A248,Completude!$B$2:$B$301,B248,Completude!$M$2:$M$301,"Lacuna explicada"))</f>
        <v/>
      </c>
      <c r="G248" s="16">
        <f>IF(A248="","",IF(C248=0,"Sem registros: confirme que o F5 rodou",IF(D248&gt;0,"Pendente de análise",IF(E248&gt;0,"Lacunas não explicadas",IF(F248&gt;0,"Lacunas explicadas","Completo")))))</f>
        <v/>
      </c>
      <c r="H248" s="15" t="n"/>
      <c r="I248" s="15" t="n"/>
      <c r="J248" s="15" t="n"/>
      <c r="K248" s="16">
        <f>IF(H248="","",IF(D248&gt;0,"NÃO – há pendências",IF(AND(H248&lt;&gt;G248,H248&lt;&gt;"Não avaliável"),"NÃO – difere do automático: justificar em ata",IF(H248="Lacunas não explicadas",IF(I248=3,"Sim","NÃO – exige unanimidade"),IF(I248&gt;=2,"Sim","NÃO – sem maioria")))))</f>
        <v/>
      </c>
    </row>
    <row r="249">
      <c r="A249" s="15" t="n"/>
      <c r="B249" s="15" t="n"/>
      <c r="C249" s="16">
        <f>IF(A249="","",COUNTIFS(Completude!$F$2:$F$301,A249,Completude!$B$2:$B$301,B249))</f>
        <v/>
      </c>
      <c r="D249" s="16">
        <f>IF(A249="","",COUNTIFS(Completude!$F$2:$F$301,A249,Completude!$B$2:$B$301,B249,Completude!$M$2:$M$301,"Aguarda*")+COUNTIFS(Completude!$F$2:$F$301,A249,Completude!$B$2:$B$301,B249,Completude!$M$2:$M$301,"NÃO*"))</f>
        <v/>
      </c>
      <c r="E249" s="16">
        <f>IF(A249="","",COUNTIFS(Completude!$F$2:$F$301,A249,Completude!$B$2:$B$301,B249,Completude!$M$2:$M$301,"Lacuna não explicada"))</f>
        <v/>
      </c>
      <c r="F249" s="16">
        <f>IF(A249="","",COUNTIFS(Completude!$F$2:$F$301,A249,Completude!$B$2:$B$301,B249,Completude!$M$2:$M$301,"Lacuna explicada"))</f>
        <v/>
      </c>
      <c r="G249" s="16">
        <f>IF(A249="","",IF(C249=0,"Sem registros: confirme que o F5 rodou",IF(D249&gt;0,"Pendente de análise",IF(E249&gt;0,"Lacunas não explicadas",IF(F249&gt;0,"Lacunas explicadas","Completo")))))</f>
        <v/>
      </c>
      <c r="H249" s="15" t="n"/>
      <c r="I249" s="15" t="n"/>
      <c r="J249" s="15" t="n"/>
      <c r="K249" s="16">
        <f>IF(H249="","",IF(D249&gt;0,"NÃO – há pendências",IF(AND(H249&lt;&gt;G249,H249&lt;&gt;"Não avaliável"),"NÃO – difere do automático: justificar em ata",IF(H249="Lacunas não explicadas",IF(I249=3,"Sim","NÃO – exige unanimidade"),IF(I249&gt;=2,"Sim","NÃO – sem maioria")))))</f>
        <v/>
      </c>
    </row>
    <row r="250">
      <c r="A250" s="15" t="n"/>
      <c r="B250" s="15" t="n"/>
      <c r="C250" s="16">
        <f>IF(A250="","",COUNTIFS(Completude!$F$2:$F$301,A250,Completude!$B$2:$B$301,B250))</f>
        <v/>
      </c>
      <c r="D250" s="16">
        <f>IF(A250="","",COUNTIFS(Completude!$F$2:$F$301,A250,Completude!$B$2:$B$301,B250,Completude!$M$2:$M$301,"Aguarda*")+COUNTIFS(Completude!$F$2:$F$301,A250,Completude!$B$2:$B$301,B250,Completude!$M$2:$M$301,"NÃO*"))</f>
        <v/>
      </c>
      <c r="E250" s="16">
        <f>IF(A250="","",COUNTIFS(Completude!$F$2:$F$301,A250,Completude!$B$2:$B$301,B250,Completude!$M$2:$M$301,"Lacuna não explicada"))</f>
        <v/>
      </c>
      <c r="F250" s="16">
        <f>IF(A250="","",COUNTIFS(Completude!$F$2:$F$301,A250,Completude!$B$2:$B$301,B250,Completude!$M$2:$M$301,"Lacuna explicada"))</f>
        <v/>
      </c>
      <c r="G250" s="16">
        <f>IF(A250="","",IF(C250=0,"Sem registros: confirme que o F5 rodou",IF(D250&gt;0,"Pendente de análise",IF(E250&gt;0,"Lacunas não explicadas",IF(F250&gt;0,"Lacunas explicadas","Completo")))))</f>
        <v/>
      </c>
      <c r="H250" s="15" t="n"/>
      <c r="I250" s="15" t="n"/>
      <c r="J250" s="15" t="n"/>
      <c r="K250" s="16">
        <f>IF(H250="","",IF(D250&gt;0,"NÃO – há pendências",IF(AND(H250&lt;&gt;G250,H250&lt;&gt;"Não avaliável"),"NÃO – difere do automático: justificar em ata",IF(H250="Lacunas não explicadas",IF(I250=3,"Sim","NÃO – exige unanimidade"),IF(I250&gt;=2,"Sim","NÃO – sem maioria")))))</f>
        <v/>
      </c>
    </row>
    <row r="251">
      <c r="A251" s="15" t="n"/>
      <c r="B251" s="15" t="n"/>
      <c r="C251" s="16">
        <f>IF(A251="","",COUNTIFS(Completude!$F$2:$F$301,A251,Completude!$B$2:$B$301,B251))</f>
        <v/>
      </c>
      <c r="D251" s="16">
        <f>IF(A251="","",COUNTIFS(Completude!$F$2:$F$301,A251,Completude!$B$2:$B$301,B251,Completude!$M$2:$M$301,"Aguarda*")+COUNTIFS(Completude!$F$2:$F$301,A251,Completude!$B$2:$B$301,B251,Completude!$M$2:$M$301,"NÃO*"))</f>
        <v/>
      </c>
      <c r="E251" s="16">
        <f>IF(A251="","",COUNTIFS(Completude!$F$2:$F$301,A251,Completude!$B$2:$B$301,B251,Completude!$M$2:$M$301,"Lacuna não explicada"))</f>
        <v/>
      </c>
      <c r="F251" s="16">
        <f>IF(A251="","",COUNTIFS(Completude!$F$2:$F$301,A251,Completude!$B$2:$B$301,B251,Completude!$M$2:$M$301,"Lacuna explicada"))</f>
        <v/>
      </c>
      <c r="G251" s="16">
        <f>IF(A251="","",IF(C251=0,"Sem registros: confirme que o F5 rodou",IF(D251&gt;0,"Pendente de análise",IF(E251&gt;0,"Lacunas não explicadas",IF(F251&gt;0,"Lacunas explicadas","Completo")))))</f>
        <v/>
      </c>
      <c r="H251" s="15" t="n"/>
      <c r="I251" s="15" t="n"/>
      <c r="J251" s="15" t="n"/>
      <c r="K251" s="16">
        <f>IF(H251="","",IF(D251&gt;0,"NÃO – há pendências",IF(AND(H251&lt;&gt;G251,H251&lt;&gt;"Não avaliável"),"NÃO – difere do automático: justificar em ata",IF(H251="Lacunas não explicadas",IF(I251=3,"Sim","NÃO – exige unanimidade"),IF(I251&gt;=2,"Sim","NÃO – sem maioria")))))</f>
        <v/>
      </c>
    </row>
    <row r="252">
      <c r="A252" s="15" t="n"/>
      <c r="B252" s="15" t="n"/>
      <c r="C252" s="16">
        <f>IF(A252="","",COUNTIFS(Completude!$F$2:$F$301,A252,Completude!$B$2:$B$301,B252))</f>
        <v/>
      </c>
      <c r="D252" s="16">
        <f>IF(A252="","",COUNTIFS(Completude!$F$2:$F$301,A252,Completude!$B$2:$B$301,B252,Completude!$M$2:$M$301,"Aguarda*")+COUNTIFS(Completude!$F$2:$F$301,A252,Completude!$B$2:$B$301,B252,Completude!$M$2:$M$301,"NÃO*"))</f>
        <v/>
      </c>
      <c r="E252" s="16">
        <f>IF(A252="","",COUNTIFS(Completude!$F$2:$F$301,A252,Completude!$B$2:$B$301,B252,Completude!$M$2:$M$301,"Lacuna não explicada"))</f>
        <v/>
      </c>
      <c r="F252" s="16">
        <f>IF(A252="","",COUNTIFS(Completude!$F$2:$F$301,A252,Completude!$B$2:$B$301,B252,Completude!$M$2:$M$301,"Lacuna explicada"))</f>
        <v/>
      </c>
      <c r="G252" s="16">
        <f>IF(A252="","",IF(C252=0,"Sem registros: confirme que o F5 rodou",IF(D252&gt;0,"Pendente de análise",IF(E252&gt;0,"Lacunas não explicadas",IF(F252&gt;0,"Lacunas explicadas","Completo")))))</f>
        <v/>
      </c>
      <c r="H252" s="15" t="n"/>
      <c r="I252" s="15" t="n"/>
      <c r="J252" s="15" t="n"/>
      <c r="K252" s="16">
        <f>IF(H252="","",IF(D252&gt;0,"NÃO – há pendências",IF(AND(H252&lt;&gt;G252,H252&lt;&gt;"Não avaliável"),"NÃO – difere do automático: justificar em ata",IF(H252="Lacunas não explicadas",IF(I252=3,"Sim","NÃO – exige unanimidade"),IF(I252&gt;=2,"Sim","NÃO – sem maioria")))))</f>
        <v/>
      </c>
    </row>
    <row r="253">
      <c r="A253" s="15" t="n"/>
      <c r="B253" s="15" t="n"/>
      <c r="C253" s="16">
        <f>IF(A253="","",COUNTIFS(Completude!$F$2:$F$301,A253,Completude!$B$2:$B$301,B253))</f>
        <v/>
      </c>
      <c r="D253" s="16">
        <f>IF(A253="","",COUNTIFS(Completude!$F$2:$F$301,A253,Completude!$B$2:$B$301,B253,Completude!$M$2:$M$301,"Aguarda*")+COUNTIFS(Completude!$F$2:$F$301,A253,Completude!$B$2:$B$301,B253,Completude!$M$2:$M$301,"NÃO*"))</f>
        <v/>
      </c>
      <c r="E253" s="16">
        <f>IF(A253="","",COUNTIFS(Completude!$F$2:$F$301,A253,Completude!$B$2:$B$301,B253,Completude!$M$2:$M$301,"Lacuna não explicada"))</f>
        <v/>
      </c>
      <c r="F253" s="16">
        <f>IF(A253="","",COUNTIFS(Completude!$F$2:$F$301,A253,Completude!$B$2:$B$301,B253,Completude!$M$2:$M$301,"Lacuna explicada"))</f>
        <v/>
      </c>
      <c r="G253" s="16">
        <f>IF(A253="","",IF(C253=0,"Sem registros: confirme que o F5 rodou",IF(D253&gt;0,"Pendente de análise",IF(E253&gt;0,"Lacunas não explicadas",IF(F253&gt;0,"Lacunas explicadas","Completo")))))</f>
        <v/>
      </c>
      <c r="H253" s="15" t="n"/>
      <c r="I253" s="15" t="n"/>
      <c r="J253" s="15" t="n"/>
      <c r="K253" s="16">
        <f>IF(H253="","",IF(D253&gt;0,"NÃO – há pendências",IF(AND(H253&lt;&gt;G253,H253&lt;&gt;"Não avaliável"),"NÃO – difere do automático: justificar em ata",IF(H253="Lacunas não explicadas",IF(I253=3,"Sim","NÃO – exige unanimidade"),IF(I253&gt;=2,"Sim","NÃO – sem maioria")))))</f>
        <v/>
      </c>
    </row>
    <row r="254">
      <c r="A254" s="15" t="n"/>
      <c r="B254" s="15" t="n"/>
      <c r="C254" s="16">
        <f>IF(A254="","",COUNTIFS(Completude!$F$2:$F$301,A254,Completude!$B$2:$B$301,B254))</f>
        <v/>
      </c>
      <c r="D254" s="16">
        <f>IF(A254="","",COUNTIFS(Completude!$F$2:$F$301,A254,Completude!$B$2:$B$301,B254,Completude!$M$2:$M$301,"Aguarda*")+COUNTIFS(Completude!$F$2:$F$301,A254,Completude!$B$2:$B$301,B254,Completude!$M$2:$M$301,"NÃO*"))</f>
        <v/>
      </c>
      <c r="E254" s="16">
        <f>IF(A254="","",COUNTIFS(Completude!$F$2:$F$301,A254,Completude!$B$2:$B$301,B254,Completude!$M$2:$M$301,"Lacuna não explicada"))</f>
        <v/>
      </c>
      <c r="F254" s="16">
        <f>IF(A254="","",COUNTIFS(Completude!$F$2:$F$301,A254,Completude!$B$2:$B$301,B254,Completude!$M$2:$M$301,"Lacuna explicada"))</f>
        <v/>
      </c>
      <c r="G254" s="16">
        <f>IF(A254="","",IF(C254=0,"Sem registros: confirme que o F5 rodou",IF(D254&gt;0,"Pendente de análise",IF(E254&gt;0,"Lacunas não explicadas",IF(F254&gt;0,"Lacunas explicadas","Completo")))))</f>
        <v/>
      </c>
      <c r="H254" s="15" t="n"/>
      <c r="I254" s="15" t="n"/>
      <c r="J254" s="15" t="n"/>
      <c r="K254" s="16">
        <f>IF(H254="","",IF(D254&gt;0,"NÃO – há pendências",IF(AND(H254&lt;&gt;G254,H254&lt;&gt;"Não avaliável"),"NÃO – difere do automático: justificar em ata",IF(H254="Lacunas não explicadas",IF(I254=3,"Sim","NÃO – exige unanimidade"),IF(I254&gt;=2,"Sim","NÃO – sem maioria")))))</f>
        <v/>
      </c>
    </row>
    <row r="255">
      <c r="A255" s="15" t="n"/>
      <c r="B255" s="15" t="n"/>
      <c r="C255" s="16">
        <f>IF(A255="","",COUNTIFS(Completude!$F$2:$F$301,A255,Completude!$B$2:$B$301,B255))</f>
        <v/>
      </c>
      <c r="D255" s="16">
        <f>IF(A255="","",COUNTIFS(Completude!$F$2:$F$301,A255,Completude!$B$2:$B$301,B255,Completude!$M$2:$M$301,"Aguarda*")+COUNTIFS(Completude!$F$2:$F$301,A255,Completude!$B$2:$B$301,B255,Completude!$M$2:$M$301,"NÃO*"))</f>
        <v/>
      </c>
      <c r="E255" s="16">
        <f>IF(A255="","",COUNTIFS(Completude!$F$2:$F$301,A255,Completude!$B$2:$B$301,B255,Completude!$M$2:$M$301,"Lacuna não explicada"))</f>
        <v/>
      </c>
      <c r="F255" s="16">
        <f>IF(A255="","",COUNTIFS(Completude!$F$2:$F$301,A255,Completude!$B$2:$B$301,B255,Completude!$M$2:$M$301,"Lacuna explicada"))</f>
        <v/>
      </c>
      <c r="G255" s="16">
        <f>IF(A255="","",IF(C255=0,"Sem registros: confirme que o F5 rodou",IF(D255&gt;0,"Pendente de análise",IF(E255&gt;0,"Lacunas não explicadas",IF(F255&gt;0,"Lacunas explicadas","Completo")))))</f>
        <v/>
      </c>
      <c r="H255" s="15" t="n"/>
      <c r="I255" s="15" t="n"/>
      <c r="J255" s="15" t="n"/>
      <c r="K255" s="16">
        <f>IF(H255="","",IF(D255&gt;0,"NÃO – há pendências",IF(AND(H255&lt;&gt;G255,H255&lt;&gt;"Não avaliável"),"NÃO – difere do automático: justificar em ata",IF(H255="Lacunas não explicadas",IF(I255=3,"Sim","NÃO – exige unanimidade"),IF(I255&gt;=2,"Sim","NÃO – sem maioria")))))</f>
        <v/>
      </c>
    </row>
    <row r="256">
      <c r="A256" s="15" t="n"/>
      <c r="B256" s="15" t="n"/>
      <c r="C256" s="16">
        <f>IF(A256="","",COUNTIFS(Completude!$F$2:$F$301,A256,Completude!$B$2:$B$301,B256))</f>
        <v/>
      </c>
      <c r="D256" s="16">
        <f>IF(A256="","",COUNTIFS(Completude!$F$2:$F$301,A256,Completude!$B$2:$B$301,B256,Completude!$M$2:$M$301,"Aguarda*")+COUNTIFS(Completude!$F$2:$F$301,A256,Completude!$B$2:$B$301,B256,Completude!$M$2:$M$301,"NÃO*"))</f>
        <v/>
      </c>
      <c r="E256" s="16">
        <f>IF(A256="","",COUNTIFS(Completude!$F$2:$F$301,A256,Completude!$B$2:$B$301,B256,Completude!$M$2:$M$301,"Lacuna não explicada"))</f>
        <v/>
      </c>
      <c r="F256" s="16">
        <f>IF(A256="","",COUNTIFS(Completude!$F$2:$F$301,A256,Completude!$B$2:$B$301,B256,Completude!$M$2:$M$301,"Lacuna explicada"))</f>
        <v/>
      </c>
      <c r="G256" s="16">
        <f>IF(A256="","",IF(C256=0,"Sem registros: confirme que o F5 rodou",IF(D256&gt;0,"Pendente de análise",IF(E256&gt;0,"Lacunas não explicadas",IF(F256&gt;0,"Lacunas explicadas","Completo")))))</f>
        <v/>
      </c>
      <c r="H256" s="15" t="n"/>
      <c r="I256" s="15" t="n"/>
      <c r="J256" s="15" t="n"/>
      <c r="K256" s="16">
        <f>IF(H256="","",IF(D256&gt;0,"NÃO – há pendências",IF(AND(H256&lt;&gt;G256,H256&lt;&gt;"Não avaliável"),"NÃO – difere do automático: justificar em ata",IF(H256="Lacunas não explicadas",IF(I256=3,"Sim","NÃO – exige unanimidade"),IF(I256&gt;=2,"Sim","NÃO – sem maioria")))))</f>
        <v/>
      </c>
    </row>
    <row r="257">
      <c r="A257" s="15" t="n"/>
      <c r="B257" s="15" t="n"/>
      <c r="C257" s="16">
        <f>IF(A257="","",COUNTIFS(Completude!$F$2:$F$301,A257,Completude!$B$2:$B$301,B257))</f>
        <v/>
      </c>
      <c r="D257" s="16">
        <f>IF(A257="","",COUNTIFS(Completude!$F$2:$F$301,A257,Completude!$B$2:$B$301,B257,Completude!$M$2:$M$301,"Aguarda*")+COUNTIFS(Completude!$F$2:$F$301,A257,Completude!$B$2:$B$301,B257,Completude!$M$2:$M$301,"NÃO*"))</f>
        <v/>
      </c>
      <c r="E257" s="16">
        <f>IF(A257="","",COUNTIFS(Completude!$F$2:$F$301,A257,Completude!$B$2:$B$301,B257,Completude!$M$2:$M$301,"Lacuna não explicada"))</f>
        <v/>
      </c>
      <c r="F257" s="16">
        <f>IF(A257="","",COUNTIFS(Completude!$F$2:$F$301,A257,Completude!$B$2:$B$301,B257,Completude!$M$2:$M$301,"Lacuna explicada"))</f>
        <v/>
      </c>
      <c r="G257" s="16">
        <f>IF(A257="","",IF(C257=0,"Sem registros: confirme que o F5 rodou",IF(D257&gt;0,"Pendente de análise",IF(E257&gt;0,"Lacunas não explicadas",IF(F257&gt;0,"Lacunas explicadas","Completo")))))</f>
        <v/>
      </c>
      <c r="H257" s="15" t="n"/>
      <c r="I257" s="15" t="n"/>
      <c r="J257" s="15" t="n"/>
      <c r="K257" s="16">
        <f>IF(H257="","",IF(D257&gt;0,"NÃO – há pendências",IF(AND(H257&lt;&gt;G257,H257&lt;&gt;"Não avaliável"),"NÃO – difere do automático: justificar em ata",IF(H257="Lacunas não explicadas",IF(I257=3,"Sim","NÃO – exige unanimidade"),IF(I257&gt;=2,"Sim","NÃO – sem maioria")))))</f>
        <v/>
      </c>
    </row>
    <row r="258">
      <c r="A258" s="15" t="n"/>
      <c r="B258" s="15" t="n"/>
      <c r="C258" s="16">
        <f>IF(A258="","",COUNTIFS(Completude!$F$2:$F$301,A258,Completude!$B$2:$B$301,B258))</f>
        <v/>
      </c>
      <c r="D258" s="16">
        <f>IF(A258="","",COUNTIFS(Completude!$F$2:$F$301,A258,Completude!$B$2:$B$301,B258,Completude!$M$2:$M$301,"Aguarda*")+COUNTIFS(Completude!$F$2:$F$301,A258,Completude!$B$2:$B$301,B258,Completude!$M$2:$M$301,"NÃO*"))</f>
        <v/>
      </c>
      <c r="E258" s="16">
        <f>IF(A258="","",COUNTIFS(Completude!$F$2:$F$301,A258,Completude!$B$2:$B$301,B258,Completude!$M$2:$M$301,"Lacuna não explicada"))</f>
        <v/>
      </c>
      <c r="F258" s="16">
        <f>IF(A258="","",COUNTIFS(Completude!$F$2:$F$301,A258,Completude!$B$2:$B$301,B258,Completude!$M$2:$M$301,"Lacuna explicada"))</f>
        <v/>
      </c>
      <c r="G258" s="16">
        <f>IF(A258="","",IF(C258=0,"Sem registros: confirme que o F5 rodou",IF(D258&gt;0,"Pendente de análise",IF(E258&gt;0,"Lacunas não explicadas",IF(F258&gt;0,"Lacunas explicadas","Completo")))))</f>
        <v/>
      </c>
      <c r="H258" s="15" t="n"/>
      <c r="I258" s="15" t="n"/>
      <c r="J258" s="15" t="n"/>
      <c r="K258" s="16">
        <f>IF(H258="","",IF(D258&gt;0,"NÃO – há pendências",IF(AND(H258&lt;&gt;G258,H258&lt;&gt;"Não avaliável"),"NÃO – difere do automático: justificar em ata",IF(H258="Lacunas não explicadas",IF(I258=3,"Sim","NÃO – exige unanimidade"),IF(I258&gt;=2,"Sim","NÃO – sem maioria")))))</f>
        <v/>
      </c>
    </row>
    <row r="259">
      <c r="A259" s="15" t="n"/>
      <c r="B259" s="15" t="n"/>
      <c r="C259" s="16">
        <f>IF(A259="","",COUNTIFS(Completude!$F$2:$F$301,A259,Completude!$B$2:$B$301,B259))</f>
        <v/>
      </c>
      <c r="D259" s="16">
        <f>IF(A259="","",COUNTIFS(Completude!$F$2:$F$301,A259,Completude!$B$2:$B$301,B259,Completude!$M$2:$M$301,"Aguarda*")+COUNTIFS(Completude!$F$2:$F$301,A259,Completude!$B$2:$B$301,B259,Completude!$M$2:$M$301,"NÃO*"))</f>
        <v/>
      </c>
      <c r="E259" s="16">
        <f>IF(A259="","",COUNTIFS(Completude!$F$2:$F$301,A259,Completude!$B$2:$B$301,B259,Completude!$M$2:$M$301,"Lacuna não explicada"))</f>
        <v/>
      </c>
      <c r="F259" s="16">
        <f>IF(A259="","",COUNTIFS(Completude!$F$2:$F$301,A259,Completude!$B$2:$B$301,B259,Completude!$M$2:$M$301,"Lacuna explicada"))</f>
        <v/>
      </c>
      <c r="G259" s="16">
        <f>IF(A259="","",IF(C259=0,"Sem registros: confirme que o F5 rodou",IF(D259&gt;0,"Pendente de análise",IF(E259&gt;0,"Lacunas não explicadas",IF(F259&gt;0,"Lacunas explicadas","Completo")))))</f>
        <v/>
      </c>
      <c r="H259" s="15" t="n"/>
      <c r="I259" s="15" t="n"/>
      <c r="J259" s="15" t="n"/>
      <c r="K259" s="16">
        <f>IF(H259="","",IF(D259&gt;0,"NÃO – há pendências",IF(AND(H259&lt;&gt;G259,H259&lt;&gt;"Não avaliável"),"NÃO – difere do automático: justificar em ata",IF(H259="Lacunas não explicadas",IF(I259=3,"Sim","NÃO – exige unanimidade"),IF(I259&gt;=2,"Sim","NÃO – sem maioria")))))</f>
        <v/>
      </c>
    </row>
    <row r="260">
      <c r="A260" s="15" t="n"/>
      <c r="B260" s="15" t="n"/>
      <c r="C260" s="16">
        <f>IF(A260="","",COUNTIFS(Completude!$F$2:$F$301,A260,Completude!$B$2:$B$301,B260))</f>
        <v/>
      </c>
      <c r="D260" s="16">
        <f>IF(A260="","",COUNTIFS(Completude!$F$2:$F$301,A260,Completude!$B$2:$B$301,B260,Completude!$M$2:$M$301,"Aguarda*")+COUNTIFS(Completude!$F$2:$F$301,A260,Completude!$B$2:$B$301,B260,Completude!$M$2:$M$301,"NÃO*"))</f>
        <v/>
      </c>
      <c r="E260" s="16">
        <f>IF(A260="","",COUNTIFS(Completude!$F$2:$F$301,A260,Completude!$B$2:$B$301,B260,Completude!$M$2:$M$301,"Lacuna não explicada"))</f>
        <v/>
      </c>
      <c r="F260" s="16">
        <f>IF(A260="","",COUNTIFS(Completude!$F$2:$F$301,A260,Completude!$B$2:$B$301,B260,Completude!$M$2:$M$301,"Lacuna explicada"))</f>
        <v/>
      </c>
      <c r="G260" s="16">
        <f>IF(A260="","",IF(C260=0,"Sem registros: confirme que o F5 rodou",IF(D260&gt;0,"Pendente de análise",IF(E260&gt;0,"Lacunas não explicadas",IF(F260&gt;0,"Lacunas explicadas","Completo")))))</f>
        <v/>
      </c>
      <c r="H260" s="15" t="n"/>
      <c r="I260" s="15" t="n"/>
      <c r="J260" s="15" t="n"/>
      <c r="K260" s="16">
        <f>IF(H260="","",IF(D260&gt;0,"NÃO – há pendências",IF(AND(H260&lt;&gt;G260,H260&lt;&gt;"Não avaliável"),"NÃO – difere do automático: justificar em ata",IF(H260="Lacunas não explicadas",IF(I260=3,"Sim","NÃO – exige unanimidade"),IF(I260&gt;=2,"Sim","NÃO – sem maioria")))))</f>
        <v/>
      </c>
    </row>
    <row r="261">
      <c r="A261" s="15" t="n"/>
      <c r="B261" s="15" t="n"/>
      <c r="C261" s="16">
        <f>IF(A261="","",COUNTIFS(Completude!$F$2:$F$301,A261,Completude!$B$2:$B$301,B261))</f>
        <v/>
      </c>
      <c r="D261" s="16">
        <f>IF(A261="","",COUNTIFS(Completude!$F$2:$F$301,A261,Completude!$B$2:$B$301,B261,Completude!$M$2:$M$301,"Aguarda*")+COUNTIFS(Completude!$F$2:$F$301,A261,Completude!$B$2:$B$301,B261,Completude!$M$2:$M$301,"NÃO*"))</f>
        <v/>
      </c>
      <c r="E261" s="16">
        <f>IF(A261="","",COUNTIFS(Completude!$F$2:$F$301,A261,Completude!$B$2:$B$301,B261,Completude!$M$2:$M$301,"Lacuna não explicada"))</f>
        <v/>
      </c>
      <c r="F261" s="16">
        <f>IF(A261="","",COUNTIFS(Completude!$F$2:$F$301,A261,Completude!$B$2:$B$301,B261,Completude!$M$2:$M$301,"Lacuna explicada"))</f>
        <v/>
      </c>
      <c r="G261" s="16">
        <f>IF(A261="","",IF(C261=0,"Sem registros: confirme que o F5 rodou",IF(D261&gt;0,"Pendente de análise",IF(E261&gt;0,"Lacunas não explicadas",IF(F261&gt;0,"Lacunas explicadas","Completo")))))</f>
        <v/>
      </c>
      <c r="H261" s="15" t="n"/>
      <c r="I261" s="15" t="n"/>
      <c r="J261" s="15" t="n"/>
      <c r="K261" s="16">
        <f>IF(H261="","",IF(D261&gt;0,"NÃO – há pendências",IF(AND(H261&lt;&gt;G261,H261&lt;&gt;"Não avaliável"),"NÃO – difere do automático: justificar em ata",IF(H261="Lacunas não explicadas",IF(I261=3,"Sim","NÃO – exige unanimidade"),IF(I261&gt;=2,"Sim","NÃO – sem maioria")))))</f>
        <v/>
      </c>
    </row>
    <row r="262">
      <c r="A262" s="15" t="n"/>
      <c r="B262" s="15" t="n"/>
      <c r="C262" s="16">
        <f>IF(A262="","",COUNTIFS(Completude!$F$2:$F$301,A262,Completude!$B$2:$B$301,B262))</f>
        <v/>
      </c>
      <c r="D262" s="16">
        <f>IF(A262="","",COUNTIFS(Completude!$F$2:$F$301,A262,Completude!$B$2:$B$301,B262,Completude!$M$2:$M$301,"Aguarda*")+COUNTIFS(Completude!$F$2:$F$301,A262,Completude!$B$2:$B$301,B262,Completude!$M$2:$M$301,"NÃO*"))</f>
        <v/>
      </c>
      <c r="E262" s="16">
        <f>IF(A262="","",COUNTIFS(Completude!$F$2:$F$301,A262,Completude!$B$2:$B$301,B262,Completude!$M$2:$M$301,"Lacuna não explicada"))</f>
        <v/>
      </c>
      <c r="F262" s="16">
        <f>IF(A262="","",COUNTIFS(Completude!$F$2:$F$301,A262,Completude!$B$2:$B$301,B262,Completude!$M$2:$M$301,"Lacuna explicada"))</f>
        <v/>
      </c>
      <c r="G262" s="16">
        <f>IF(A262="","",IF(C262=0,"Sem registros: confirme que o F5 rodou",IF(D262&gt;0,"Pendente de análise",IF(E262&gt;0,"Lacunas não explicadas",IF(F262&gt;0,"Lacunas explicadas","Completo")))))</f>
        <v/>
      </c>
      <c r="H262" s="15" t="n"/>
      <c r="I262" s="15" t="n"/>
      <c r="J262" s="15" t="n"/>
      <c r="K262" s="16">
        <f>IF(H262="","",IF(D262&gt;0,"NÃO – há pendências",IF(AND(H262&lt;&gt;G262,H262&lt;&gt;"Não avaliável"),"NÃO – difere do automático: justificar em ata",IF(H262="Lacunas não explicadas",IF(I262=3,"Sim","NÃO – exige unanimidade"),IF(I262&gt;=2,"Sim","NÃO – sem maioria")))))</f>
        <v/>
      </c>
    </row>
    <row r="263">
      <c r="A263" s="15" t="n"/>
      <c r="B263" s="15" t="n"/>
      <c r="C263" s="16">
        <f>IF(A263="","",COUNTIFS(Completude!$F$2:$F$301,A263,Completude!$B$2:$B$301,B263))</f>
        <v/>
      </c>
      <c r="D263" s="16">
        <f>IF(A263="","",COUNTIFS(Completude!$F$2:$F$301,A263,Completude!$B$2:$B$301,B263,Completude!$M$2:$M$301,"Aguarda*")+COUNTIFS(Completude!$F$2:$F$301,A263,Completude!$B$2:$B$301,B263,Completude!$M$2:$M$301,"NÃO*"))</f>
        <v/>
      </c>
      <c r="E263" s="16">
        <f>IF(A263="","",COUNTIFS(Completude!$F$2:$F$301,A263,Completude!$B$2:$B$301,B263,Completude!$M$2:$M$301,"Lacuna não explicada"))</f>
        <v/>
      </c>
      <c r="F263" s="16">
        <f>IF(A263="","",COUNTIFS(Completude!$F$2:$F$301,A263,Completude!$B$2:$B$301,B263,Completude!$M$2:$M$301,"Lacuna explicada"))</f>
        <v/>
      </c>
      <c r="G263" s="16">
        <f>IF(A263="","",IF(C263=0,"Sem registros: confirme que o F5 rodou",IF(D263&gt;0,"Pendente de análise",IF(E263&gt;0,"Lacunas não explicadas",IF(F263&gt;0,"Lacunas explicadas","Completo")))))</f>
        <v/>
      </c>
      <c r="H263" s="15" t="n"/>
      <c r="I263" s="15" t="n"/>
      <c r="J263" s="15" t="n"/>
      <c r="K263" s="16">
        <f>IF(H263="","",IF(D263&gt;0,"NÃO – há pendências",IF(AND(H263&lt;&gt;G263,H263&lt;&gt;"Não avaliável"),"NÃO – difere do automático: justificar em ata",IF(H263="Lacunas não explicadas",IF(I263=3,"Sim","NÃO – exige unanimidade"),IF(I263&gt;=2,"Sim","NÃO – sem maioria")))))</f>
        <v/>
      </c>
    </row>
    <row r="264">
      <c r="A264" s="15" t="n"/>
      <c r="B264" s="15" t="n"/>
      <c r="C264" s="16">
        <f>IF(A264="","",COUNTIFS(Completude!$F$2:$F$301,A264,Completude!$B$2:$B$301,B264))</f>
        <v/>
      </c>
      <c r="D264" s="16">
        <f>IF(A264="","",COUNTIFS(Completude!$F$2:$F$301,A264,Completude!$B$2:$B$301,B264,Completude!$M$2:$M$301,"Aguarda*")+COUNTIFS(Completude!$F$2:$F$301,A264,Completude!$B$2:$B$301,B264,Completude!$M$2:$M$301,"NÃO*"))</f>
        <v/>
      </c>
      <c r="E264" s="16">
        <f>IF(A264="","",COUNTIFS(Completude!$F$2:$F$301,A264,Completude!$B$2:$B$301,B264,Completude!$M$2:$M$301,"Lacuna não explicada"))</f>
        <v/>
      </c>
      <c r="F264" s="16">
        <f>IF(A264="","",COUNTIFS(Completude!$F$2:$F$301,A264,Completude!$B$2:$B$301,B264,Completude!$M$2:$M$301,"Lacuna explicada"))</f>
        <v/>
      </c>
      <c r="G264" s="16">
        <f>IF(A264="","",IF(C264=0,"Sem registros: confirme que o F5 rodou",IF(D264&gt;0,"Pendente de análise",IF(E264&gt;0,"Lacunas não explicadas",IF(F264&gt;0,"Lacunas explicadas","Completo")))))</f>
        <v/>
      </c>
      <c r="H264" s="15" t="n"/>
      <c r="I264" s="15" t="n"/>
      <c r="J264" s="15" t="n"/>
      <c r="K264" s="16">
        <f>IF(H264="","",IF(D264&gt;0,"NÃO – há pendências",IF(AND(H264&lt;&gt;G264,H264&lt;&gt;"Não avaliável"),"NÃO – difere do automático: justificar em ata",IF(H264="Lacunas não explicadas",IF(I264=3,"Sim","NÃO – exige unanimidade"),IF(I264&gt;=2,"Sim","NÃO – sem maioria")))))</f>
        <v/>
      </c>
    </row>
    <row r="265">
      <c r="A265" s="15" t="n"/>
      <c r="B265" s="15" t="n"/>
      <c r="C265" s="16">
        <f>IF(A265="","",COUNTIFS(Completude!$F$2:$F$301,A265,Completude!$B$2:$B$301,B265))</f>
        <v/>
      </c>
      <c r="D265" s="16">
        <f>IF(A265="","",COUNTIFS(Completude!$F$2:$F$301,A265,Completude!$B$2:$B$301,B265,Completude!$M$2:$M$301,"Aguarda*")+COUNTIFS(Completude!$F$2:$F$301,A265,Completude!$B$2:$B$301,B265,Completude!$M$2:$M$301,"NÃO*"))</f>
        <v/>
      </c>
      <c r="E265" s="16">
        <f>IF(A265="","",COUNTIFS(Completude!$F$2:$F$301,A265,Completude!$B$2:$B$301,B265,Completude!$M$2:$M$301,"Lacuna não explicada"))</f>
        <v/>
      </c>
      <c r="F265" s="16">
        <f>IF(A265="","",COUNTIFS(Completude!$F$2:$F$301,A265,Completude!$B$2:$B$301,B265,Completude!$M$2:$M$301,"Lacuna explicada"))</f>
        <v/>
      </c>
      <c r="G265" s="16">
        <f>IF(A265="","",IF(C265=0,"Sem registros: confirme que o F5 rodou",IF(D265&gt;0,"Pendente de análise",IF(E265&gt;0,"Lacunas não explicadas",IF(F265&gt;0,"Lacunas explicadas","Completo")))))</f>
        <v/>
      </c>
      <c r="H265" s="15" t="n"/>
      <c r="I265" s="15" t="n"/>
      <c r="J265" s="15" t="n"/>
      <c r="K265" s="16">
        <f>IF(H265="","",IF(D265&gt;0,"NÃO – há pendências",IF(AND(H265&lt;&gt;G265,H265&lt;&gt;"Não avaliável"),"NÃO – difere do automático: justificar em ata",IF(H265="Lacunas não explicadas",IF(I265=3,"Sim","NÃO – exige unanimidade"),IF(I265&gt;=2,"Sim","NÃO – sem maioria")))))</f>
        <v/>
      </c>
    </row>
    <row r="266">
      <c r="A266" s="15" t="n"/>
      <c r="B266" s="15" t="n"/>
      <c r="C266" s="16">
        <f>IF(A266="","",COUNTIFS(Completude!$F$2:$F$301,A266,Completude!$B$2:$B$301,B266))</f>
        <v/>
      </c>
      <c r="D266" s="16">
        <f>IF(A266="","",COUNTIFS(Completude!$F$2:$F$301,A266,Completude!$B$2:$B$301,B266,Completude!$M$2:$M$301,"Aguarda*")+COUNTIFS(Completude!$F$2:$F$301,A266,Completude!$B$2:$B$301,B266,Completude!$M$2:$M$301,"NÃO*"))</f>
        <v/>
      </c>
      <c r="E266" s="16">
        <f>IF(A266="","",COUNTIFS(Completude!$F$2:$F$301,A266,Completude!$B$2:$B$301,B266,Completude!$M$2:$M$301,"Lacuna não explicada"))</f>
        <v/>
      </c>
      <c r="F266" s="16">
        <f>IF(A266="","",COUNTIFS(Completude!$F$2:$F$301,A266,Completude!$B$2:$B$301,B266,Completude!$M$2:$M$301,"Lacuna explicada"))</f>
        <v/>
      </c>
      <c r="G266" s="16">
        <f>IF(A266="","",IF(C266=0,"Sem registros: confirme que o F5 rodou",IF(D266&gt;0,"Pendente de análise",IF(E266&gt;0,"Lacunas não explicadas",IF(F266&gt;0,"Lacunas explicadas","Completo")))))</f>
        <v/>
      </c>
      <c r="H266" s="15" t="n"/>
      <c r="I266" s="15" t="n"/>
      <c r="J266" s="15" t="n"/>
      <c r="K266" s="16">
        <f>IF(H266="","",IF(D266&gt;0,"NÃO – há pendências",IF(AND(H266&lt;&gt;G266,H266&lt;&gt;"Não avaliável"),"NÃO – difere do automático: justificar em ata",IF(H266="Lacunas não explicadas",IF(I266=3,"Sim","NÃO – exige unanimidade"),IF(I266&gt;=2,"Sim","NÃO – sem maioria")))))</f>
        <v/>
      </c>
    </row>
    <row r="267">
      <c r="A267" s="15" t="n"/>
      <c r="B267" s="15" t="n"/>
      <c r="C267" s="16">
        <f>IF(A267="","",COUNTIFS(Completude!$F$2:$F$301,A267,Completude!$B$2:$B$301,B267))</f>
        <v/>
      </c>
      <c r="D267" s="16">
        <f>IF(A267="","",COUNTIFS(Completude!$F$2:$F$301,A267,Completude!$B$2:$B$301,B267,Completude!$M$2:$M$301,"Aguarda*")+COUNTIFS(Completude!$F$2:$F$301,A267,Completude!$B$2:$B$301,B267,Completude!$M$2:$M$301,"NÃO*"))</f>
        <v/>
      </c>
      <c r="E267" s="16">
        <f>IF(A267="","",COUNTIFS(Completude!$F$2:$F$301,A267,Completude!$B$2:$B$301,B267,Completude!$M$2:$M$301,"Lacuna não explicada"))</f>
        <v/>
      </c>
      <c r="F267" s="16">
        <f>IF(A267="","",COUNTIFS(Completude!$F$2:$F$301,A267,Completude!$B$2:$B$301,B267,Completude!$M$2:$M$301,"Lacuna explicada"))</f>
        <v/>
      </c>
      <c r="G267" s="16">
        <f>IF(A267="","",IF(C267=0,"Sem registros: confirme que o F5 rodou",IF(D267&gt;0,"Pendente de análise",IF(E267&gt;0,"Lacunas não explicadas",IF(F267&gt;0,"Lacunas explicadas","Completo")))))</f>
        <v/>
      </c>
      <c r="H267" s="15" t="n"/>
      <c r="I267" s="15" t="n"/>
      <c r="J267" s="15" t="n"/>
      <c r="K267" s="16">
        <f>IF(H267="","",IF(D267&gt;0,"NÃO – há pendências",IF(AND(H267&lt;&gt;G267,H267&lt;&gt;"Não avaliável"),"NÃO – difere do automático: justificar em ata",IF(H267="Lacunas não explicadas",IF(I267=3,"Sim","NÃO – exige unanimidade"),IF(I267&gt;=2,"Sim","NÃO – sem maioria")))))</f>
        <v/>
      </c>
    </row>
    <row r="268">
      <c r="A268" s="15" t="n"/>
      <c r="B268" s="15" t="n"/>
      <c r="C268" s="16">
        <f>IF(A268="","",COUNTIFS(Completude!$F$2:$F$301,A268,Completude!$B$2:$B$301,B268))</f>
        <v/>
      </c>
      <c r="D268" s="16">
        <f>IF(A268="","",COUNTIFS(Completude!$F$2:$F$301,A268,Completude!$B$2:$B$301,B268,Completude!$M$2:$M$301,"Aguarda*")+COUNTIFS(Completude!$F$2:$F$301,A268,Completude!$B$2:$B$301,B268,Completude!$M$2:$M$301,"NÃO*"))</f>
        <v/>
      </c>
      <c r="E268" s="16">
        <f>IF(A268="","",COUNTIFS(Completude!$F$2:$F$301,A268,Completude!$B$2:$B$301,B268,Completude!$M$2:$M$301,"Lacuna não explicada"))</f>
        <v/>
      </c>
      <c r="F268" s="16">
        <f>IF(A268="","",COUNTIFS(Completude!$F$2:$F$301,A268,Completude!$B$2:$B$301,B268,Completude!$M$2:$M$301,"Lacuna explicada"))</f>
        <v/>
      </c>
      <c r="G268" s="16">
        <f>IF(A268="","",IF(C268=0,"Sem registros: confirme que o F5 rodou",IF(D268&gt;0,"Pendente de análise",IF(E268&gt;0,"Lacunas não explicadas",IF(F268&gt;0,"Lacunas explicadas","Completo")))))</f>
        <v/>
      </c>
      <c r="H268" s="15" t="n"/>
      <c r="I268" s="15" t="n"/>
      <c r="J268" s="15" t="n"/>
      <c r="K268" s="16">
        <f>IF(H268="","",IF(D268&gt;0,"NÃO – há pendências",IF(AND(H268&lt;&gt;G268,H268&lt;&gt;"Não avaliável"),"NÃO – difere do automático: justificar em ata",IF(H268="Lacunas não explicadas",IF(I268=3,"Sim","NÃO – exige unanimidade"),IF(I268&gt;=2,"Sim","NÃO – sem maioria")))))</f>
        <v/>
      </c>
    </row>
    <row r="269">
      <c r="A269" s="15" t="n"/>
      <c r="B269" s="15" t="n"/>
      <c r="C269" s="16">
        <f>IF(A269="","",COUNTIFS(Completude!$F$2:$F$301,A269,Completude!$B$2:$B$301,B269))</f>
        <v/>
      </c>
      <c r="D269" s="16">
        <f>IF(A269="","",COUNTIFS(Completude!$F$2:$F$301,A269,Completude!$B$2:$B$301,B269,Completude!$M$2:$M$301,"Aguarda*")+COUNTIFS(Completude!$F$2:$F$301,A269,Completude!$B$2:$B$301,B269,Completude!$M$2:$M$301,"NÃO*"))</f>
        <v/>
      </c>
      <c r="E269" s="16">
        <f>IF(A269="","",COUNTIFS(Completude!$F$2:$F$301,A269,Completude!$B$2:$B$301,B269,Completude!$M$2:$M$301,"Lacuna não explicada"))</f>
        <v/>
      </c>
      <c r="F269" s="16">
        <f>IF(A269="","",COUNTIFS(Completude!$F$2:$F$301,A269,Completude!$B$2:$B$301,B269,Completude!$M$2:$M$301,"Lacuna explicada"))</f>
        <v/>
      </c>
      <c r="G269" s="16">
        <f>IF(A269="","",IF(C269=0,"Sem registros: confirme que o F5 rodou",IF(D269&gt;0,"Pendente de análise",IF(E269&gt;0,"Lacunas não explicadas",IF(F269&gt;0,"Lacunas explicadas","Completo")))))</f>
        <v/>
      </c>
      <c r="H269" s="15" t="n"/>
      <c r="I269" s="15" t="n"/>
      <c r="J269" s="15" t="n"/>
      <c r="K269" s="16">
        <f>IF(H269="","",IF(D269&gt;0,"NÃO – há pendências",IF(AND(H269&lt;&gt;G269,H269&lt;&gt;"Não avaliável"),"NÃO – difere do automático: justificar em ata",IF(H269="Lacunas não explicadas",IF(I269=3,"Sim","NÃO – exige unanimidade"),IF(I269&gt;=2,"Sim","NÃO – sem maioria")))))</f>
        <v/>
      </c>
    </row>
    <row r="270">
      <c r="A270" s="15" t="n"/>
      <c r="B270" s="15" t="n"/>
      <c r="C270" s="16">
        <f>IF(A270="","",COUNTIFS(Completude!$F$2:$F$301,A270,Completude!$B$2:$B$301,B270))</f>
        <v/>
      </c>
      <c r="D270" s="16">
        <f>IF(A270="","",COUNTIFS(Completude!$F$2:$F$301,A270,Completude!$B$2:$B$301,B270,Completude!$M$2:$M$301,"Aguarda*")+COUNTIFS(Completude!$F$2:$F$301,A270,Completude!$B$2:$B$301,B270,Completude!$M$2:$M$301,"NÃO*"))</f>
        <v/>
      </c>
      <c r="E270" s="16">
        <f>IF(A270="","",COUNTIFS(Completude!$F$2:$F$301,A270,Completude!$B$2:$B$301,B270,Completude!$M$2:$M$301,"Lacuna não explicada"))</f>
        <v/>
      </c>
      <c r="F270" s="16">
        <f>IF(A270="","",COUNTIFS(Completude!$F$2:$F$301,A270,Completude!$B$2:$B$301,B270,Completude!$M$2:$M$301,"Lacuna explicada"))</f>
        <v/>
      </c>
      <c r="G270" s="16">
        <f>IF(A270="","",IF(C270=0,"Sem registros: confirme que o F5 rodou",IF(D270&gt;0,"Pendente de análise",IF(E270&gt;0,"Lacunas não explicadas",IF(F270&gt;0,"Lacunas explicadas","Completo")))))</f>
        <v/>
      </c>
      <c r="H270" s="15" t="n"/>
      <c r="I270" s="15" t="n"/>
      <c r="J270" s="15" t="n"/>
      <c r="K270" s="16">
        <f>IF(H270="","",IF(D270&gt;0,"NÃO – há pendências",IF(AND(H270&lt;&gt;G270,H270&lt;&gt;"Não avaliável"),"NÃO – difere do automático: justificar em ata",IF(H270="Lacunas não explicadas",IF(I270=3,"Sim","NÃO – exige unanimidade"),IF(I270&gt;=2,"Sim","NÃO – sem maioria")))))</f>
        <v/>
      </c>
    </row>
    <row r="271">
      <c r="A271" s="15" t="n"/>
      <c r="B271" s="15" t="n"/>
      <c r="C271" s="16">
        <f>IF(A271="","",COUNTIFS(Completude!$F$2:$F$301,A271,Completude!$B$2:$B$301,B271))</f>
        <v/>
      </c>
      <c r="D271" s="16">
        <f>IF(A271="","",COUNTIFS(Completude!$F$2:$F$301,A271,Completude!$B$2:$B$301,B271,Completude!$M$2:$M$301,"Aguarda*")+COUNTIFS(Completude!$F$2:$F$301,A271,Completude!$B$2:$B$301,B271,Completude!$M$2:$M$301,"NÃO*"))</f>
        <v/>
      </c>
      <c r="E271" s="16">
        <f>IF(A271="","",COUNTIFS(Completude!$F$2:$F$301,A271,Completude!$B$2:$B$301,B271,Completude!$M$2:$M$301,"Lacuna não explicada"))</f>
        <v/>
      </c>
      <c r="F271" s="16">
        <f>IF(A271="","",COUNTIFS(Completude!$F$2:$F$301,A271,Completude!$B$2:$B$301,B271,Completude!$M$2:$M$301,"Lacuna explicada"))</f>
        <v/>
      </c>
      <c r="G271" s="16">
        <f>IF(A271="","",IF(C271=0,"Sem registros: confirme que o F5 rodou",IF(D271&gt;0,"Pendente de análise",IF(E271&gt;0,"Lacunas não explicadas",IF(F271&gt;0,"Lacunas explicadas","Completo")))))</f>
        <v/>
      </c>
      <c r="H271" s="15" t="n"/>
      <c r="I271" s="15" t="n"/>
      <c r="J271" s="15" t="n"/>
      <c r="K271" s="16">
        <f>IF(H271="","",IF(D271&gt;0,"NÃO – há pendências",IF(AND(H271&lt;&gt;G271,H271&lt;&gt;"Não avaliável"),"NÃO – difere do automático: justificar em ata",IF(H271="Lacunas não explicadas",IF(I271=3,"Sim","NÃO – exige unanimidade"),IF(I271&gt;=2,"Sim","NÃO – sem maioria")))))</f>
        <v/>
      </c>
    </row>
    <row r="272">
      <c r="A272" s="15" t="n"/>
      <c r="B272" s="15" t="n"/>
      <c r="C272" s="16">
        <f>IF(A272="","",COUNTIFS(Completude!$F$2:$F$301,A272,Completude!$B$2:$B$301,B272))</f>
        <v/>
      </c>
      <c r="D272" s="16">
        <f>IF(A272="","",COUNTIFS(Completude!$F$2:$F$301,A272,Completude!$B$2:$B$301,B272,Completude!$M$2:$M$301,"Aguarda*")+COUNTIFS(Completude!$F$2:$F$301,A272,Completude!$B$2:$B$301,B272,Completude!$M$2:$M$301,"NÃO*"))</f>
        <v/>
      </c>
      <c r="E272" s="16">
        <f>IF(A272="","",COUNTIFS(Completude!$F$2:$F$301,A272,Completude!$B$2:$B$301,B272,Completude!$M$2:$M$301,"Lacuna não explicada"))</f>
        <v/>
      </c>
      <c r="F272" s="16">
        <f>IF(A272="","",COUNTIFS(Completude!$F$2:$F$301,A272,Completude!$B$2:$B$301,B272,Completude!$M$2:$M$301,"Lacuna explicada"))</f>
        <v/>
      </c>
      <c r="G272" s="16">
        <f>IF(A272="","",IF(C272=0,"Sem registros: confirme que o F5 rodou",IF(D272&gt;0,"Pendente de análise",IF(E272&gt;0,"Lacunas não explicadas",IF(F272&gt;0,"Lacunas explicadas","Completo")))))</f>
        <v/>
      </c>
      <c r="H272" s="15" t="n"/>
      <c r="I272" s="15" t="n"/>
      <c r="J272" s="15" t="n"/>
      <c r="K272" s="16">
        <f>IF(H272="","",IF(D272&gt;0,"NÃO – há pendências",IF(AND(H272&lt;&gt;G272,H272&lt;&gt;"Não avaliável"),"NÃO – difere do automático: justificar em ata",IF(H272="Lacunas não explicadas",IF(I272=3,"Sim","NÃO – exige unanimidade"),IF(I272&gt;=2,"Sim","NÃO – sem maioria")))))</f>
        <v/>
      </c>
    </row>
    <row r="273">
      <c r="A273" s="15" t="n"/>
      <c r="B273" s="15" t="n"/>
      <c r="C273" s="16">
        <f>IF(A273="","",COUNTIFS(Completude!$F$2:$F$301,A273,Completude!$B$2:$B$301,B273))</f>
        <v/>
      </c>
      <c r="D273" s="16">
        <f>IF(A273="","",COUNTIFS(Completude!$F$2:$F$301,A273,Completude!$B$2:$B$301,B273,Completude!$M$2:$M$301,"Aguarda*")+COUNTIFS(Completude!$F$2:$F$301,A273,Completude!$B$2:$B$301,B273,Completude!$M$2:$M$301,"NÃO*"))</f>
        <v/>
      </c>
      <c r="E273" s="16">
        <f>IF(A273="","",COUNTIFS(Completude!$F$2:$F$301,A273,Completude!$B$2:$B$301,B273,Completude!$M$2:$M$301,"Lacuna não explicada"))</f>
        <v/>
      </c>
      <c r="F273" s="16">
        <f>IF(A273="","",COUNTIFS(Completude!$F$2:$F$301,A273,Completude!$B$2:$B$301,B273,Completude!$M$2:$M$301,"Lacuna explicada"))</f>
        <v/>
      </c>
      <c r="G273" s="16">
        <f>IF(A273="","",IF(C273=0,"Sem registros: confirme que o F5 rodou",IF(D273&gt;0,"Pendente de análise",IF(E273&gt;0,"Lacunas não explicadas",IF(F273&gt;0,"Lacunas explicadas","Completo")))))</f>
        <v/>
      </c>
      <c r="H273" s="15" t="n"/>
      <c r="I273" s="15" t="n"/>
      <c r="J273" s="15" t="n"/>
      <c r="K273" s="16">
        <f>IF(H273="","",IF(D273&gt;0,"NÃO – há pendências",IF(AND(H273&lt;&gt;G273,H273&lt;&gt;"Não avaliável"),"NÃO – difere do automático: justificar em ata",IF(H273="Lacunas não explicadas",IF(I273=3,"Sim","NÃO – exige unanimidade"),IF(I273&gt;=2,"Sim","NÃO – sem maioria")))))</f>
        <v/>
      </c>
    </row>
    <row r="274">
      <c r="A274" s="15" t="n"/>
      <c r="B274" s="15" t="n"/>
      <c r="C274" s="16">
        <f>IF(A274="","",COUNTIFS(Completude!$F$2:$F$301,A274,Completude!$B$2:$B$301,B274))</f>
        <v/>
      </c>
      <c r="D274" s="16">
        <f>IF(A274="","",COUNTIFS(Completude!$F$2:$F$301,A274,Completude!$B$2:$B$301,B274,Completude!$M$2:$M$301,"Aguarda*")+COUNTIFS(Completude!$F$2:$F$301,A274,Completude!$B$2:$B$301,B274,Completude!$M$2:$M$301,"NÃO*"))</f>
        <v/>
      </c>
      <c r="E274" s="16">
        <f>IF(A274="","",COUNTIFS(Completude!$F$2:$F$301,A274,Completude!$B$2:$B$301,B274,Completude!$M$2:$M$301,"Lacuna não explicada"))</f>
        <v/>
      </c>
      <c r="F274" s="16">
        <f>IF(A274="","",COUNTIFS(Completude!$F$2:$F$301,A274,Completude!$B$2:$B$301,B274,Completude!$M$2:$M$301,"Lacuna explicada"))</f>
        <v/>
      </c>
      <c r="G274" s="16">
        <f>IF(A274="","",IF(C274=0,"Sem registros: confirme que o F5 rodou",IF(D274&gt;0,"Pendente de análise",IF(E274&gt;0,"Lacunas não explicadas",IF(F274&gt;0,"Lacunas explicadas","Completo")))))</f>
        <v/>
      </c>
      <c r="H274" s="15" t="n"/>
      <c r="I274" s="15" t="n"/>
      <c r="J274" s="15" t="n"/>
      <c r="K274" s="16">
        <f>IF(H274="","",IF(D274&gt;0,"NÃO – há pendências",IF(AND(H274&lt;&gt;G274,H274&lt;&gt;"Não avaliável"),"NÃO – difere do automático: justificar em ata",IF(H274="Lacunas não explicadas",IF(I274=3,"Sim","NÃO – exige unanimidade"),IF(I274&gt;=2,"Sim","NÃO – sem maioria")))))</f>
        <v/>
      </c>
    </row>
    <row r="275">
      <c r="A275" s="15" t="n"/>
      <c r="B275" s="15" t="n"/>
      <c r="C275" s="16">
        <f>IF(A275="","",COUNTIFS(Completude!$F$2:$F$301,A275,Completude!$B$2:$B$301,B275))</f>
        <v/>
      </c>
      <c r="D275" s="16">
        <f>IF(A275="","",COUNTIFS(Completude!$F$2:$F$301,A275,Completude!$B$2:$B$301,B275,Completude!$M$2:$M$301,"Aguarda*")+COUNTIFS(Completude!$F$2:$F$301,A275,Completude!$B$2:$B$301,B275,Completude!$M$2:$M$301,"NÃO*"))</f>
        <v/>
      </c>
      <c r="E275" s="16">
        <f>IF(A275="","",COUNTIFS(Completude!$F$2:$F$301,A275,Completude!$B$2:$B$301,B275,Completude!$M$2:$M$301,"Lacuna não explicada"))</f>
        <v/>
      </c>
      <c r="F275" s="16">
        <f>IF(A275="","",COUNTIFS(Completude!$F$2:$F$301,A275,Completude!$B$2:$B$301,B275,Completude!$M$2:$M$301,"Lacuna explicada"))</f>
        <v/>
      </c>
      <c r="G275" s="16">
        <f>IF(A275="","",IF(C275=0,"Sem registros: confirme que o F5 rodou",IF(D275&gt;0,"Pendente de análise",IF(E275&gt;0,"Lacunas não explicadas",IF(F275&gt;0,"Lacunas explicadas","Completo")))))</f>
        <v/>
      </c>
      <c r="H275" s="15" t="n"/>
      <c r="I275" s="15" t="n"/>
      <c r="J275" s="15" t="n"/>
      <c r="K275" s="16">
        <f>IF(H275="","",IF(D275&gt;0,"NÃO – há pendências",IF(AND(H275&lt;&gt;G275,H275&lt;&gt;"Não avaliável"),"NÃO – difere do automático: justificar em ata",IF(H275="Lacunas não explicadas",IF(I275=3,"Sim","NÃO – exige unanimidade"),IF(I275&gt;=2,"Sim","NÃO – sem maioria")))))</f>
        <v/>
      </c>
    </row>
    <row r="276">
      <c r="A276" s="15" t="n"/>
      <c r="B276" s="15" t="n"/>
      <c r="C276" s="16">
        <f>IF(A276="","",COUNTIFS(Completude!$F$2:$F$301,A276,Completude!$B$2:$B$301,B276))</f>
        <v/>
      </c>
      <c r="D276" s="16">
        <f>IF(A276="","",COUNTIFS(Completude!$F$2:$F$301,A276,Completude!$B$2:$B$301,B276,Completude!$M$2:$M$301,"Aguarda*")+COUNTIFS(Completude!$F$2:$F$301,A276,Completude!$B$2:$B$301,B276,Completude!$M$2:$M$301,"NÃO*"))</f>
        <v/>
      </c>
      <c r="E276" s="16">
        <f>IF(A276="","",COUNTIFS(Completude!$F$2:$F$301,A276,Completude!$B$2:$B$301,B276,Completude!$M$2:$M$301,"Lacuna não explicada"))</f>
        <v/>
      </c>
      <c r="F276" s="16">
        <f>IF(A276="","",COUNTIFS(Completude!$F$2:$F$301,A276,Completude!$B$2:$B$301,B276,Completude!$M$2:$M$301,"Lacuna explicada"))</f>
        <v/>
      </c>
      <c r="G276" s="16">
        <f>IF(A276="","",IF(C276=0,"Sem registros: confirme que o F5 rodou",IF(D276&gt;0,"Pendente de análise",IF(E276&gt;0,"Lacunas não explicadas",IF(F276&gt;0,"Lacunas explicadas","Completo")))))</f>
        <v/>
      </c>
      <c r="H276" s="15" t="n"/>
      <c r="I276" s="15" t="n"/>
      <c r="J276" s="15" t="n"/>
      <c r="K276" s="16">
        <f>IF(H276="","",IF(D276&gt;0,"NÃO – há pendências",IF(AND(H276&lt;&gt;G276,H276&lt;&gt;"Não avaliável"),"NÃO – difere do automático: justificar em ata",IF(H276="Lacunas não explicadas",IF(I276=3,"Sim","NÃO – exige unanimidade"),IF(I276&gt;=2,"Sim","NÃO – sem maioria")))))</f>
        <v/>
      </c>
    </row>
    <row r="277">
      <c r="A277" s="15" t="n"/>
      <c r="B277" s="15" t="n"/>
      <c r="C277" s="16">
        <f>IF(A277="","",COUNTIFS(Completude!$F$2:$F$301,A277,Completude!$B$2:$B$301,B277))</f>
        <v/>
      </c>
      <c r="D277" s="16">
        <f>IF(A277="","",COUNTIFS(Completude!$F$2:$F$301,A277,Completude!$B$2:$B$301,B277,Completude!$M$2:$M$301,"Aguarda*")+COUNTIFS(Completude!$F$2:$F$301,A277,Completude!$B$2:$B$301,B277,Completude!$M$2:$M$301,"NÃO*"))</f>
        <v/>
      </c>
      <c r="E277" s="16">
        <f>IF(A277="","",COUNTIFS(Completude!$F$2:$F$301,A277,Completude!$B$2:$B$301,B277,Completude!$M$2:$M$301,"Lacuna não explicada"))</f>
        <v/>
      </c>
      <c r="F277" s="16">
        <f>IF(A277="","",COUNTIFS(Completude!$F$2:$F$301,A277,Completude!$B$2:$B$301,B277,Completude!$M$2:$M$301,"Lacuna explicada"))</f>
        <v/>
      </c>
      <c r="G277" s="16">
        <f>IF(A277="","",IF(C277=0,"Sem registros: confirme que o F5 rodou",IF(D277&gt;0,"Pendente de análise",IF(E277&gt;0,"Lacunas não explicadas",IF(F277&gt;0,"Lacunas explicadas","Completo")))))</f>
        <v/>
      </c>
      <c r="H277" s="15" t="n"/>
      <c r="I277" s="15" t="n"/>
      <c r="J277" s="15" t="n"/>
      <c r="K277" s="16">
        <f>IF(H277="","",IF(D277&gt;0,"NÃO – há pendências",IF(AND(H277&lt;&gt;G277,H277&lt;&gt;"Não avaliável"),"NÃO – difere do automático: justificar em ata",IF(H277="Lacunas não explicadas",IF(I277=3,"Sim","NÃO – exige unanimidade"),IF(I277&gt;=2,"Sim","NÃO – sem maioria")))))</f>
        <v/>
      </c>
    </row>
    <row r="278">
      <c r="A278" s="15" t="n"/>
      <c r="B278" s="15" t="n"/>
      <c r="C278" s="16">
        <f>IF(A278="","",COUNTIFS(Completude!$F$2:$F$301,A278,Completude!$B$2:$B$301,B278))</f>
        <v/>
      </c>
      <c r="D278" s="16">
        <f>IF(A278="","",COUNTIFS(Completude!$F$2:$F$301,A278,Completude!$B$2:$B$301,B278,Completude!$M$2:$M$301,"Aguarda*")+COUNTIFS(Completude!$F$2:$F$301,A278,Completude!$B$2:$B$301,B278,Completude!$M$2:$M$301,"NÃO*"))</f>
        <v/>
      </c>
      <c r="E278" s="16">
        <f>IF(A278="","",COUNTIFS(Completude!$F$2:$F$301,A278,Completude!$B$2:$B$301,B278,Completude!$M$2:$M$301,"Lacuna não explicada"))</f>
        <v/>
      </c>
      <c r="F278" s="16">
        <f>IF(A278="","",COUNTIFS(Completude!$F$2:$F$301,A278,Completude!$B$2:$B$301,B278,Completude!$M$2:$M$301,"Lacuna explicada"))</f>
        <v/>
      </c>
      <c r="G278" s="16">
        <f>IF(A278="","",IF(C278=0,"Sem registros: confirme que o F5 rodou",IF(D278&gt;0,"Pendente de análise",IF(E278&gt;0,"Lacunas não explicadas",IF(F278&gt;0,"Lacunas explicadas","Completo")))))</f>
        <v/>
      </c>
      <c r="H278" s="15" t="n"/>
      <c r="I278" s="15" t="n"/>
      <c r="J278" s="15" t="n"/>
      <c r="K278" s="16">
        <f>IF(H278="","",IF(D278&gt;0,"NÃO – há pendências",IF(AND(H278&lt;&gt;G278,H278&lt;&gt;"Não avaliável"),"NÃO – difere do automático: justificar em ata",IF(H278="Lacunas não explicadas",IF(I278=3,"Sim","NÃO – exige unanimidade"),IF(I278&gt;=2,"Sim","NÃO – sem maioria")))))</f>
        <v/>
      </c>
    </row>
    <row r="279">
      <c r="A279" s="15" t="n"/>
      <c r="B279" s="15" t="n"/>
      <c r="C279" s="16">
        <f>IF(A279="","",COUNTIFS(Completude!$F$2:$F$301,A279,Completude!$B$2:$B$301,B279))</f>
        <v/>
      </c>
      <c r="D279" s="16">
        <f>IF(A279="","",COUNTIFS(Completude!$F$2:$F$301,A279,Completude!$B$2:$B$301,B279,Completude!$M$2:$M$301,"Aguarda*")+COUNTIFS(Completude!$F$2:$F$301,A279,Completude!$B$2:$B$301,B279,Completude!$M$2:$M$301,"NÃO*"))</f>
        <v/>
      </c>
      <c r="E279" s="16">
        <f>IF(A279="","",COUNTIFS(Completude!$F$2:$F$301,A279,Completude!$B$2:$B$301,B279,Completude!$M$2:$M$301,"Lacuna não explicada"))</f>
        <v/>
      </c>
      <c r="F279" s="16">
        <f>IF(A279="","",COUNTIFS(Completude!$F$2:$F$301,A279,Completude!$B$2:$B$301,B279,Completude!$M$2:$M$301,"Lacuna explicada"))</f>
        <v/>
      </c>
      <c r="G279" s="16">
        <f>IF(A279="","",IF(C279=0,"Sem registros: confirme que o F5 rodou",IF(D279&gt;0,"Pendente de análise",IF(E279&gt;0,"Lacunas não explicadas",IF(F279&gt;0,"Lacunas explicadas","Completo")))))</f>
        <v/>
      </c>
      <c r="H279" s="15" t="n"/>
      <c r="I279" s="15" t="n"/>
      <c r="J279" s="15" t="n"/>
      <c r="K279" s="16">
        <f>IF(H279="","",IF(D279&gt;0,"NÃO – há pendências",IF(AND(H279&lt;&gt;G279,H279&lt;&gt;"Não avaliável"),"NÃO – difere do automático: justificar em ata",IF(H279="Lacunas não explicadas",IF(I279=3,"Sim","NÃO – exige unanimidade"),IF(I279&gt;=2,"Sim","NÃO – sem maioria")))))</f>
        <v/>
      </c>
    </row>
    <row r="280">
      <c r="A280" s="15" t="n"/>
      <c r="B280" s="15" t="n"/>
      <c r="C280" s="16">
        <f>IF(A280="","",COUNTIFS(Completude!$F$2:$F$301,A280,Completude!$B$2:$B$301,B280))</f>
        <v/>
      </c>
      <c r="D280" s="16">
        <f>IF(A280="","",COUNTIFS(Completude!$F$2:$F$301,A280,Completude!$B$2:$B$301,B280,Completude!$M$2:$M$301,"Aguarda*")+COUNTIFS(Completude!$F$2:$F$301,A280,Completude!$B$2:$B$301,B280,Completude!$M$2:$M$301,"NÃO*"))</f>
        <v/>
      </c>
      <c r="E280" s="16">
        <f>IF(A280="","",COUNTIFS(Completude!$F$2:$F$301,A280,Completude!$B$2:$B$301,B280,Completude!$M$2:$M$301,"Lacuna não explicada"))</f>
        <v/>
      </c>
      <c r="F280" s="16">
        <f>IF(A280="","",COUNTIFS(Completude!$F$2:$F$301,A280,Completude!$B$2:$B$301,B280,Completude!$M$2:$M$301,"Lacuna explicada"))</f>
        <v/>
      </c>
      <c r="G280" s="16">
        <f>IF(A280="","",IF(C280=0,"Sem registros: confirme que o F5 rodou",IF(D280&gt;0,"Pendente de análise",IF(E280&gt;0,"Lacunas não explicadas",IF(F280&gt;0,"Lacunas explicadas","Completo")))))</f>
        <v/>
      </c>
      <c r="H280" s="15" t="n"/>
      <c r="I280" s="15" t="n"/>
      <c r="J280" s="15" t="n"/>
      <c r="K280" s="16">
        <f>IF(H280="","",IF(D280&gt;0,"NÃO – há pendências",IF(AND(H280&lt;&gt;G280,H280&lt;&gt;"Não avaliável"),"NÃO – difere do automático: justificar em ata",IF(H280="Lacunas não explicadas",IF(I280=3,"Sim","NÃO – exige unanimidade"),IF(I280&gt;=2,"Sim","NÃO – sem maioria")))))</f>
        <v/>
      </c>
    </row>
    <row r="281">
      <c r="A281" s="15" t="n"/>
      <c r="B281" s="15" t="n"/>
      <c r="C281" s="16">
        <f>IF(A281="","",COUNTIFS(Completude!$F$2:$F$301,A281,Completude!$B$2:$B$301,B281))</f>
        <v/>
      </c>
      <c r="D281" s="16">
        <f>IF(A281="","",COUNTIFS(Completude!$F$2:$F$301,A281,Completude!$B$2:$B$301,B281,Completude!$M$2:$M$301,"Aguarda*")+COUNTIFS(Completude!$F$2:$F$301,A281,Completude!$B$2:$B$301,B281,Completude!$M$2:$M$301,"NÃO*"))</f>
        <v/>
      </c>
      <c r="E281" s="16">
        <f>IF(A281="","",COUNTIFS(Completude!$F$2:$F$301,A281,Completude!$B$2:$B$301,B281,Completude!$M$2:$M$301,"Lacuna não explicada"))</f>
        <v/>
      </c>
      <c r="F281" s="16">
        <f>IF(A281="","",COUNTIFS(Completude!$F$2:$F$301,A281,Completude!$B$2:$B$301,B281,Completude!$M$2:$M$301,"Lacuna explicada"))</f>
        <v/>
      </c>
      <c r="G281" s="16">
        <f>IF(A281="","",IF(C281=0,"Sem registros: confirme que o F5 rodou",IF(D281&gt;0,"Pendente de análise",IF(E281&gt;0,"Lacunas não explicadas",IF(F281&gt;0,"Lacunas explicadas","Completo")))))</f>
        <v/>
      </c>
      <c r="H281" s="15" t="n"/>
      <c r="I281" s="15" t="n"/>
      <c r="J281" s="15" t="n"/>
      <c r="K281" s="16">
        <f>IF(H281="","",IF(D281&gt;0,"NÃO – há pendências",IF(AND(H281&lt;&gt;G281,H281&lt;&gt;"Não avaliável"),"NÃO – difere do automático: justificar em ata",IF(H281="Lacunas não explicadas",IF(I281=3,"Sim","NÃO – exige unanimidade"),IF(I281&gt;=2,"Sim","NÃO – sem maioria")))))</f>
        <v/>
      </c>
    </row>
    <row r="282">
      <c r="A282" s="15" t="n"/>
      <c r="B282" s="15" t="n"/>
      <c r="C282" s="16">
        <f>IF(A282="","",COUNTIFS(Completude!$F$2:$F$301,A282,Completude!$B$2:$B$301,B282))</f>
        <v/>
      </c>
      <c r="D282" s="16">
        <f>IF(A282="","",COUNTIFS(Completude!$F$2:$F$301,A282,Completude!$B$2:$B$301,B282,Completude!$M$2:$M$301,"Aguarda*")+COUNTIFS(Completude!$F$2:$F$301,A282,Completude!$B$2:$B$301,B282,Completude!$M$2:$M$301,"NÃO*"))</f>
        <v/>
      </c>
      <c r="E282" s="16">
        <f>IF(A282="","",COUNTIFS(Completude!$F$2:$F$301,A282,Completude!$B$2:$B$301,B282,Completude!$M$2:$M$301,"Lacuna não explicada"))</f>
        <v/>
      </c>
      <c r="F282" s="16">
        <f>IF(A282="","",COUNTIFS(Completude!$F$2:$F$301,A282,Completude!$B$2:$B$301,B282,Completude!$M$2:$M$301,"Lacuna explicada"))</f>
        <v/>
      </c>
      <c r="G282" s="16">
        <f>IF(A282="","",IF(C282=0,"Sem registros: confirme que o F5 rodou",IF(D282&gt;0,"Pendente de análise",IF(E282&gt;0,"Lacunas não explicadas",IF(F282&gt;0,"Lacunas explicadas","Completo")))))</f>
        <v/>
      </c>
      <c r="H282" s="15" t="n"/>
      <c r="I282" s="15" t="n"/>
      <c r="J282" s="15" t="n"/>
      <c r="K282" s="16">
        <f>IF(H282="","",IF(D282&gt;0,"NÃO – há pendências",IF(AND(H282&lt;&gt;G282,H282&lt;&gt;"Não avaliável"),"NÃO – difere do automático: justificar em ata",IF(H282="Lacunas não explicadas",IF(I282=3,"Sim","NÃO – exige unanimidade"),IF(I282&gt;=2,"Sim","NÃO – sem maioria")))))</f>
        <v/>
      </c>
    </row>
    <row r="283">
      <c r="A283" s="15" t="n"/>
      <c r="B283" s="15" t="n"/>
      <c r="C283" s="16">
        <f>IF(A283="","",COUNTIFS(Completude!$F$2:$F$301,A283,Completude!$B$2:$B$301,B283))</f>
        <v/>
      </c>
      <c r="D283" s="16">
        <f>IF(A283="","",COUNTIFS(Completude!$F$2:$F$301,A283,Completude!$B$2:$B$301,B283,Completude!$M$2:$M$301,"Aguarda*")+COUNTIFS(Completude!$F$2:$F$301,A283,Completude!$B$2:$B$301,B283,Completude!$M$2:$M$301,"NÃO*"))</f>
        <v/>
      </c>
      <c r="E283" s="16">
        <f>IF(A283="","",COUNTIFS(Completude!$F$2:$F$301,A283,Completude!$B$2:$B$301,B283,Completude!$M$2:$M$301,"Lacuna não explicada"))</f>
        <v/>
      </c>
      <c r="F283" s="16">
        <f>IF(A283="","",COUNTIFS(Completude!$F$2:$F$301,A283,Completude!$B$2:$B$301,B283,Completude!$M$2:$M$301,"Lacuna explicada"))</f>
        <v/>
      </c>
      <c r="G283" s="16">
        <f>IF(A283="","",IF(C283=0,"Sem registros: confirme que o F5 rodou",IF(D283&gt;0,"Pendente de análise",IF(E283&gt;0,"Lacunas não explicadas",IF(F283&gt;0,"Lacunas explicadas","Completo")))))</f>
        <v/>
      </c>
      <c r="H283" s="15" t="n"/>
      <c r="I283" s="15" t="n"/>
      <c r="J283" s="15" t="n"/>
      <c r="K283" s="16">
        <f>IF(H283="","",IF(D283&gt;0,"NÃO – há pendências",IF(AND(H283&lt;&gt;G283,H283&lt;&gt;"Não avaliável"),"NÃO – difere do automático: justificar em ata",IF(H283="Lacunas não explicadas",IF(I283=3,"Sim","NÃO – exige unanimidade"),IF(I283&gt;=2,"Sim","NÃO – sem maioria")))))</f>
        <v/>
      </c>
    </row>
    <row r="284">
      <c r="A284" s="15" t="n"/>
      <c r="B284" s="15" t="n"/>
      <c r="C284" s="16">
        <f>IF(A284="","",COUNTIFS(Completude!$F$2:$F$301,A284,Completude!$B$2:$B$301,B284))</f>
        <v/>
      </c>
      <c r="D284" s="16">
        <f>IF(A284="","",COUNTIFS(Completude!$F$2:$F$301,A284,Completude!$B$2:$B$301,B284,Completude!$M$2:$M$301,"Aguarda*")+COUNTIFS(Completude!$F$2:$F$301,A284,Completude!$B$2:$B$301,B284,Completude!$M$2:$M$301,"NÃO*"))</f>
        <v/>
      </c>
      <c r="E284" s="16">
        <f>IF(A284="","",COUNTIFS(Completude!$F$2:$F$301,A284,Completude!$B$2:$B$301,B284,Completude!$M$2:$M$301,"Lacuna não explicada"))</f>
        <v/>
      </c>
      <c r="F284" s="16">
        <f>IF(A284="","",COUNTIFS(Completude!$F$2:$F$301,A284,Completude!$B$2:$B$301,B284,Completude!$M$2:$M$301,"Lacuna explicada"))</f>
        <v/>
      </c>
      <c r="G284" s="16">
        <f>IF(A284="","",IF(C284=0,"Sem registros: confirme que o F5 rodou",IF(D284&gt;0,"Pendente de análise",IF(E284&gt;0,"Lacunas não explicadas",IF(F284&gt;0,"Lacunas explicadas","Completo")))))</f>
        <v/>
      </c>
      <c r="H284" s="15" t="n"/>
      <c r="I284" s="15" t="n"/>
      <c r="J284" s="15" t="n"/>
      <c r="K284" s="16">
        <f>IF(H284="","",IF(D284&gt;0,"NÃO – há pendências",IF(AND(H284&lt;&gt;G284,H284&lt;&gt;"Não avaliável"),"NÃO – difere do automático: justificar em ata",IF(H284="Lacunas não explicadas",IF(I284=3,"Sim","NÃO – exige unanimidade"),IF(I284&gt;=2,"Sim","NÃO – sem maioria")))))</f>
        <v/>
      </c>
    </row>
    <row r="285">
      <c r="A285" s="15" t="n"/>
      <c r="B285" s="15" t="n"/>
      <c r="C285" s="16">
        <f>IF(A285="","",COUNTIFS(Completude!$F$2:$F$301,A285,Completude!$B$2:$B$301,B285))</f>
        <v/>
      </c>
      <c r="D285" s="16">
        <f>IF(A285="","",COUNTIFS(Completude!$F$2:$F$301,A285,Completude!$B$2:$B$301,B285,Completude!$M$2:$M$301,"Aguarda*")+COUNTIFS(Completude!$F$2:$F$301,A285,Completude!$B$2:$B$301,B285,Completude!$M$2:$M$301,"NÃO*"))</f>
        <v/>
      </c>
      <c r="E285" s="16">
        <f>IF(A285="","",COUNTIFS(Completude!$F$2:$F$301,A285,Completude!$B$2:$B$301,B285,Completude!$M$2:$M$301,"Lacuna não explicada"))</f>
        <v/>
      </c>
      <c r="F285" s="16">
        <f>IF(A285="","",COUNTIFS(Completude!$F$2:$F$301,A285,Completude!$B$2:$B$301,B285,Completude!$M$2:$M$301,"Lacuna explicada"))</f>
        <v/>
      </c>
      <c r="G285" s="16">
        <f>IF(A285="","",IF(C285=0,"Sem registros: confirme que o F5 rodou",IF(D285&gt;0,"Pendente de análise",IF(E285&gt;0,"Lacunas não explicadas",IF(F285&gt;0,"Lacunas explicadas","Completo")))))</f>
        <v/>
      </c>
      <c r="H285" s="15" t="n"/>
      <c r="I285" s="15" t="n"/>
      <c r="J285" s="15" t="n"/>
      <c r="K285" s="16">
        <f>IF(H285="","",IF(D285&gt;0,"NÃO – há pendências",IF(AND(H285&lt;&gt;G285,H285&lt;&gt;"Não avaliável"),"NÃO – difere do automático: justificar em ata",IF(H285="Lacunas não explicadas",IF(I285=3,"Sim","NÃO – exige unanimidade"),IF(I285&gt;=2,"Sim","NÃO – sem maioria")))))</f>
        <v/>
      </c>
    </row>
    <row r="286">
      <c r="A286" s="15" t="n"/>
      <c r="B286" s="15" t="n"/>
      <c r="C286" s="16">
        <f>IF(A286="","",COUNTIFS(Completude!$F$2:$F$301,A286,Completude!$B$2:$B$301,B286))</f>
        <v/>
      </c>
      <c r="D286" s="16">
        <f>IF(A286="","",COUNTIFS(Completude!$F$2:$F$301,A286,Completude!$B$2:$B$301,B286,Completude!$M$2:$M$301,"Aguarda*")+COUNTIFS(Completude!$F$2:$F$301,A286,Completude!$B$2:$B$301,B286,Completude!$M$2:$M$301,"NÃO*"))</f>
        <v/>
      </c>
      <c r="E286" s="16">
        <f>IF(A286="","",COUNTIFS(Completude!$F$2:$F$301,A286,Completude!$B$2:$B$301,B286,Completude!$M$2:$M$301,"Lacuna não explicada"))</f>
        <v/>
      </c>
      <c r="F286" s="16">
        <f>IF(A286="","",COUNTIFS(Completude!$F$2:$F$301,A286,Completude!$B$2:$B$301,B286,Completude!$M$2:$M$301,"Lacuna explicada"))</f>
        <v/>
      </c>
      <c r="G286" s="16">
        <f>IF(A286="","",IF(C286=0,"Sem registros: confirme que o F5 rodou",IF(D286&gt;0,"Pendente de análise",IF(E286&gt;0,"Lacunas não explicadas",IF(F286&gt;0,"Lacunas explicadas","Completo")))))</f>
        <v/>
      </c>
      <c r="H286" s="15" t="n"/>
      <c r="I286" s="15" t="n"/>
      <c r="J286" s="15" t="n"/>
      <c r="K286" s="16">
        <f>IF(H286="","",IF(D286&gt;0,"NÃO – há pendências",IF(AND(H286&lt;&gt;G286,H286&lt;&gt;"Não avaliável"),"NÃO – difere do automático: justificar em ata",IF(H286="Lacunas não explicadas",IF(I286=3,"Sim","NÃO – exige unanimidade"),IF(I286&gt;=2,"Sim","NÃO – sem maioria")))))</f>
        <v/>
      </c>
    </row>
    <row r="287">
      <c r="A287" s="15" t="n"/>
      <c r="B287" s="15" t="n"/>
      <c r="C287" s="16">
        <f>IF(A287="","",COUNTIFS(Completude!$F$2:$F$301,A287,Completude!$B$2:$B$301,B287))</f>
        <v/>
      </c>
      <c r="D287" s="16">
        <f>IF(A287="","",COUNTIFS(Completude!$F$2:$F$301,A287,Completude!$B$2:$B$301,B287,Completude!$M$2:$M$301,"Aguarda*")+COUNTIFS(Completude!$F$2:$F$301,A287,Completude!$B$2:$B$301,B287,Completude!$M$2:$M$301,"NÃO*"))</f>
        <v/>
      </c>
      <c r="E287" s="16">
        <f>IF(A287="","",COUNTIFS(Completude!$F$2:$F$301,A287,Completude!$B$2:$B$301,B287,Completude!$M$2:$M$301,"Lacuna não explicada"))</f>
        <v/>
      </c>
      <c r="F287" s="16">
        <f>IF(A287="","",COUNTIFS(Completude!$F$2:$F$301,A287,Completude!$B$2:$B$301,B287,Completude!$M$2:$M$301,"Lacuna explicada"))</f>
        <v/>
      </c>
      <c r="G287" s="16">
        <f>IF(A287="","",IF(C287=0,"Sem registros: confirme que o F5 rodou",IF(D287&gt;0,"Pendente de análise",IF(E287&gt;0,"Lacunas não explicadas",IF(F287&gt;0,"Lacunas explicadas","Completo")))))</f>
        <v/>
      </c>
      <c r="H287" s="15" t="n"/>
      <c r="I287" s="15" t="n"/>
      <c r="J287" s="15" t="n"/>
      <c r="K287" s="16">
        <f>IF(H287="","",IF(D287&gt;0,"NÃO – há pendências",IF(AND(H287&lt;&gt;G287,H287&lt;&gt;"Não avaliável"),"NÃO – difere do automático: justificar em ata",IF(H287="Lacunas não explicadas",IF(I287=3,"Sim","NÃO – exige unanimidade"),IF(I287&gt;=2,"Sim","NÃO – sem maioria")))))</f>
        <v/>
      </c>
    </row>
    <row r="288">
      <c r="A288" s="15" t="n"/>
      <c r="B288" s="15" t="n"/>
      <c r="C288" s="16">
        <f>IF(A288="","",COUNTIFS(Completude!$F$2:$F$301,A288,Completude!$B$2:$B$301,B288))</f>
        <v/>
      </c>
      <c r="D288" s="16">
        <f>IF(A288="","",COUNTIFS(Completude!$F$2:$F$301,A288,Completude!$B$2:$B$301,B288,Completude!$M$2:$M$301,"Aguarda*")+COUNTIFS(Completude!$F$2:$F$301,A288,Completude!$B$2:$B$301,B288,Completude!$M$2:$M$301,"NÃO*"))</f>
        <v/>
      </c>
      <c r="E288" s="16">
        <f>IF(A288="","",COUNTIFS(Completude!$F$2:$F$301,A288,Completude!$B$2:$B$301,B288,Completude!$M$2:$M$301,"Lacuna não explicada"))</f>
        <v/>
      </c>
      <c r="F288" s="16">
        <f>IF(A288="","",COUNTIFS(Completude!$F$2:$F$301,A288,Completude!$B$2:$B$301,B288,Completude!$M$2:$M$301,"Lacuna explicada"))</f>
        <v/>
      </c>
      <c r="G288" s="16">
        <f>IF(A288="","",IF(C288=0,"Sem registros: confirme que o F5 rodou",IF(D288&gt;0,"Pendente de análise",IF(E288&gt;0,"Lacunas não explicadas",IF(F288&gt;0,"Lacunas explicadas","Completo")))))</f>
        <v/>
      </c>
      <c r="H288" s="15" t="n"/>
      <c r="I288" s="15" t="n"/>
      <c r="J288" s="15" t="n"/>
      <c r="K288" s="16">
        <f>IF(H288="","",IF(D288&gt;0,"NÃO – há pendências",IF(AND(H288&lt;&gt;G288,H288&lt;&gt;"Não avaliável"),"NÃO – difere do automático: justificar em ata",IF(H288="Lacunas não explicadas",IF(I288=3,"Sim","NÃO – exige unanimidade"),IF(I288&gt;=2,"Sim","NÃO – sem maioria")))))</f>
        <v/>
      </c>
    </row>
    <row r="289">
      <c r="A289" s="15" t="n"/>
      <c r="B289" s="15" t="n"/>
      <c r="C289" s="16">
        <f>IF(A289="","",COUNTIFS(Completude!$F$2:$F$301,A289,Completude!$B$2:$B$301,B289))</f>
        <v/>
      </c>
      <c r="D289" s="16">
        <f>IF(A289="","",COUNTIFS(Completude!$F$2:$F$301,A289,Completude!$B$2:$B$301,B289,Completude!$M$2:$M$301,"Aguarda*")+COUNTIFS(Completude!$F$2:$F$301,A289,Completude!$B$2:$B$301,B289,Completude!$M$2:$M$301,"NÃO*"))</f>
        <v/>
      </c>
      <c r="E289" s="16">
        <f>IF(A289="","",COUNTIFS(Completude!$F$2:$F$301,A289,Completude!$B$2:$B$301,B289,Completude!$M$2:$M$301,"Lacuna não explicada"))</f>
        <v/>
      </c>
      <c r="F289" s="16">
        <f>IF(A289="","",COUNTIFS(Completude!$F$2:$F$301,A289,Completude!$B$2:$B$301,B289,Completude!$M$2:$M$301,"Lacuna explicada"))</f>
        <v/>
      </c>
      <c r="G289" s="16">
        <f>IF(A289="","",IF(C289=0,"Sem registros: confirme que o F5 rodou",IF(D289&gt;0,"Pendente de análise",IF(E289&gt;0,"Lacunas não explicadas",IF(F289&gt;0,"Lacunas explicadas","Completo")))))</f>
        <v/>
      </c>
      <c r="H289" s="15" t="n"/>
      <c r="I289" s="15" t="n"/>
      <c r="J289" s="15" t="n"/>
      <c r="K289" s="16">
        <f>IF(H289="","",IF(D289&gt;0,"NÃO – há pendências",IF(AND(H289&lt;&gt;G289,H289&lt;&gt;"Não avaliável"),"NÃO – difere do automático: justificar em ata",IF(H289="Lacunas não explicadas",IF(I289=3,"Sim","NÃO – exige unanimidade"),IF(I289&gt;=2,"Sim","NÃO – sem maioria")))))</f>
        <v/>
      </c>
    </row>
    <row r="290">
      <c r="A290" s="15" t="n"/>
      <c r="B290" s="15" t="n"/>
      <c r="C290" s="16">
        <f>IF(A290="","",COUNTIFS(Completude!$F$2:$F$301,A290,Completude!$B$2:$B$301,B290))</f>
        <v/>
      </c>
      <c r="D290" s="16">
        <f>IF(A290="","",COUNTIFS(Completude!$F$2:$F$301,A290,Completude!$B$2:$B$301,B290,Completude!$M$2:$M$301,"Aguarda*")+COUNTIFS(Completude!$F$2:$F$301,A290,Completude!$B$2:$B$301,B290,Completude!$M$2:$M$301,"NÃO*"))</f>
        <v/>
      </c>
      <c r="E290" s="16">
        <f>IF(A290="","",COUNTIFS(Completude!$F$2:$F$301,A290,Completude!$B$2:$B$301,B290,Completude!$M$2:$M$301,"Lacuna não explicada"))</f>
        <v/>
      </c>
      <c r="F290" s="16">
        <f>IF(A290="","",COUNTIFS(Completude!$F$2:$F$301,A290,Completude!$B$2:$B$301,B290,Completude!$M$2:$M$301,"Lacuna explicada"))</f>
        <v/>
      </c>
      <c r="G290" s="16">
        <f>IF(A290="","",IF(C290=0,"Sem registros: confirme que o F5 rodou",IF(D290&gt;0,"Pendente de análise",IF(E290&gt;0,"Lacunas não explicadas",IF(F290&gt;0,"Lacunas explicadas","Completo")))))</f>
        <v/>
      </c>
      <c r="H290" s="15" t="n"/>
      <c r="I290" s="15" t="n"/>
      <c r="J290" s="15" t="n"/>
      <c r="K290" s="16">
        <f>IF(H290="","",IF(D290&gt;0,"NÃO – há pendências",IF(AND(H290&lt;&gt;G290,H290&lt;&gt;"Não avaliável"),"NÃO – difere do automático: justificar em ata",IF(H290="Lacunas não explicadas",IF(I290=3,"Sim","NÃO – exige unanimidade"),IF(I290&gt;=2,"Sim","NÃO – sem maioria")))))</f>
        <v/>
      </c>
    </row>
    <row r="291">
      <c r="A291" s="15" t="n"/>
      <c r="B291" s="15" t="n"/>
      <c r="C291" s="16">
        <f>IF(A291="","",COUNTIFS(Completude!$F$2:$F$301,A291,Completude!$B$2:$B$301,B291))</f>
        <v/>
      </c>
      <c r="D291" s="16">
        <f>IF(A291="","",COUNTIFS(Completude!$F$2:$F$301,A291,Completude!$B$2:$B$301,B291,Completude!$M$2:$M$301,"Aguarda*")+COUNTIFS(Completude!$F$2:$F$301,A291,Completude!$B$2:$B$301,B291,Completude!$M$2:$M$301,"NÃO*"))</f>
        <v/>
      </c>
      <c r="E291" s="16">
        <f>IF(A291="","",COUNTIFS(Completude!$F$2:$F$301,A291,Completude!$B$2:$B$301,B291,Completude!$M$2:$M$301,"Lacuna não explicada"))</f>
        <v/>
      </c>
      <c r="F291" s="16">
        <f>IF(A291="","",COUNTIFS(Completude!$F$2:$F$301,A291,Completude!$B$2:$B$301,B291,Completude!$M$2:$M$301,"Lacuna explicada"))</f>
        <v/>
      </c>
      <c r="G291" s="16">
        <f>IF(A291="","",IF(C291=0,"Sem registros: confirme que o F5 rodou",IF(D291&gt;0,"Pendente de análise",IF(E291&gt;0,"Lacunas não explicadas",IF(F291&gt;0,"Lacunas explicadas","Completo")))))</f>
        <v/>
      </c>
      <c r="H291" s="15" t="n"/>
      <c r="I291" s="15" t="n"/>
      <c r="J291" s="15" t="n"/>
      <c r="K291" s="16">
        <f>IF(H291="","",IF(D291&gt;0,"NÃO – há pendências",IF(AND(H291&lt;&gt;G291,H291&lt;&gt;"Não avaliável"),"NÃO – difere do automático: justificar em ata",IF(H291="Lacunas não explicadas",IF(I291=3,"Sim","NÃO – exige unanimidade"),IF(I291&gt;=2,"Sim","NÃO – sem maioria")))))</f>
        <v/>
      </c>
    </row>
    <row r="292">
      <c r="A292" s="15" t="n"/>
      <c r="B292" s="15" t="n"/>
      <c r="C292" s="16">
        <f>IF(A292="","",COUNTIFS(Completude!$F$2:$F$301,A292,Completude!$B$2:$B$301,B292))</f>
        <v/>
      </c>
      <c r="D292" s="16">
        <f>IF(A292="","",COUNTIFS(Completude!$F$2:$F$301,A292,Completude!$B$2:$B$301,B292,Completude!$M$2:$M$301,"Aguarda*")+COUNTIFS(Completude!$F$2:$F$301,A292,Completude!$B$2:$B$301,B292,Completude!$M$2:$M$301,"NÃO*"))</f>
        <v/>
      </c>
      <c r="E292" s="16">
        <f>IF(A292="","",COUNTIFS(Completude!$F$2:$F$301,A292,Completude!$B$2:$B$301,B292,Completude!$M$2:$M$301,"Lacuna não explicada"))</f>
        <v/>
      </c>
      <c r="F292" s="16">
        <f>IF(A292="","",COUNTIFS(Completude!$F$2:$F$301,A292,Completude!$B$2:$B$301,B292,Completude!$M$2:$M$301,"Lacuna explicada"))</f>
        <v/>
      </c>
      <c r="G292" s="16">
        <f>IF(A292="","",IF(C292=0,"Sem registros: confirme que o F5 rodou",IF(D292&gt;0,"Pendente de análise",IF(E292&gt;0,"Lacunas não explicadas",IF(F292&gt;0,"Lacunas explicadas","Completo")))))</f>
        <v/>
      </c>
      <c r="H292" s="15" t="n"/>
      <c r="I292" s="15" t="n"/>
      <c r="J292" s="15" t="n"/>
      <c r="K292" s="16">
        <f>IF(H292="","",IF(D292&gt;0,"NÃO – há pendências",IF(AND(H292&lt;&gt;G292,H292&lt;&gt;"Não avaliável"),"NÃO – difere do automático: justificar em ata",IF(H292="Lacunas não explicadas",IF(I292=3,"Sim","NÃO – exige unanimidade"),IF(I292&gt;=2,"Sim","NÃO – sem maioria")))))</f>
        <v/>
      </c>
    </row>
    <row r="293">
      <c r="A293" s="15" t="n"/>
      <c r="B293" s="15" t="n"/>
      <c r="C293" s="16">
        <f>IF(A293="","",COUNTIFS(Completude!$F$2:$F$301,A293,Completude!$B$2:$B$301,B293))</f>
        <v/>
      </c>
      <c r="D293" s="16">
        <f>IF(A293="","",COUNTIFS(Completude!$F$2:$F$301,A293,Completude!$B$2:$B$301,B293,Completude!$M$2:$M$301,"Aguarda*")+COUNTIFS(Completude!$F$2:$F$301,A293,Completude!$B$2:$B$301,B293,Completude!$M$2:$M$301,"NÃO*"))</f>
        <v/>
      </c>
      <c r="E293" s="16">
        <f>IF(A293="","",COUNTIFS(Completude!$F$2:$F$301,A293,Completude!$B$2:$B$301,B293,Completude!$M$2:$M$301,"Lacuna não explicada"))</f>
        <v/>
      </c>
      <c r="F293" s="16">
        <f>IF(A293="","",COUNTIFS(Completude!$F$2:$F$301,A293,Completude!$B$2:$B$301,B293,Completude!$M$2:$M$301,"Lacuna explicada"))</f>
        <v/>
      </c>
      <c r="G293" s="16">
        <f>IF(A293="","",IF(C293=0,"Sem registros: confirme que o F5 rodou",IF(D293&gt;0,"Pendente de análise",IF(E293&gt;0,"Lacunas não explicadas",IF(F293&gt;0,"Lacunas explicadas","Completo")))))</f>
        <v/>
      </c>
      <c r="H293" s="15" t="n"/>
      <c r="I293" s="15" t="n"/>
      <c r="J293" s="15" t="n"/>
      <c r="K293" s="16">
        <f>IF(H293="","",IF(D293&gt;0,"NÃO – há pendências",IF(AND(H293&lt;&gt;G293,H293&lt;&gt;"Não avaliável"),"NÃO – difere do automático: justificar em ata",IF(H293="Lacunas não explicadas",IF(I293=3,"Sim","NÃO – exige unanimidade"),IF(I293&gt;=2,"Sim","NÃO – sem maioria")))))</f>
        <v/>
      </c>
    </row>
    <row r="294">
      <c r="A294" s="15" t="n"/>
      <c r="B294" s="15" t="n"/>
      <c r="C294" s="16">
        <f>IF(A294="","",COUNTIFS(Completude!$F$2:$F$301,A294,Completude!$B$2:$B$301,B294))</f>
        <v/>
      </c>
      <c r="D294" s="16">
        <f>IF(A294="","",COUNTIFS(Completude!$F$2:$F$301,A294,Completude!$B$2:$B$301,B294,Completude!$M$2:$M$301,"Aguarda*")+COUNTIFS(Completude!$F$2:$F$301,A294,Completude!$B$2:$B$301,B294,Completude!$M$2:$M$301,"NÃO*"))</f>
        <v/>
      </c>
      <c r="E294" s="16">
        <f>IF(A294="","",COUNTIFS(Completude!$F$2:$F$301,A294,Completude!$B$2:$B$301,B294,Completude!$M$2:$M$301,"Lacuna não explicada"))</f>
        <v/>
      </c>
      <c r="F294" s="16">
        <f>IF(A294="","",COUNTIFS(Completude!$F$2:$F$301,A294,Completude!$B$2:$B$301,B294,Completude!$M$2:$M$301,"Lacuna explicada"))</f>
        <v/>
      </c>
      <c r="G294" s="16">
        <f>IF(A294="","",IF(C294=0,"Sem registros: confirme que o F5 rodou",IF(D294&gt;0,"Pendente de análise",IF(E294&gt;0,"Lacunas não explicadas",IF(F294&gt;0,"Lacunas explicadas","Completo")))))</f>
        <v/>
      </c>
      <c r="H294" s="15" t="n"/>
      <c r="I294" s="15" t="n"/>
      <c r="J294" s="15" t="n"/>
      <c r="K294" s="16">
        <f>IF(H294="","",IF(D294&gt;0,"NÃO – há pendências",IF(AND(H294&lt;&gt;G294,H294&lt;&gt;"Não avaliável"),"NÃO – difere do automático: justificar em ata",IF(H294="Lacunas não explicadas",IF(I294=3,"Sim","NÃO – exige unanimidade"),IF(I294&gt;=2,"Sim","NÃO – sem maioria")))))</f>
        <v/>
      </c>
    </row>
    <row r="295">
      <c r="A295" s="15" t="n"/>
      <c r="B295" s="15" t="n"/>
      <c r="C295" s="16">
        <f>IF(A295="","",COUNTIFS(Completude!$F$2:$F$301,A295,Completude!$B$2:$B$301,B295))</f>
        <v/>
      </c>
      <c r="D295" s="16">
        <f>IF(A295="","",COUNTIFS(Completude!$F$2:$F$301,A295,Completude!$B$2:$B$301,B295,Completude!$M$2:$M$301,"Aguarda*")+COUNTIFS(Completude!$F$2:$F$301,A295,Completude!$B$2:$B$301,B295,Completude!$M$2:$M$301,"NÃO*"))</f>
        <v/>
      </c>
      <c r="E295" s="16">
        <f>IF(A295="","",COUNTIFS(Completude!$F$2:$F$301,A295,Completude!$B$2:$B$301,B295,Completude!$M$2:$M$301,"Lacuna não explicada"))</f>
        <v/>
      </c>
      <c r="F295" s="16">
        <f>IF(A295="","",COUNTIFS(Completude!$F$2:$F$301,A295,Completude!$B$2:$B$301,B295,Completude!$M$2:$M$301,"Lacuna explicada"))</f>
        <v/>
      </c>
      <c r="G295" s="16">
        <f>IF(A295="","",IF(C295=0,"Sem registros: confirme que o F5 rodou",IF(D295&gt;0,"Pendente de análise",IF(E295&gt;0,"Lacunas não explicadas",IF(F295&gt;0,"Lacunas explicadas","Completo")))))</f>
        <v/>
      </c>
      <c r="H295" s="15" t="n"/>
      <c r="I295" s="15" t="n"/>
      <c r="J295" s="15" t="n"/>
      <c r="K295" s="16">
        <f>IF(H295="","",IF(D295&gt;0,"NÃO – há pendências",IF(AND(H295&lt;&gt;G295,H295&lt;&gt;"Não avaliável"),"NÃO – difere do automático: justificar em ata",IF(H295="Lacunas não explicadas",IF(I295=3,"Sim","NÃO – exige unanimidade"),IF(I295&gt;=2,"Sim","NÃO – sem maioria")))))</f>
        <v/>
      </c>
    </row>
    <row r="296">
      <c r="A296" s="15" t="n"/>
      <c r="B296" s="15" t="n"/>
      <c r="C296" s="16">
        <f>IF(A296="","",COUNTIFS(Completude!$F$2:$F$301,A296,Completude!$B$2:$B$301,B296))</f>
        <v/>
      </c>
      <c r="D296" s="16">
        <f>IF(A296="","",COUNTIFS(Completude!$F$2:$F$301,A296,Completude!$B$2:$B$301,B296,Completude!$M$2:$M$301,"Aguarda*")+COUNTIFS(Completude!$F$2:$F$301,A296,Completude!$B$2:$B$301,B296,Completude!$M$2:$M$301,"NÃO*"))</f>
        <v/>
      </c>
      <c r="E296" s="16">
        <f>IF(A296="","",COUNTIFS(Completude!$F$2:$F$301,A296,Completude!$B$2:$B$301,B296,Completude!$M$2:$M$301,"Lacuna não explicada"))</f>
        <v/>
      </c>
      <c r="F296" s="16">
        <f>IF(A296="","",COUNTIFS(Completude!$F$2:$F$301,A296,Completude!$B$2:$B$301,B296,Completude!$M$2:$M$301,"Lacuna explicada"))</f>
        <v/>
      </c>
      <c r="G296" s="16">
        <f>IF(A296="","",IF(C296=0,"Sem registros: confirme que o F5 rodou",IF(D296&gt;0,"Pendente de análise",IF(E296&gt;0,"Lacunas não explicadas",IF(F296&gt;0,"Lacunas explicadas","Completo")))))</f>
        <v/>
      </c>
      <c r="H296" s="15" t="n"/>
      <c r="I296" s="15" t="n"/>
      <c r="J296" s="15" t="n"/>
      <c r="K296" s="16">
        <f>IF(H296="","",IF(D296&gt;0,"NÃO – há pendências",IF(AND(H296&lt;&gt;G296,H296&lt;&gt;"Não avaliável"),"NÃO – difere do automático: justificar em ata",IF(H296="Lacunas não explicadas",IF(I296=3,"Sim","NÃO – exige unanimidade"),IF(I296&gt;=2,"Sim","NÃO – sem maioria")))))</f>
        <v/>
      </c>
    </row>
    <row r="297">
      <c r="A297" s="15" t="n"/>
      <c r="B297" s="15" t="n"/>
      <c r="C297" s="16">
        <f>IF(A297="","",COUNTIFS(Completude!$F$2:$F$301,A297,Completude!$B$2:$B$301,B297))</f>
        <v/>
      </c>
      <c r="D297" s="16">
        <f>IF(A297="","",COUNTIFS(Completude!$F$2:$F$301,A297,Completude!$B$2:$B$301,B297,Completude!$M$2:$M$301,"Aguarda*")+COUNTIFS(Completude!$F$2:$F$301,A297,Completude!$B$2:$B$301,B297,Completude!$M$2:$M$301,"NÃO*"))</f>
        <v/>
      </c>
      <c r="E297" s="16">
        <f>IF(A297="","",COUNTIFS(Completude!$F$2:$F$301,A297,Completude!$B$2:$B$301,B297,Completude!$M$2:$M$301,"Lacuna não explicada"))</f>
        <v/>
      </c>
      <c r="F297" s="16">
        <f>IF(A297="","",COUNTIFS(Completude!$F$2:$F$301,A297,Completude!$B$2:$B$301,B297,Completude!$M$2:$M$301,"Lacuna explicada"))</f>
        <v/>
      </c>
      <c r="G297" s="16">
        <f>IF(A297="","",IF(C297=0,"Sem registros: confirme que o F5 rodou",IF(D297&gt;0,"Pendente de análise",IF(E297&gt;0,"Lacunas não explicadas",IF(F297&gt;0,"Lacunas explicadas","Completo")))))</f>
        <v/>
      </c>
      <c r="H297" s="15" t="n"/>
      <c r="I297" s="15" t="n"/>
      <c r="J297" s="15" t="n"/>
      <c r="K297" s="16">
        <f>IF(H297="","",IF(D297&gt;0,"NÃO – há pendências",IF(AND(H297&lt;&gt;G297,H297&lt;&gt;"Não avaliável"),"NÃO – difere do automático: justificar em ata",IF(H297="Lacunas não explicadas",IF(I297=3,"Sim","NÃO – exige unanimidade"),IF(I297&gt;=2,"Sim","NÃO – sem maioria")))))</f>
        <v/>
      </c>
    </row>
    <row r="298">
      <c r="A298" s="15" t="n"/>
      <c r="B298" s="15" t="n"/>
      <c r="C298" s="16">
        <f>IF(A298="","",COUNTIFS(Completude!$F$2:$F$301,A298,Completude!$B$2:$B$301,B298))</f>
        <v/>
      </c>
      <c r="D298" s="16">
        <f>IF(A298="","",COUNTIFS(Completude!$F$2:$F$301,A298,Completude!$B$2:$B$301,B298,Completude!$M$2:$M$301,"Aguarda*")+COUNTIFS(Completude!$F$2:$F$301,A298,Completude!$B$2:$B$301,B298,Completude!$M$2:$M$301,"NÃO*"))</f>
        <v/>
      </c>
      <c r="E298" s="16">
        <f>IF(A298="","",COUNTIFS(Completude!$F$2:$F$301,A298,Completude!$B$2:$B$301,B298,Completude!$M$2:$M$301,"Lacuna não explicada"))</f>
        <v/>
      </c>
      <c r="F298" s="16">
        <f>IF(A298="","",COUNTIFS(Completude!$F$2:$F$301,A298,Completude!$B$2:$B$301,B298,Completude!$M$2:$M$301,"Lacuna explicada"))</f>
        <v/>
      </c>
      <c r="G298" s="16">
        <f>IF(A298="","",IF(C298=0,"Sem registros: confirme que o F5 rodou",IF(D298&gt;0,"Pendente de análise",IF(E298&gt;0,"Lacunas não explicadas",IF(F298&gt;0,"Lacunas explicadas","Completo")))))</f>
        <v/>
      </c>
      <c r="H298" s="15" t="n"/>
      <c r="I298" s="15" t="n"/>
      <c r="J298" s="15" t="n"/>
      <c r="K298" s="16">
        <f>IF(H298="","",IF(D298&gt;0,"NÃO – há pendências",IF(AND(H298&lt;&gt;G298,H298&lt;&gt;"Não avaliável"),"NÃO – difere do automático: justificar em ata",IF(H298="Lacunas não explicadas",IF(I298=3,"Sim","NÃO – exige unanimidade"),IF(I298&gt;=2,"Sim","NÃO – sem maioria")))))</f>
        <v/>
      </c>
    </row>
    <row r="299">
      <c r="A299" s="15" t="n"/>
      <c r="B299" s="15" t="n"/>
      <c r="C299" s="16">
        <f>IF(A299="","",COUNTIFS(Completude!$F$2:$F$301,A299,Completude!$B$2:$B$301,B299))</f>
        <v/>
      </c>
      <c r="D299" s="16">
        <f>IF(A299="","",COUNTIFS(Completude!$F$2:$F$301,A299,Completude!$B$2:$B$301,B299,Completude!$M$2:$M$301,"Aguarda*")+COUNTIFS(Completude!$F$2:$F$301,A299,Completude!$B$2:$B$301,B299,Completude!$M$2:$M$301,"NÃO*"))</f>
        <v/>
      </c>
      <c r="E299" s="16">
        <f>IF(A299="","",COUNTIFS(Completude!$F$2:$F$301,A299,Completude!$B$2:$B$301,B299,Completude!$M$2:$M$301,"Lacuna não explicada"))</f>
        <v/>
      </c>
      <c r="F299" s="16">
        <f>IF(A299="","",COUNTIFS(Completude!$F$2:$F$301,A299,Completude!$B$2:$B$301,B299,Completude!$M$2:$M$301,"Lacuna explicada"))</f>
        <v/>
      </c>
      <c r="G299" s="16">
        <f>IF(A299="","",IF(C299=0,"Sem registros: confirme que o F5 rodou",IF(D299&gt;0,"Pendente de análise",IF(E299&gt;0,"Lacunas não explicadas",IF(F299&gt;0,"Lacunas explicadas","Completo")))))</f>
        <v/>
      </c>
      <c r="H299" s="15" t="n"/>
      <c r="I299" s="15" t="n"/>
      <c r="J299" s="15" t="n"/>
      <c r="K299" s="16">
        <f>IF(H299="","",IF(D299&gt;0,"NÃO – há pendências",IF(AND(H299&lt;&gt;G299,H299&lt;&gt;"Não avaliável"),"NÃO – difere do automático: justificar em ata",IF(H299="Lacunas não explicadas",IF(I299=3,"Sim","NÃO – exige unanimidade"),IF(I299&gt;=2,"Sim","NÃO – sem maioria")))))</f>
        <v/>
      </c>
    </row>
    <row r="300">
      <c r="A300" s="15" t="n"/>
      <c r="B300" s="15" t="n"/>
      <c r="C300" s="16">
        <f>IF(A300="","",COUNTIFS(Completude!$F$2:$F$301,A300,Completude!$B$2:$B$301,B300))</f>
        <v/>
      </c>
      <c r="D300" s="16">
        <f>IF(A300="","",COUNTIFS(Completude!$F$2:$F$301,A300,Completude!$B$2:$B$301,B300,Completude!$M$2:$M$301,"Aguarda*")+COUNTIFS(Completude!$F$2:$F$301,A300,Completude!$B$2:$B$301,B300,Completude!$M$2:$M$301,"NÃO*"))</f>
        <v/>
      </c>
      <c r="E300" s="16">
        <f>IF(A300="","",COUNTIFS(Completude!$F$2:$F$301,A300,Completude!$B$2:$B$301,B300,Completude!$M$2:$M$301,"Lacuna não explicada"))</f>
        <v/>
      </c>
      <c r="F300" s="16">
        <f>IF(A300="","",COUNTIFS(Completude!$F$2:$F$301,A300,Completude!$B$2:$B$301,B300,Completude!$M$2:$M$301,"Lacuna explicada"))</f>
        <v/>
      </c>
      <c r="G300" s="16">
        <f>IF(A300="","",IF(C300=0,"Sem registros: confirme que o F5 rodou",IF(D300&gt;0,"Pendente de análise",IF(E300&gt;0,"Lacunas não explicadas",IF(F300&gt;0,"Lacunas explicadas","Completo")))))</f>
        <v/>
      </c>
      <c r="H300" s="15" t="n"/>
      <c r="I300" s="15" t="n"/>
      <c r="J300" s="15" t="n"/>
      <c r="K300" s="16">
        <f>IF(H300="","",IF(D300&gt;0,"NÃO – há pendências",IF(AND(H300&lt;&gt;G300,H300&lt;&gt;"Não avaliável"),"NÃO – difere do automático: justificar em ata",IF(H300="Lacunas não explicadas",IF(I300=3,"Sim","NÃO – exige unanimidade"),IF(I300&gt;=2,"Sim","NÃO – sem maioria")))))</f>
        <v/>
      </c>
    </row>
    <row r="301">
      <c r="A301" s="15" t="n"/>
      <c r="B301" s="15" t="n"/>
      <c r="C301" s="16">
        <f>IF(A301="","",COUNTIFS(Completude!$F$2:$F$301,A301,Completude!$B$2:$B$301,B301))</f>
        <v/>
      </c>
      <c r="D301" s="16">
        <f>IF(A301="","",COUNTIFS(Completude!$F$2:$F$301,A301,Completude!$B$2:$B$301,B301,Completude!$M$2:$M$301,"Aguarda*")+COUNTIFS(Completude!$F$2:$F$301,A301,Completude!$B$2:$B$301,B301,Completude!$M$2:$M$301,"NÃO*"))</f>
        <v/>
      </c>
      <c r="E301" s="16">
        <f>IF(A301="","",COUNTIFS(Completude!$F$2:$F$301,A301,Completude!$B$2:$B$301,B301,Completude!$M$2:$M$301,"Lacuna não explicada"))</f>
        <v/>
      </c>
      <c r="F301" s="16">
        <f>IF(A301="","",COUNTIFS(Completude!$F$2:$F$301,A301,Completude!$B$2:$B$301,B301,Completude!$M$2:$M$301,"Lacuna explicada"))</f>
        <v/>
      </c>
      <c r="G301" s="16">
        <f>IF(A301="","",IF(C301=0,"Sem registros: confirme que o F5 rodou",IF(D301&gt;0,"Pendente de análise",IF(E301&gt;0,"Lacunas não explicadas",IF(F301&gt;0,"Lacunas explicadas","Completo")))))</f>
        <v/>
      </c>
      <c r="H301" s="15" t="n"/>
      <c r="I301" s="15" t="n"/>
      <c r="J301" s="15" t="n"/>
      <c r="K301" s="16">
        <f>IF(H301="","",IF(D301&gt;0,"NÃO – há pendências",IF(AND(H301&lt;&gt;G301,H301&lt;&gt;"Não avaliável"),"NÃO – difere do automático: justificar em ata",IF(H301="Lacunas não explicadas",IF(I301=3,"Sim","NÃO – exige unanimidade"),IF(I301&gt;=2,"Sim","NÃO – sem maioria")))))</f>
        <v/>
      </c>
    </row>
  </sheetData>
  <autoFilter ref="A1:K301"/>
  <conditionalFormatting sqref="K2:K301">
    <cfRule type="expression" priority="1" dxfId="1">
      <formula>LEFT(K2,3)="NÃO"</formula>
    </cfRule>
    <cfRule type="expression" priority="2" dxfId="0">
      <formula>K2="Sim"</formula>
    </cfRule>
  </conditionalFormatting>
  <dataValidations count="3">
    <dataValidation sqref="B2:B301" showDropDown="0" showInputMessage="0" showErrorMessage="0" allowBlank="1" errorTitle="Valor inválido" error="Escolha um valor da lista." type="list">
      <formula1>Listas!$J$2:$J$3</formula1>
    </dataValidation>
    <dataValidation sqref="H2:H301" showDropDown="0" showInputMessage="0" showErrorMessage="0" allowBlank="1" errorTitle="Valor inválido" error="Escolha um valor da lista." type="list">
      <formula1>Listas!$M$2:$M$5</formula1>
    </dataValidation>
    <dataValidation sqref="I2:I301" showDropDown="0" showInputMessage="0" showErrorMessage="0" allowBlank="1" type="whole" operator="between">
      <formula1>0</formula1>
      <formula2>3</formula2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28" customWidth="1" min="4" max="4"/>
    <col width="40" customWidth="1" min="5" max="5"/>
    <col width="28" customWidth="1" min="6" max="6"/>
    <col width="30" customWidth="1" min="7" max="7"/>
    <col width="40" customWidth="1" min="8" max="8"/>
    <col width="34" customWidth="1" min="9" max="9"/>
    <col width="11" customWidth="1" min="10" max="10"/>
    <col width="16" customWidth="1" min="11" max="11"/>
    <col width="30" customWidth="1" min="12" max="12"/>
    <col width="11" customWidth="1" min="13" max="13"/>
    <col width="11" customWidth="1" min="14" max="14"/>
    <col width="24" customWidth="1" min="15" max="15"/>
  </cols>
  <sheetData>
    <row r="1" ht="36" customHeight="1">
      <c r="A1" s="10" t="inlineStr">
        <is>
          <t>ID da consulta</t>
        </is>
      </c>
      <c r="B1" s="10" t="inlineStr">
        <is>
          <t>Data e hora</t>
        </is>
      </c>
      <c r="C1" s="10" t="inlineStr">
        <is>
          <t>Consultado por (codinome)</t>
        </is>
      </c>
      <c r="D1" s="10" t="inlineStr">
        <is>
          <t>Fonte (seção do guia)</t>
        </is>
      </c>
      <c r="E1" s="10" t="inlineStr">
        <is>
          <t>URL exata</t>
        </is>
      </c>
      <c r="F1" s="10" t="inlineStr">
        <is>
          <t>Parâmetros da consulta</t>
        </is>
      </c>
      <c r="G1" s="10" t="inlineStr">
        <is>
          <t>Arquivo local</t>
        </is>
      </c>
      <c r="H1" s="10" t="inlineStr">
        <is>
          <t>SHA-256</t>
        </is>
      </c>
      <c r="I1" s="10" t="inlineStr">
        <is>
          <t>Link de arquivo público</t>
        </is>
      </c>
      <c r="J1" s="10" t="inlineStr">
        <is>
          <t>Ata que aprovou a fonte</t>
        </is>
      </c>
      <c r="K1" s="10" t="inlineStr">
        <is>
          <t>Usada em (IDs)</t>
        </is>
      </c>
      <c r="L1" s="10" t="inlineStr">
        <is>
          <t>Observações</t>
        </is>
      </c>
      <c r="M1" s="10" t="inlineStr">
        <is>
          <t>Revisor (codinome)</t>
        </is>
      </c>
      <c r="N1" s="10" t="inlineStr">
        <is>
          <t>Revisor ≠ coletor?</t>
        </is>
      </c>
      <c r="O1" s="10" t="inlineStr">
        <is>
          <t>Registro completo?</t>
        </is>
      </c>
    </row>
    <row r="2">
      <c r="A2" s="14" t="inlineStr">
        <is>
          <t>F-001</t>
        </is>
      </c>
      <c r="B2" s="19" t="n">
        <v>46318.44583333333</v>
      </c>
      <c r="C2" s="14" t="inlineStr">
        <is>
          <t>M04</t>
        </is>
      </c>
      <c r="D2" s="14" t="inlineStr">
        <is>
          <t>3.1 TSE – bens de candidatos</t>
        </is>
      </c>
      <c r="E2" s="14" t="inlineStr">
        <is>
          <t>https://cdn.tse.jus.br/estatistica/sead/odsele/bem_candidato/bem_candidato_2022.zip</t>
        </is>
      </c>
      <c r="F2" s="14" t="inlineStr">
        <is>
          <t>ano 2022; filtro pelo número do candidato (EXEMPLO – substituir)</t>
        </is>
      </c>
      <c r="G2" s="14" t="inlineStr">
        <is>
          <t>fontes/F-001/bem_candidato_2022.zip</t>
        </is>
      </c>
      <c r="H2" s="14" t="inlineStr">
        <is>
          <t>e3b0c44298fc1c149afbf4c8996fb92427ae41e4649b934ca495991b7852b855</t>
        </is>
      </c>
      <c r="I2" s="14" t="inlineStr">
        <is>
          <t>não aplicável (arquivo de dados)</t>
        </is>
      </c>
      <c r="J2" s="14" t="inlineStr">
        <is>
          <t>A-001</t>
        </is>
      </c>
      <c r="K2" s="14" t="inlineStr">
        <is>
          <t>D-001</t>
        </is>
      </c>
      <c r="L2" s="14" t="inlineStr">
        <is>
          <t>data de geração dentro do ZIP: 15/10/2026</t>
        </is>
      </c>
      <c r="M2" s="14" t="inlineStr">
        <is>
          <t>M05</t>
        </is>
      </c>
      <c r="N2" s="16">
        <f>IF(M2="","",IF(M2&lt;&gt;C2,"Sim","NÃO"))</f>
        <v/>
      </c>
      <c r="O2" s="16">
        <f>IF(A2="","",IF(AND(B2&lt;&gt;"",C2&lt;&gt;"",D2&lt;&gt;"",E2&lt;&gt;"",G2&lt;&gt;"",LEN(TRIM(H2))=64,I2&lt;&gt;"",J2&lt;&gt;""),IF(COUNTIF(Atas_Comite!$A$2:$A$301,J2)=0,"NÃO – ata não encontrada",IF(D2="Outra (aprovar em ata antes)","Verificar: fonte fora do guia","Sim")),"Incompleto"))</f>
        <v/>
      </c>
    </row>
    <row r="3">
      <c r="A3" s="15" t="n"/>
      <c r="B3" s="20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6">
        <f>IF(M3="","",IF(M3&lt;&gt;C3,"Sim","NÃO"))</f>
        <v/>
      </c>
      <c r="O3" s="16">
        <f>IF(A3="","",IF(AND(B3&lt;&gt;"",C3&lt;&gt;"",D3&lt;&gt;"",E3&lt;&gt;"",G3&lt;&gt;"",LEN(TRIM(H3))=64,I3&lt;&gt;"",J3&lt;&gt;""),IF(COUNTIF(Atas_Comite!$A$2:$A$301,J3)=0,"NÃO – ata não encontrada",IF(D3="Outra (aprovar em ata antes)","Verificar: fonte fora do guia","Sim")),"Incompleto"))</f>
        <v/>
      </c>
    </row>
    <row r="4">
      <c r="A4" s="15" t="n"/>
      <c r="B4" s="20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6">
        <f>IF(M4="","",IF(M4&lt;&gt;C4,"Sim","NÃO"))</f>
        <v/>
      </c>
      <c r="O4" s="16">
        <f>IF(A4="","",IF(AND(B4&lt;&gt;"",C4&lt;&gt;"",D4&lt;&gt;"",E4&lt;&gt;"",G4&lt;&gt;"",LEN(TRIM(H4))=64,I4&lt;&gt;"",J4&lt;&gt;""),IF(COUNTIF(Atas_Comite!$A$2:$A$301,J4)=0,"NÃO – ata não encontrada",IF(D4="Outra (aprovar em ata antes)","Verificar: fonte fora do guia","Sim")),"Incompleto"))</f>
        <v/>
      </c>
    </row>
    <row r="5">
      <c r="A5" s="15" t="n"/>
      <c r="B5" s="20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6">
        <f>IF(M5="","",IF(M5&lt;&gt;C5,"Sim","NÃO"))</f>
        <v/>
      </c>
      <c r="O5" s="16">
        <f>IF(A5="","",IF(AND(B5&lt;&gt;"",C5&lt;&gt;"",D5&lt;&gt;"",E5&lt;&gt;"",G5&lt;&gt;"",LEN(TRIM(H5))=64,I5&lt;&gt;"",J5&lt;&gt;""),IF(COUNTIF(Atas_Comite!$A$2:$A$301,J5)=0,"NÃO – ata não encontrada",IF(D5="Outra (aprovar em ata antes)","Verificar: fonte fora do guia","Sim")),"Incompleto"))</f>
        <v/>
      </c>
    </row>
    <row r="6">
      <c r="A6" s="15" t="n"/>
      <c r="B6" s="20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6">
        <f>IF(M6="","",IF(M6&lt;&gt;C6,"Sim","NÃO"))</f>
        <v/>
      </c>
      <c r="O6" s="16">
        <f>IF(A6="","",IF(AND(B6&lt;&gt;"",C6&lt;&gt;"",D6&lt;&gt;"",E6&lt;&gt;"",G6&lt;&gt;"",LEN(TRIM(H6))=64,I6&lt;&gt;"",J6&lt;&gt;""),IF(COUNTIF(Atas_Comite!$A$2:$A$301,J6)=0,"NÃO – ata não encontrada",IF(D6="Outra (aprovar em ata antes)","Verificar: fonte fora do guia","Sim")),"Incompleto"))</f>
        <v/>
      </c>
    </row>
    <row r="7">
      <c r="A7" s="15" t="n"/>
      <c r="B7" s="20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6">
        <f>IF(M7="","",IF(M7&lt;&gt;C7,"Sim","NÃO"))</f>
        <v/>
      </c>
      <c r="O7" s="16">
        <f>IF(A7="","",IF(AND(B7&lt;&gt;"",C7&lt;&gt;"",D7&lt;&gt;"",E7&lt;&gt;"",G7&lt;&gt;"",LEN(TRIM(H7))=64,I7&lt;&gt;"",J7&lt;&gt;""),IF(COUNTIF(Atas_Comite!$A$2:$A$301,J7)=0,"NÃO – ata não encontrada",IF(D7="Outra (aprovar em ata antes)","Verificar: fonte fora do guia","Sim")),"Incompleto"))</f>
        <v/>
      </c>
    </row>
    <row r="8">
      <c r="A8" s="15" t="n"/>
      <c r="B8" s="20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6">
        <f>IF(M8="","",IF(M8&lt;&gt;C8,"Sim","NÃO"))</f>
        <v/>
      </c>
      <c r="O8" s="16">
        <f>IF(A8="","",IF(AND(B8&lt;&gt;"",C8&lt;&gt;"",D8&lt;&gt;"",E8&lt;&gt;"",G8&lt;&gt;"",LEN(TRIM(H8))=64,I8&lt;&gt;"",J8&lt;&gt;""),IF(COUNTIF(Atas_Comite!$A$2:$A$301,J8)=0,"NÃO – ata não encontrada",IF(D8="Outra (aprovar em ata antes)","Verificar: fonte fora do guia","Sim")),"Incompleto"))</f>
        <v/>
      </c>
    </row>
    <row r="9">
      <c r="A9" s="15" t="n"/>
      <c r="B9" s="20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6">
        <f>IF(M9="","",IF(M9&lt;&gt;C9,"Sim","NÃO"))</f>
        <v/>
      </c>
      <c r="O9" s="16">
        <f>IF(A9="","",IF(AND(B9&lt;&gt;"",C9&lt;&gt;"",D9&lt;&gt;"",E9&lt;&gt;"",G9&lt;&gt;"",LEN(TRIM(H9))=64,I9&lt;&gt;"",J9&lt;&gt;""),IF(COUNTIF(Atas_Comite!$A$2:$A$301,J9)=0,"NÃO – ata não encontrada",IF(D9="Outra (aprovar em ata antes)","Verificar: fonte fora do guia","Sim")),"Incompleto"))</f>
        <v/>
      </c>
    </row>
    <row r="10">
      <c r="A10" s="15" t="n"/>
      <c r="B10" s="20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6">
        <f>IF(M10="","",IF(M10&lt;&gt;C10,"Sim","NÃO"))</f>
        <v/>
      </c>
      <c r="O10" s="16">
        <f>IF(A10="","",IF(AND(B10&lt;&gt;"",C10&lt;&gt;"",D10&lt;&gt;"",E10&lt;&gt;"",G10&lt;&gt;"",LEN(TRIM(H10))=64,I10&lt;&gt;"",J10&lt;&gt;""),IF(COUNTIF(Atas_Comite!$A$2:$A$301,J10)=0,"NÃO – ata não encontrada",IF(D10="Outra (aprovar em ata antes)","Verificar: fonte fora do guia","Sim")),"Incompleto"))</f>
        <v/>
      </c>
    </row>
    <row r="11">
      <c r="A11" s="15" t="n"/>
      <c r="B11" s="20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6">
        <f>IF(M11="","",IF(M11&lt;&gt;C11,"Sim","NÃO"))</f>
        <v/>
      </c>
      <c r="O11" s="16">
        <f>IF(A11="","",IF(AND(B11&lt;&gt;"",C11&lt;&gt;"",D11&lt;&gt;"",E11&lt;&gt;"",G11&lt;&gt;"",LEN(TRIM(H11))=64,I11&lt;&gt;"",J11&lt;&gt;""),IF(COUNTIF(Atas_Comite!$A$2:$A$301,J11)=0,"NÃO – ata não encontrada",IF(D11="Outra (aprovar em ata antes)","Verificar: fonte fora do guia","Sim")),"Incompleto"))</f>
        <v/>
      </c>
    </row>
    <row r="12">
      <c r="A12" s="15" t="n"/>
      <c r="B12" s="20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6">
        <f>IF(M12="","",IF(M12&lt;&gt;C12,"Sim","NÃO"))</f>
        <v/>
      </c>
      <c r="O12" s="16">
        <f>IF(A12="","",IF(AND(B12&lt;&gt;"",C12&lt;&gt;"",D12&lt;&gt;"",E12&lt;&gt;"",G12&lt;&gt;"",LEN(TRIM(H12))=64,I12&lt;&gt;"",J12&lt;&gt;""),IF(COUNTIF(Atas_Comite!$A$2:$A$301,J12)=0,"NÃO – ata não encontrada",IF(D12="Outra (aprovar em ata antes)","Verificar: fonte fora do guia","Sim")),"Incompleto"))</f>
        <v/>
      </c>
    </row>
    <row r="13">
      <c r="A13" s="15" t="n"/>
      <c r="B13" s="20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6">
        <f>IF(M13="","",IF(M13&lt;&gt;C13,"Sim","NÃO"))</f>
        <v/>
      </c>
      <c r="O13" s="16">
        <f>IF(A13="","",IF(AND(B13&lt;&gt;"",C13&lt;&gt;"",D13&lt;&gt;"",E13&lt;&gt;"",G13&lt;&gt;"",LEN(TRIM(H13))=64,I13&lt;&gt;"",J13&lt;&gt;""),IF(COUNTIF(Atas_Comite!$A$2:$A$301,J13)=0,"NÃO – ata não encontrada",IF(D13="Outra (aprovar em ata antes)","Verificar: fonte fora do guia","Sim")),"Incompleto"))</f>
        <v/>
      </c>
    </row>
    <row r="14">
      <c r="A14" s="15" t="n"/>
      <c r="B14" s="20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6">
        <f>IF(M14="","",IF(M14&lt;&gt;C14,"Sim","NÃO"))</f>
        <v/>
      </c>
      <c r="O14" s="16">
        <f>IF(A14="","",IF(AND(B14&lt;&gt;"",C14&lt;&gt;"",D14&lt;&gt;"",E14&lt;&gt;"",G14&lt;&gt;"",LEN(TRIM(H14))=64,I14&lt;&gt;"",J14&lt;&gt;""),IF(COUNTIF(Atas_Comite!$A$2:$A$301,J14)=0,"NÃO – ata não encontrada",IF(D14="Outra (aprovar em ata antes)","Verificar: fonte fora do guia","Sim")),"Incompleto"))</f>
        <v/>
      </c>
    </row>
    <row r="15">
      <c r="A15" s="15" t="n"/>
      <c r="B15" s="20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6">
        <f>IF(M15="","",IF(M15&lt;&gt;C15,"Sim","NÃO"))</f>
        <v/>
      </c>
      <c r="O15" s="16">
        <f>IF(A15="","",IF(AND(B15&lt;&gt;"",C15&lt;&gt;"",D15&lt;&gt;"",E15&lt;&gt;"",G15&lt;&gt;"",LEN(TRIM(H15))=64,I15&lt;&gt;"",J15&lt;&gt;""),IF(COUNTIF(Atas_Comite!$A$2:$A$301,J15)=0,"NÃO – ata não encontrada",IF(D15="Outra (aprovar em ata antes)","Verificar: fonte fora do guia","Sim")),"Incompleto"))</f>
        <v/>
      </c>
    </row>
    <row r="16">
      <c r="A16" s="15" t="n"/>
      <c r="B16" s="20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6">
        <f>IF(M16="","",IF(M16&lt;&gt;C16,"Sim","NÃO"))</f>
        <v/>
      </c>
      <c r="O16" s="16">
        <f>IF(A16="","",IF(AND(B16&lt;&gt;"",C16&lt;&gt;"",D16&lt;&gt;"",E16&lt;&gt;"",G16&lt;&gt;"",LEN(TRIM(H16))=64,I16&lt;&gt;"",J16&lt;&gt;""),IF(COUNTIF(Atas_Comite!$A$2:$A$301,J16)=0,"NÃO – ata não encontrada",IF(D16="Outra (aprovar em ata antes)","Verificar: fonte fora do guia","Sim")),"Incompleto"))</f>
        <v/>
      </c>
    </row>
    <row r="17">
      <c r="A17" s="15" t="n"/>
      <c r="B17" s="20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6">
        <f>IF(M17="","",IF(M17&lt;&gt;C17,"Sim","NÃO"))</f>
        <v/>
      </c>
      <c r="O17" s="16">
        <f>IF(A17="","",IF(AND(B17&lt;&gt;"",C17&lt;&gt;"",D17&lt;&gt;"",E17&lt;&gt;"",G17&lt;&gt;"",LEN(TRIM(H17))=64,I17&lt;&gt;"",J17&lt;&gt;""),IF(COUNTIF(Atas_Comite!$A$2:$A$301,J17)=0,"NÃO – ata não encontrada",IF(D17="Outra (aprovar em ata antes)","Verificar: fonte fora do guia","Sim")),"Incompleto"))</f>
        <v/>
      </c>
    </row>
    <row r="18">
      <c r="A18" s="15" t="n"/>
      <c r="B18" s="20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6">
        <f>IF(M18="","",IF(M18&lt;&gt;C18,"Sim","NÃO"))</f>
        <v/>
      </c>
      <c r="O18" s="16">
        <f>IF(A18="","",IF(AND(B18&lt;&gt;"",C18&lt;&gt;"",D18&lt;&gt;"",E18&lt;&gt;"",G18&lt;&gt;"",LEN(TRIM(H18))=64,I18&lt;&gt;"",J18&lt;&gt;""),IF(COUNTIF(Atas_Comite!$A$2:$A$301,J18)=0,"NÃO – ata não encontrada",IF(D18="Outra (aprovar em ata antes)","Verificar: fonte fora do guia","Sim")),"Incompleto"))</f>
        <v/>
      </c>
    </row>
    <row r="19">
      <c r="A19" s="15" t="n"/>
      <c r="B19" s="20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6">
        <f>IF(M19="","",IF(M19&lt;&gt;C19,"Sim","NÃO"))</f>
        <v/>
      </c>
      <c r="O19" s="16">
        <f>IF(A19="","",IF(AND(B19&lt;&gt;"",C19&lt;&gt;"",D19&lt;&gt;"",E19&lt;&gt;"",G19&lt;&gt;"",LEN(TRIM(H19))=64,I19&lt;&gt;"",J19&lt;&gt;""),IF(COUNTIF(Atas_Comite!$A$2:$A$301,J19)=0,"NÃO – ata não encontrada",IF(D19="Outra (aprovar em ata antes)","Verificar: fonte fora do guia","Sim")),"Incompleto"))</f>
        <v/>
      </c>
    </row>
    <row r="20">
      <c r="A20" s="15" t="n"/>
      <c r="B20" s="20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6">
        <f>IF(M20="","",IF(M20&lt;&gt;C20,"Sim","NÃO"))</f>
        <v/>
      </c>
      <c r="O20" s="16">
        <f>IF(A20="","",IF(AND(B20&lt;&gt;"",C20&lt;&gt;"",D20&lt;&gt;"",E20&lt;&gt;"",G20&lt;&gt;"",LEN(TRIM(H20))=64,I20&lt;&gt;"",J20&lt;&gt;""),IF(COUNTIF(Atas_Comite!$A$2:$A$301,J20)=0,"NÃO – ata não encontrada",IF(D20="Outra (aprovar em ata antes)","Verificar: fonte fora do guia","Sim")),"Incompleto"))</f>
        <v/>
      </c>
    </row>
    <row r="21">
      <c r="A21" s="15" t="n"/>
      <c r="B21" s="20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6">
        <f>IF(M21="","",IF(M21&lt;&gt;C21,"Sim","NÃO"))</f>
        <v/>
      </c>
      <c r="O21" s="16">
        <f>IF(A21="","",IF(AND(B21&lt;&gt;"",C21&lt;&gt;"",D21&lt;&gt;"",E21&lt;&gt;"",G21&lt;&gt;"",LEN(TRIM(H21))=64,I21&lt;&gt;"",J21&lt;&gt;""),IF(COUNTIF(Atas_Comite!$A$2:$A$301,J21)=0,"NÃO – ata não encontrada",IF(D21="Outra (aprovar em ata antes)","Verificar: fonte fora do guia","Sim")),"Incompleto"))</f>
        <v/>
      </c>
    </row>
    <row r="22">
      <c r="A22" s="15" t="n"/>
      <c r="B22" s="20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6">
        <f>IF(M22="","",IF(M22&lt;&gt;C22,"Sim","NÃO"))</f>
        <v/>
      </c>
      <c r="O22" s="16">
        <f>IF(A22="","",IF(AND(B22&lt;&gt;"",C22&lt;&gt;"",D22&lt;&gt;"",E22&lt;&gt;"",G22&lt;&gt;"",LEN(TRIM(H22))=64,I22&lt;&gt;"",J22&lt;&gt;""),IF(COUNTIF(Atas_Comite!$A$2:$A$301,J22)=0,"NÃO – ata não encontrada",IF(D22="Outra (aprovar em ata antes)","Verificar: fonte fora do guia","Sim")),"Incompleto"))</f>
        <v/>
      </c>
    </row>
    <row r="23">
      <c r="A23" s="15" t="n"/>
      <c r="B23" s="20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6">
        <f>IF(M23="","",IF(M23&lt;&gt;C23,"Sim","NÃO"))</f>
        <v/>
      </c>
      <c r="O23" s="16">
        <f>IF(A23="","",IF(AND(B23&lt;&gt;"",C23&lt;&gt;"",D23&lt;&gt;"",E23&lt;&gt;"",G23&lt;&gt;"",LEN(TRIM(H23))=64,I23&lt;&gt;"",J23&lt;&gt;""),IF(COUNTIF(Atas_Comite!$A$2:$A$301,J23)=0,"NÃO – ata não encontrada",IF(D23="Outra (aprovar em ata antes)","Verificar: fonte fora do guia","Sim")),"Incompleto"))</f>
        <v/>
      </c>
    </row>
    <row r="24">
      <c r="A24" s="15" t="n"/>
      <c r="B24" s="20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6">
        <f>IF(M24="","",IF(M24&lt;&gt;C24,"Sim","NÃO"))</f>
        <v/>
      </c>
      <c r="O24" s="16">
        <f>IF(A24="","",IF(AND(B24&lt;&gt;"",C24&lt;&gt;"",D24&lt;&gt;"",E24&lt;&gt;"",G24&lt;&gt;"",LEN(TRIM(H24))=64,I24&lt;&gt;"",J24&lt;&gt;""),IF(COUNTIF(Atas_Comite!$A$2:$A$301,J24)=0,"NÃO – ata não encontrada",IF(D24="Outra (aprovar em ata antes)","Verificar: fonte fora do guia","Sim")),"Incompleto"))</f>
        <v/>
      </c>
    </row>
    <row r="25">
      <c r="A25" s="15" t="n"/>
      <c r="B25" s="20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6">
        <f>IF(M25="","",IF(M25&lt;&gt;C25,"Sim","NÃO"))</f>
        <v/>
      </c>
      <c r="O25" s="16">
        <f>IF(A25="","",IF(AND(B25&lt;&gt;"",C25&lt;&gt;"",D25&lt;&gt;"",E25&lt;&gt;"",G25&lt;&gt;"",LEN(TRIM(H25))=64,I25&lt;&gt;"",J25&lt;&gt;""),IF(COUNTIF(Atas_Comite!$A$2:$A$301,J25)=0,"NÃO – ata não encontrada",IF(D25="Outra (aprovar em ata antes)","Verificar: fonte fora do guia","Sim")),"Incompleto"))</f>
        <v/>
      </c>
    </row>
    <row r="26">
      <c r="A26" s="15" t="n"/>
      <c r="B26" s="20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6">
        <f>IF(M26="","",IF(M26&lt;&gt;C26,"Sim","NÃO"))</f>
        <v/>
      </c>
      <c r="O26" s="16">
        <f>IF(A26="","",IF(AND(B26&lt;&gt;"",C26&lt;&gt;"",D26&lt;&gt;"",E26&lt;&gt;"",G26&lt;&gt;"",LEN(TRIM(H26))=64,I26&lt;&gt;"",J26&lt;&gt;""),IF(COUNTIF(Atas_Comite!$A$2:$A$301,J26)=0,"NÃO – ata não encontrada",IF(D26="Outra (aprovar em ata antes)","Verificar: fonte fora do guia","Sim")),"Incompleto"))</f>
        <v/>
      </c>
    </row>
    <row r="27">
      <c r="A27" s="15" t="n"/>
      <c r="B27" s="20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6">
        <f>IF(M27="","",IF(M27&lt;&gt;C27,"Sim","NÃO"))</f>
        <v/>
      </c>
      <c r="O27" s="16">
        <f>IF(A27="","",IF(AND(B27&lt;&gt;"",C27&lt;&gt;"",D27&lt;&gt;"",E27&lt;&gt;"",G27&lt;&gt;"",LEN(TRIM(H27))=64,I27&lt;&gt;"",J27&lt;&gt;""),IF(COUNTIF(Atas_Comite!$A$2:$A$301,J27)=0,"NÃO – ata não encontrada",IF(D27="Outra (aprovar em ata antes)","Verificar: fonte fora do guia","Sim")),"Incompleto"))</f>
        <v/>
      </c>
    </row>
    <row r="28">
      <c r="A28" s="15" t="n"/>
      <c r="B28" s="20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6">
        <f>IF(M28="","",IF(M28&lt;&gt;C28,"Sim","NÃO"))</f>
        <v/>
      </c>
      <c r="O28" s="16">
        <f>IF(A28="","",IF(AND(B28&lt;&gt;"",C28&lt;&gt;"",D28&lt;&gt;"",E28&lt;&gt;"",G28&lt;&gt;"",LEN(TRIM(H28))=64,I28&lt;&gt;"",J28&lt;&gt;""),IF(COUNTIF(Atas_Comite!$A$2:$A$301,J28)=0,"NÃO – ata não encontrada",IF(D28="Outra (aprovar em ata antes)","Verificar: fonte fora do guia","Sim")),"Incompleto"))</f>
        <v/>
      </c>
    </row>
    <row r="29">
      <c r="A29" s="15" t="n"/>
      <c r="B29" s="20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6">
        <f>IF(M29="","",IF(M29&lt;&gt;C29,"Sim","NÃO"))</f>
        <v/>
      </c>
      <c r="O29" s="16">
        <f>IF(A29="","",IF(AND(B29&lt;&gt;"",C29&lt;&gt;"",D29&lt;&gt;"",E29&lt;&gt;"",G29&lt;&gt;"",LEN(TRIM(H29))=64,I29&lt;&gt;"",J29&lt;&gt;""),IF(COUNTIF(Atas_Comite!$A$2:$A$301,J29)=0,"NÃO – ata não encontrada",IF(D29="Outra (aprovar em ata antes)","Verificar: fonte fora do guia","Sim")),"Incompleto"))</f>
        <v/>
      </c>
    </row>
    <row r="30">
      <c r="A30" s="15" t="n"/>
      <c r="B30" s="20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6">
        <f>IF(M30="","",IF(M30&lt;&gt;C30,"Sim","NÃO"))</f>
        <v/>
      </c>
      <c r="O30" s="16">
        <f>IF(A30="","",IF(AND(B30&lt;&gt;"",C30&lt;&gt;"",D30&lt;&gt;"",E30&lt;&gt;"",G30&lt;&gt;"",LEN(TRIM(H30))=64,I30&lt;&gt;"",J30&lt;&gt;""),IF(COUNTIF(Atas_Comite!$A$2:$A$301,J30)=0,"NÃO – ata não encontrada",IF(D30="Outra (aprovar em ata antes)","Verificar: fonte fora do guia","Sim")),"Incompleto"))</f>
        <v/>
      </c>
    </row>
    <row r="31">
      <c r="A31" s="15" t="n"/>
      <c r="B31" s="20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6">
        <f>IF(M31="","",IF(M31&lt;&gt;C31,"Sim","NÃO"))</f>
        <v/>
      </c>
      <c r="O31" s="16">
        <f>IF(A31="","",IF(AND(B31&lt;&gt;"",C31&lt;&gt;"",D31&lt;&gt;"",E31&lt;&gt;"",G31&lt;&gt;"",LEN(TRIM(H31))=64,I31&lt;&gt;"",J31&lt;&gt;""),IF(COUNTIF(Atas_Comite!$A$2:$A$301,J31)=0,"NÃO – ata não encontrada",IF(D31="Outra (aprovar em ata antes)","Verificar: fonte fora do guia","Sim")),"Incompleto"))</f>
        <v/>
      </c>
    </row>
    <row r="32">
      <c r="A32" s="15" t="n"/>
      <c r="B32" s="20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6">
        <f>IF(M32="","",IF(M32&lt;&gt;C32,"Sim","NÃO"))</f>
        <v/>
      </c>
      <c r="O32" s="16">
        <f>IF(A32="","",IF(AND(B32&lt;&gt;"",C32&lt;&gt;"",D32&lt;&gt;"",E32&lt;&gt;"",G32&lt;&gt;"",LEN(TRIM(H32))=64,I32&lt;&gt;"",J32&lt;&gt;""),IF(COUNTIF(Atas_Comite!$A$2:$A$301,J32)=0,"NÃO – ata não encontrada",IF(D32="Outra (aprovar em ata antes)","Verificar: fonte fora do guia","Sim")),"Incompleto"))</f>
        <v/>
      </c>
    </row>
    <row r="33">
      <c r="A33" s="15" t="n"/>
      <c r="B33" s="20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6">
        <f>IF(M33="","",IF(M33&lt;&gt;C33,"Sim","NÃO"))</f>
        <v/>
      </c>
      <c r="O33" s="16">
        <f>IF(A33="","",IF(AND(B33&lt;&gt;"",C33&lt;&gt;"",D33&lt;&gt;"",E33&lt;&gt;"",G33&lt;&gt;"",LEN(TRIM(H33))=64,I33&lt;&gt;"",J33&lt;&gt;""),IF(COUNTIF(Atas_Comite!$A$2:$A$301,J33)=0,"NÃO – ata não encontrada",IF(D33="Outra (aprovar em ata antes)","Verificar: fonte fora do guia","Sim")),"Incompleto"))</f>
        <v/>
      </c>
    </row>
    <row r="34">
      <c r="A34" s="15" t="n"/>
      <c r="B34" s="20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6">
        <f>IF(M34="","",IF(M34&lt;&gt;C34,"Sim","NÃO"))</f>
        <v/>
      </c>
      <c r="O34" s="16">
        <f>IF(A34="","",IF(AND(B34&lt;&gt;"",C34&lt;&gt;"",D34&lt;&gt;"",E34&lt;&gt;"",G34&lt;&gt;"",LEN(TRIM(H34))=64,I34&lt;&gt;"",J34&lt;&gt;""),IF(COUNTIF(Atas_Comite!$A$2:$A$301,J34)=0,"NÃO – ata não encontrada",IF(D34="Outra (aprovar em ata antes)","Verificar: fonte fora do guia","Sim")),"Incompleto"))</f>
        <v/>
      </c>
    </row>
    <row r="35">
      <c r="A35" s="15" t="n"/>
      <c r="B35" s="20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6">
        <f>IF(M35="","",IF(M35&lt;&gt;C35,"Sim","NÃO"))</f>
        <v/>
      </c>
      <c r="O35" s="16">
        <f>IF(A35="","",IF(AND(B35&lt;&gt;"",C35&lt;&gt;"",D35&lt;&gt;"",E35&lt;&gt;"",G35&lt;&gt;"",LEN(TRIM(H35))=64,I35&lt;&gt;"",J35&lt;&gt;""),IF(COUNTIF(Atas_Comite!$A$2:$A$301,J35)=0,"NÃO – ata não encontrada",IF(D35="Outra (aprovar em ata antes)","Verificar: fonte fora do guia","Sim")),"Incompleto"))</f>
        <v/>
      </c>
    </row>
    <row r="36">
      <c r="A36" s="15" t="n"/>
      <c r="B36" s="20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6">
        <f>IF(M36="","",IF(M36&lt;&gt;C36,"Sim","NÃO"))</f>
        <v/>
      </c>
      <c r="O36" s="16">
        <f>IF(A36="","",IF(AND(B36&lt;&gt;"",C36&lt;&gt;"",D36&lt;&gt;"",E36&lt;&gt;"",G36&lt;&gt;"",LEN(TRIM(H36))=64,I36&lt;&gt;"",J36&lt;&gt;""),IF(COUNTIF(Atas_Comite!$A$2:$A$301,J36)=0,"NÃO – ata não encontrada",IF(D36="Outra (aprovar em ata antes)","Verificar: fonte fora do guia","Sim")),"Incompleto"))</f>
        <v/>
      </c>
    </row>
    <row r="37">
      <c r="A37" s="15" t="n"/>
      <c r="B37" s="20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6">
        <f>IF(M37="","",IF(M37&lt;&gt;C37,"Sim","NÃO"))</f>
        <v/>
      </c>
      <c r="O37" s="16">
        <f>IF(A37="","",IF(AND(B37&lt;&gt;"",C37&lt;&gt;"",D37&lt;&gt;"",E37&lt;&gt;"",G37&lt;&gt;"",LEN(TRIM(H37))=64,I37&lt;&gt;"",J37&lt;&gt;""),IF(COUNTIF(Atas_Comite!$A$2:$A$301,J37)=0,"NÃO – ata não encontrada",IF(D37="Outra (aprovar em ata antes)","Verificar: fonte fora do guia","Sim")),"Incompleto"))</f>
        <v/>
      </c>
    </row>
    <row r="38">
      <c r="A38" s="15" t="n"/>
      <c r="B38" s="20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6">
        <f>IF(M38="","",IF(M38&lt;&gt;C38,"Sim","NÃO"))</f>
        <v/>
      </c>
      <c r="O38" s="16">
        <f>IF(A38="","",IF(AND(B38&lt;&gt;"",C38&lt;&gt;"",D38&lt;&gt;"",E38&lt;&gt;"",G38&lt;&gt;"",LEN(TRIM(H38))=64,I38&lt;&gt;"",J38&lt;&gt;""),IF(COUNTIF(Atas_Comite!$A$2:$A$301,J38)=0,"NÃO – ata não encontrada",IF(D38="Outra (aprovar em ata antes)","Verificar: fonte fora do guia","Sim")),"Incompleto"))</f>
        <v/>
      </c>
    </row>
    <row r="39">
      <c r="A39" s="15" t="n"/>
      <c r="B39" s="20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6">
        <f>IF(M39="","",IF(M39&lt;&gt;C39,"Sim","NÃO"))</f>
        <v/>
      </c>
      <c r="O39" s="16">
        <f>IF(A39="","",IF(AND(B39&lt;&gt;"",C39&lt;&gt;"",D39&lt;&gt;"",E39&lt;&gt;"",G39&lt;&gt;"",LEN(TRIM(H39))=64,I39&lt;&gt;"",J39&lt;&gt;""),IF(COUNTIF(Atas_Comite!$A$2:$A$301,J39)=0,"NÃO – ata não encontrada",IF(D39="Outra (aprovar em ata antes)","Verificar: fonte fora do guia","Sim")),"Incompleto"))</f>
        <v/>
      </c>
    </row>
    <row r="40">
      <c r="A40" s="15" t="n"/>
      <c r="B40" s="20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6">
        <f>IF(M40="","",IF(M40&lt;&gt;C40,"Sim","NÃO"))</f>
        <v/>
      </c>
      <c r="O40" s="16">
        <f>IF(A40="","",IF(AND(B40&lt;&gt;"",C40&lt;&gt;"",D40&lt;&gt;"",E40&lt;&gt;"",G40&lt;&gt;"",LEN(TRIM(H40))=64,I40&lt;&gt;"",J40&lt;&gt;""),IF(COUNTIF(Atas_Comite!$A$2:$A$301,J40)=0,"NÃO – ata não encontrada",IF(D40="Outra (aprovar em ata antes)","Verificar: fonte fora do guia","Sim")),"Incompleto"))</f>
        <v/>
      </c>
    </row>
    <row r="41">
      <c r="A41" s="15" t="n"/>
      <c r="B41" s="20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6">
        <f>IF(M41="","",IF(M41&lt;&gt;C41,"Sim","NÃO"))</f>
        <v/>
      </c>
      <c r="O41" s="16">
        <f>IF(A41="","",IF(AND(B41&lt;&gt;"",C41&lt;&gt;"",D41&lt;&gt;"",E41&lt;&gt;"",G41&lt;&gt;"",LEN(TRIM(H41))=64,I41&lt;&gt;"",J41&lt;&gt;""),IF(COUNTIF(Atas_Comite!$A$2:$A$301,J41)=0,"NÃO – ata não encontrada",IF(D41="Outra (aprovar em ata antes)","Verificar: fonte fora do guia","Sim")),"Incompleto"))</f>
        <v/>
      </c>
    </row>
    <row r="42">
      <c r="A42" s="15" t="n"/>
      <c r="B42" s="20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6">
        <f>IF(M42="","",IF(M42&lt;&gt;C42,"Sim","NÃO"))</f>
        <v/>
      </c>
      <c r="O42" s="16">
        <f>IF(A42="","",IF(AND(B42&lt;&gt;"",C42&lt;&gt;"",D42&lt;&gt;"",E42&lt;&gt;"",G42&lt;&gt;"",LEN(TRIM(H42))=64,I42&lt;&gt;"",J42&lt;&gt;""),IF(COUNTIF(Atas_Comite!$A$2:$A$301,J42)=0,"NÃO – ata não encontrada",IF(D42="Outra (aprovar em ata antes)","Verificar: fonte fora do guia","Sim")),"Incompleto"))</f>
        <v/>
      </c>
    </row>
    <row r="43">
      <c r="A43" s="15" t="n"/>
      <c r="B43" s="20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6">
        <f>IF(M43="","",IF(M43&lt;&gt;C43,"Sim","NÃO"))</f>
        <v/>
      </c>
      <c r="O43" s="16">
        <f>IF(A43="","",IF(AND(B43&lt;&gt;"",C43&lt;&gt;"",D43&lt;&gt;"",E43&lt;&gt;"",G43&lt;&gt;"",LEN(TRIM(H43))=64,I43&lt;&gt;"",J43&lt;&gt;""),IF(COUNTIF(Atas_Comite!$A$2:$A$301,J43)=0,"NÃO – ata não encontrada",IF(D43="Outra (aprovar em ata antes)","Verificar: fonte fora do guia","Sim")),"Incompleto"))</f>
        <v/>
      </c>
    </row>
    <row r="44">
      <c r="A44" s="15" t="n"/>
      <c r="B44" s="20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6">
        <f>IF(M44="","",IF(M44&lt;&gt;C44,"Sim","NÃO"))</f>
        <v/>
      </c>
      <c r="O44" s="16">
        <f>IF(A44="","",IF(AND(B44&lt;&gt;"",C44&lt;&gt;"",D44&lt;&gt;"",E44&lt;&gt;"",G44&lt;&gt;"",LEN(TRIM(H44))=64,I44&lt;&gt;"",J44&lt;&gt;""),IF(COUNTIF(Atas_Comite!$A$2:$A$301,J44)=0,"NÃO – ata não encontrada",IF(D44="Outra (aprovar em ata antes)","Verificar: fonte fora do guia","Sim")),"Incompleto"))</f>
        <v/>
      </c>
    </row>
    <row r="45">
      <c r="A45" s="15" t="n"/>
      <c r="B45" s="20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6">
        <f>IF(M45="","",IF(M45&lt;&gt;C45,"Sim","NÃO"))</f>
        <v/>
      </c>
      <c r="O45" s="16">
        <f>IF(A45="","",IF(AND(B45&lt;&gt;"",C45&lt;&gt;"",D45&lt;&gt;"",E45&lt;&gt;"",G45&lt;&gt;"",LEN(TRIM(H45))=64,I45&lt;&gt;"",J45&lt;&gt;""),IF(COUNTIF(Atas_Comite!$A$2:$A$301,J45)=0,"NÃO – ata não encontrada",IF(D45="Outra (aprovar em ata antes)","Verificar: fonte fora do guia","Sim")),"Incompleto"))</f>
        <v/>
      </c>
    </row>
    <row r="46">
      <c r="A46" s="15" t="n"/>
      <c r="B46" s="20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6">
        <f>IF(M46="","",IF(M46&lt;&gt;C46,"Sim","NÃO"))</f>
        <v/>
      </c>
      <c r="O46" s="16">
        <f>IF(A46="","",IF(AND(B46&lt;&gt;"",C46&lt;&gt;"",D46&lt;&gt;"",E46&lt;&gt;"",G46&lt;&gt;"",LEN(TRIM(H46))=64,I46&lt;&gt;"",J46&lt;&gt;""),IF(COUNTIF(Atas_Comite!$A$2:$A$301,J46)=0,"NÃO – ata não encontrada",IF(D46="Outra (aprovar em ata antes)","Verificar: fonte fora do guia","Sim")),"Incompleto"))</f>
        <v/>
      </c>
    </row>
    <row r="47">
      <c r="A47" s="15" t="n"/>
      <c r="B47" s="20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6">
        <f>IF(M47="","",IF(M47&lt;&gt;C47,"Sim","NÃO"))</f>
        <v/>
      </c>
      <c r="O47" s="16">
        <f>IF(A47="","",IF(AND(B47&lt;&gt;"",C47&lt;&gt;"",D47&lt;&gt;"",E47&lt;&gt;"",G47&lt;&gt;"",LEN(TRIM(H47))=64,I47&lt;&gt;"",J47&lt;&gt;""),IF(COUNTIF(Atas_Comite!$A$2:$A$301,J47)=0,"NÃO – ata não encontrada",IF(D47="Outra (aprovar em ata antes)","Verificar: fonte fora do guia","Sim")),"Incompleto"))</f>
        <v/>
      </c>
    </row>
    <row r="48">
      <c r="A48" s="15" t="n"/>
      <c r="B48" s="20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6">
        <f>IF(M48="","",IF(M48&lt;&gt;C48,"Sim","NÃO"))</f>
        <v/>
      </c>
      <c r="O48" s="16">
        <f>IF(A48="","",IF(AND(B48&lt;&gt;"",C48&lt;&gt;"",D48&lt;&gt;"",E48&lt;&gt;"",G48&lt;&gt;"",LEN(TRIM(H48))=64,I48&lt;&gt;"",J48&lt;&gt;""),IF(COUNTIF(Atas_Comite!$A$2:$A$301,J48)=0,"NÃO – ata não encontrada",IF(D48="Outra (aprovar em ata antes)","Verificar: fonte fora do guia","Sim")),"Incompleto"))</f>
        <v/>
      </c>
    </row>
    <row r="49">
      <c r="A49" s="15" t="n"/>
      <c r="B49" s="20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6">
        <f>IF(M49="","",IF(M49&lt;&gt;C49,"Sim","NÃO"))</f>
        <v/>
      </c>
      <c r="O49" s="16">
        <f>IF(A49="","",IF(AND(B49&lt;&gt;"",C49&lt;&gt;"",D49&lt;&gt;"",E49&lt;&gt;"",G49&lt;&gt;"",LEN(TRIM(H49))=64,I49&lt;&gt;"",J49&lt;&gt;""),IF(COUNTIF(Atas_Comite!$A$2:$A$301,J49)=0,"NÃO – ata não encontrada",IF(D49="Outra (aprovar em ata antes)","Verificar: fonte fora do guia","Sim")),"Incompleto"))</f>
        <v/>
      </c>
    </row>
    <row r="50">
      <c r="A50" s="15" t="n"/>
      <c r="B50" s="20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6">
        <f>IF(M50="","",IF(M50&lt;&gt;C50,"Sim","NÃO"))</f>
        <v/>
      </c>
      <c r="O50" s="16">
        <f>IF(A50="","",IF(AND(B50&lt;&gt;"",C50&lt;&gt;"",D50&lt;&gt;"",E50&lt;&gt;"",G50&lt;&gt;"",LEN(TRIM(H50))=64,I50&lt;&gt;"",J50&lt;&gt;""),IF(COUNTIF(Atas_Comite!$A$2:$A$301,J50)=0,"NÃO – ata não encontrada",IF(D50="Outra (aprovar em ata antes)","Verificar: fonte fora do guia","Sim")),"Incompleto"))</f>
        <v/>
      </c>
    </row>
    <row r="51">
      <c r="A51" s="15" t="n"/>
      <c r="B51" s="20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6">
        <f>IF(M51="","",IF(M51&lt;&gt;C51,"Sim","NÃO"))</f>
        <v/>
      </c>
      <c r="O51" s="16">
        <f>IF(A51="","",IF(AND(B51&lt;&gt;"",C51&lt;&gt;"",D51&lt;&gt;"",E51&lt;&gt;"",G51&lt;&gt;"",LEN(TRIM(H51))=64,I51&lt;&gt;"",J51&lt;&gt;""),IF(COUNTIF(Atas_Comite!$A$2:$A$301,J51)=0,"NÃO – ata não encontrada",IF(D51="Outra (aprovar em ata antes)","Verificar: fonte fora do guia","Sim")),"Incompleto"))</f>
        <v/>
      </c>
    </row>
    <row r="52">
      <c r="A52" s="15" t="n"/>
      <c r="B52" s="20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6">
        <f>IF(M52="","",IF(M52&lt;&gt;C52,"Sim","NÃO"))</f>
        <v/>
      </c>
      <c r="O52" s="16">
        <f>IF(A52="","",IF(AND(B52&lt;&gt;"",C52&lt;&gt;"",D52&lt;&gt;"",E52&lt;&gt;"",G52&lt;&gt;"",LEN(TRIM(H52))=64,I52&lt;&gt;"",J52&lt;&gt;""),IF(COUNTIF(Atas_Comite!$A$2:$A$301,J52)=0,"NÃO – ata não encontrada",IF(D52="Outra (aprovar em ata antes)","Verificar: fonte fora do guia","Sim")),"Incompleto"))</f>
        <v/>
      </c>
    </row>
    <row r="53">
      <c r="A53" s="15" t="n"/>
      <c r="B53" s="20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6">
        <f>IF(M53="","",IF(M53&lt;&gt;C53,"Sim","NÃO"))</f>
        <v/>
      </c>
      <c r="O53" s="16">
        <f>IF(A53="","",IF(AND(B53&lt;&gt;"",C53&lt;&gt;"",D53&lt;&gt;"",E53&lt;&gt;"",G53&lt;&gt;"",LEN(TRIM(H53))=64,I53&lt;&gt;"",J53&lt;&gt;""),IF(COUNTIF(Atas_Comite!$A$2:$A$301,J53)=0,"NÃO – ata não encontrada",IF(D53="Outra (aprovar em ata antes)","Verificar: fonte fora do guia","Sim")),"Incompleto"))</f>
        <v/>
      </c>
    </row>
    <row r="54">
      <c r="A54" s="15" t="n"/>
      <c r="B54" s="20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6">
        <f>IF(M54="","",IF(M54&lt;&gt;C54,"Sim","NÃO"))</f>
        <v/>
      </c>
      <c r="O54" s="16">
        <f>IF(A54="","",IF(AND(B54&lt;&gt;"",C54&lt;&gt;"",D54&lt;&gt;"",E54&lt;&gt;"",G54&lt;&gt;"",LEN(TRIM(H54))=64,I54&lt;&gt;"",J54&lt;&gt;""),IF(COUNTIF(Atas_Comite!$A$2:$A$301,J54)=0,"NÃO – ata não encontrada",IF(D54="Outra (aprovar em ata antes)","Verificar: fonte fora do guia","Sim")),"Incompleto"))</f>
        <v/>
      </c>
    </row>
    <row r="55">
      <c r="A55" s="15" t="n"/>
      <c r="B55" s="20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6">
        <f>IF(M55="","",IF(M55&lt;&gt;C55,"Sim","NÃO"))</f>
        <v/>
      </c>
      <c r="O55" s="16">
        <f>IF(A55="","",IF(AND(B55&lt;&gt;"",C55&lt;&gt;"",D55&lt;&gt;"",E55&lt;&gt;"",G55&lt;&gt;"",LEN(TRIM(H55))=64,I55&lt;&gt;"",J55&lt;&gt;""),IF(COUNTIF(Atas_Comite!$A$2:$A$301,J55)=0,"NÃO – ata não encontrada",IF(D55="Outra (aprovar em ata antes)","Verificar: fonte fora do guia","Sim")),"Incompleto"))</f>
        <v/>
      </c>
    </row>
    <row r="56">
      <c r="A56" s="15" t="n"/>
      <c r="B56" s="20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6">
        <f>IF(M56="","",IF(M56&lt;&gt;C56,"Sim","NÃO"))</f>
        <v/>
      </c>
      <c r="O56" s="16">
        <f>IF(A56="","",IF(AND(B56&lt;&gt;"",C56&lt;&gt;"",D56&lt;&gt;"",E56&lt;&gt;"",G56&lt;&gt;"",LEN(TRIM(H56))=64,I56&lt;&gt;"",J56&lt;&gt;""),IF(COUNTIF(Atas_Comite!$A$2:$A$301,J56)=0,"NÃO – ata não encontrada",IF(D56="Outra (aprovar em ata antes)","Verificar: fonte fora do guia","Sim")),"Incompleto"))</f>
        <v/>
      </c>
    </row>
    <row r="57">
      <c r="A57" s="15" t="n"/>
      <c r="B57" s="20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6">
        <f>IF(M57="","",IF(M57&lt;&gt;C57,"Sim","NÃO"))</f>
        <v/>
      </c>
      <c r="O57" s="16">
        <f>IF(A57="","",IF(AND(B57&lt;&gt;"",C57&lt;&gt;"",D57&lt;&gt;"",E57&lt;&gt;"",G57&lt;&gt;"",LEN(TRIM(H57))=64,I57&lt;&gt;"",J57&lt;&gt;""),IF(COUNTIF(Atas_Comite!$A$2:$A$301,J57)=0,"NÃO – ata não encontrada",IF(D57="Outra (aprovar em ata antes)","Verificar: fonte fora do guia","Sim")),"Incompleto"))</f>
        <v/>
      </c>
    </row>
    <row r="58">
      <c r="A58" s="15" t="n"/>
      <c r="B58" s="20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6">
        <f>IF(M58="","",IF(M58&lt;&gt;C58,"Sim","NÃO"))</f>
        <v/>
      </c>
      <c r="O58" s="16">
        <f>IF(A58="","",IF(AND(B58&lt;&gt;"",C58&lt;&gt;"",D58&lt;&gt;"",E58&lt;&gt;"",G58&lt;&gt;"",LEN(TRIM(H58))=64,I58&lt;&gt;"",J58&lt;&gt;""),IF(COUNTIF(Atas_Comite!$A$2:$A$301,J58)=0,"NÃO – ata não encontrada",IF(D58="Outra (aprovar em ata antes)","Verificar: fonte fora do guia","Sim")),"Incompleto"))</f>
        <v/>
      </c>
    </row>
    <row r="59">
      <c r="A59" s="15" t="n"/>
      <c r="B59" s="20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6">
        <f>IF(M59="","",IF(M59&lt;&gt;C59,"Sim","NÃO"))</f>
        <v/>
      </c>
      <c r="O59" s="16">
        <f>IF(A59="","",IF(AND(B59&lt;&gt;"",C59&lt;&gt;"",D59&lt;&gt;"",E59&lt;&gt;"",G59&lt;&gt;"",LEN(TRIM(H59))=64,I59&lt;&gt;"",J59&lt;&gt;""),IF(COUNTIF(Atas_Comite!$A$2:$A$301,J59)=0,"NÃO – ata não encontrada",IF(D59="Outra (aprovar em ata antes)","Verificar: fonte fora do guia","Sim")),"Incompleto"))</f>
        <v/>
      </c>
    </row>
    <row r="60">
      <c r="A60" s="15" t="n"/>
      <c r="B60" s="20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6">
        <f>IF(M60="","",IF(M60&lt;&gt;C60,"Sim","NÃO"))</f>
        <v/>
      </c>
      <c r="O60" s="16">
        <f>IF(A60="","",IF(AND(B60&lt;&gt;"",C60&lt;&gt;"",D60&lt;&gt;"",E60&lt;&gt;"",G60&lt;&gt;"",LEN(TRIM(H60))=64,I60&lt;&gt;"",J60&lt;&gt;""),IF(COUNTIF(Atas_Comite!$A$2:$A$301,J60)=0,"NÃO – ata não encontrada",IF(D60="Outra (aprovar em ata antes)","Verificar: fonte fora do guia","Sim")),"Incompleto"))</f>
        <v/>
      </c>
    </row>
    <row r="61">
      <c r="A61" s="15" t="n"/>
      <c r="B61" s="20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6">
        <f>IF(M61="","",IF(M61&lt;&gt;C61,"Sim","NÃO"))</f>
        <v/>
      </c>
      <c r="O61" s="16">
        <f>IF(A61="","",IF(AND(B61&lt;&gt;"",C61&lt;&gt;"",D61&lt;&gt;"",E61&lt;&gt;"",G61&lt;&gt;"",LEN(TRIM(H61))=64,I61&lt;&gt;"",J61&lt;&gt;""),IF(COUNTIF(Atas_Comite!$A$2:$A$301,J61)=0,"NÃO – ata não encontrada",IF(D61="Outra (aprovar em ata antes)","Verificar: fonte fora do guia","Sim")),"Incompleto"))</f>
        <v/>
      </c>
    </row>
    <row r="62">
      <c r="A62" s="15" t="n"/>
      <c r="B62" s="20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6">
        <f>IF(M62="","",IF(M62&lt;&gt;C62,"Sim","NÃO"))</f>
        <v/>
      </c>
      <c r="O62" s="16">
        <f>IF(A62="","",IF(AND(B62&lt;&gt;"",C62&lt;&gt;"",D62&lt;&gt;"",E62&lt;&gt;"",G62&lt;&gt;"",LEN(TRIM(H62))=64,I62&lt;&gt;"",J62&lt;&gt;""),IF(COUNTIF(Atas_Comite!$A$2:$A$301,J62)=0,"NÃO – ata não encontrada",IF(D62="Outra (aprovar em ata antes)","Verificar: fonte fora do guia","Sim")),"Incompleto"))</f>
        <v/>
      </c>
    </row>
    <row r="63">
      <c r="A63" s="15" t="n"/>
      <c r="B63" s="20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6">
        <f>IF(M63="","",IF(M63&lt;&gt;C63,"Sim","NÃO"))</f>
        <v/>
      </c>
      <c r="O63" s="16">
        <f>IF(A63="","",IF(AND(B63&lt;&gt;"",C63&lt;&gt;"",D63&lt;&gt;"",E63&lt;&gt;"",G63&lt;&gt;"",LEN(TRIM(H63))=64,I63&lt;&gt;"",J63&lt;&gt;""),IF(COUNTIF(Atas_Comite!$A$2:$A$301,J63)=0,"NÃO – ata não encontrada",IF(D63="Outra (aprovar em ata antes)","Verificar: fonte fora do guia","Sim")),"Incompleto"))</f>
        <v/>
      </c>
    </row>
    <row r="64">
      <c r="A64" s="15" t="n"/>
      <c r="B64" s="20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6">
        <f>IF(M64="","",IF(M64&lt;&gt;C64,"Sim","NÃO"))</f>
        <v/>
      </c>
      <c r="O64" s="16">
        <f>IF(A64="","",IF(AND(B64&lt;&gt;"",C64&lt;&gt;"",D64&lt;&gt;"",E64&lt;&gt;"",G64&lt;&gt;"",LEN(TRIM(H64))=64,I64&lt;&gt;"",J64&lt;&gt;""),IF(COUNTIF(Atas_Comite!$A$2:$A$301,J64)=0,"NÃO – ata não encontrada",IF(D64="Outra (aprovar em ata antes)","Verificar: fonte fora do guia","Sim")),"Incompleto"))</f>
        <v/>
      </c>
    </row>
    <row r="65">
      <c r="A65" s="15" t="n"/>
      <c r="B65" s="20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6">
        <f>IF(M65="","",IF(M65&lt;&gt;C65,"Sim","NÃO"))</f>
        <v/>
      </c>
      <c r="O65" s="16">
        <f>IF(A65="","",IF(AND(B65&lt;&gt;"",C65&lt;&gt;"",D65&lt;&gt;"",E65&lt;&gt;"",G65&lt;&gt;"",LEN(TRIM(H65))=64,I65&lt;&gt;"",J65&lt;&gt;""),IF(COUNTIF(Atas_Comite!$A$2:$A$301,J65)=0,"NÃO – ata não encontrada",IF(D65="Outra (aprovar em ata antes)","Verificar: fonte fora do guia","Sim")),"Incompleto"))</f>
        <v/>
      </c>
    </row>
    <row r="66">
      <c r="A66" s="15" t="n"/>
      <c r="B66" s="20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6">
        <f>IF(M66="","",IF(M66&lt;&gt;C66,"Sim","NÃO"))</f>
        <v/>
      </c>
      <c r="O66" s="16">
        <f>IF(A66="","",IF(AND(B66&lt;&gt;"",C66&lt;&gt;"",D66&lt;&gt;"",E66&lt;&gt;"",G66&lt;&gt;"",LEN(TRIM(H66))=64,I66&lt;&gt;"",J66&lt;&gt;""),IF(COUNTIF(Atas_Comite!$A$2:$A$301,J66)=0,"NÃO – ata não encontrada",IF(D66="Outra (aprovar em ata antes)","Verificar: fonte fora do guia","Sim")),"Incompleto"))</f>
        <v/>
      </c>
    </row>
    <row r="67">
      <c r="A67" s="15" t="n"/>
      <c r="B67" s="20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6">
        <f>IF(M67="","",IF(M67&lt;&gt;C67,"Sim","NÃO"))</f>
        <v/>
      </c>
      <c r="O67" s="16">
        <f>IF(A67="","",IF(AND(B67&lt;&gt;"",C67&lt;&gt;"",D67&lt;&gt;"",E67&lt;&gt;"",G67&lt;&gt;"",LEN(TRIM(H67))=64,I67&lt;&gt;"",J67&lt;&gt;""),IF(COUNTIF(Atas_Comite!$A$2:$A$301,J67)=0,"NÃO – ata não encontrada",IF(D67="Outra (aprovar em ata antes)","Verificar: fonte fora do guia","Sim")),"Incompleto"))</f>
        <v/>
      </c>
    </row>
    <row r="68">
      <c r="A68" s="15" t="n"/>
      <c r="B68" s="20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6">
        <f>IF(M68="","",IF(M68&lt;&gt;C68,"Sim","NÃO"))</f>
        <v/>
      </c>
      <c r="O68" s="16">
        <f>IF(A68="","",IF(AND(B68&lt;&gt;"",C68&lt;&gt;"",D68&lt;&gt;"",E68&lt;&gt;"",G68&lt;&gt;"",LEN(TRIM(H68))=64,I68&lt;&gt;"",J68&lt;&gt;""),IF(COUNTIF(Atas_Comite!$A$2:$A$301,J68)=0,"NÃO – ata não encontrada",IF(D68="Outra (aprovar em ata antes)","Verificar: fonte fora do guia","Sim")),"Incompleto"))</f>
        <v/>
      </c>
    </row>
    <row r="69">
      <c r="A69" s="15" t="n"/>
      <c r="B69" s="20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6">
        <f>IF(M69="","",IF(M69&lt;&gt;C69,"Sim","NÃO"))</f>
        <v/>
      </c>
      <c r="O69" s="16">
        <f>IF(A69="","",IF(AND(B69&lt;&gt;"",C69&lt;&gt;"",D69&lt;&gt;"",E69&lt;&gt;"",G69&lt;&gt;"",LEN(TRIM(H69))=64,I69&lt;&gt;"",J69&lt;&gt;""),IF(COUNTIF(Atas_Comite!$A$2:$A$301,J69)=0,"NÃO – ata não encontrada",IF(D69="Outra (aprovar em ata antes)","Verificar: fonte fora do guia","Sim")),"Incompleto"))</f>
        <v/>
      </c>
    </row>
    <row r="70">
      <c r="A70" s="15" t="n"/>
      <c r="B70" s="20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6">
        <f>IF(M70="","",IF(M70&lt;&gt;C70,"Sim","NÃO"))</f>
        <v/>
      </c>
      <c r="O70" s="16">
        <f>IF(A70="","",IF(AND(B70&lt;&gt;"",C70&lt;&gt;"",D70&lt;&gt;"",E70&lt;&gt;"",G70&lt;&gt;"",LEN(TRIM(H70))=64,I70&lt;&gt;"",J70&lt;&gt;""),IF(COUNTIF(Atas_Comite!$A$2:$A$301,J70)=0,"NÃO – ata não encontrada",IF(D70="Outra (aprovar em ata antes)","Verificar: fonte fora do guia","Sim")),"Incompleto"))</f>
        <v/>
      </c>
    </row>
    <row r="71">
      <c r="A71" s="15" t="n"/>
      <c r="B71" s="20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6">
        <f>IF(M71="","",IF(M71&lt;&gt;C71,"Sim","NÃO"))</f>
        <v/>
      </c>
      <c r="O71" s="16">
        <f>IF(A71="","",IF(AND(B71&lt;&gt;"",C71&lt;&gt;"",D71&lt;&gt;"",E71&lt;&gt;"",G71&lt;&gt;"",LEN(TRIM(H71))=64,I71&lt;&gt;"",J71&lt;&gt;""),IF(COUNTIF(Atas_Comite!$A$2:$A$301,J71)=0,"NÃO – ata não encontrada",IF(D71="Outra (aprovar em ata antes)","Verificar: fonte fora do guia","Sim")),"Incompleto"))</f>
        <v/>
      </c>
    </row>
    <row r="72">
      <c r="A72" s="15" t="n"/>
      <c r="B72" s="20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6">
        <f>IF(M72="","",IF(M72&lt;&gt;C72,"Sim","NÃO"))</f>
        <v/>
      </c>
      <c r="O72" s="16">
        <f>IF(A72="","",IF(AND(B72&lt;&gt;"",C72&lt;&gt;"",D72&lt;&gt;"",E72&lt;&gt;"",G72&lt;&gt;"",LEN(TRIM(H72))=64,I72&lt;&gt;"",J72&lt;&gt;""),IF(COUNTIF(Atas_Comite!$A$2:$A$301,J72)=0,"NÃO – ata não encontrada",IF(D72="Outra (aprovar em ata antes)","Verificar: fonte fora do guia","Sim")),"Incompleto"))</f>
        <v/>
      </c>
    </row>
    <row r="73">
      <c r="A73" s="15" t="n"/>
      <c r="B73" s="20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6">
        <f>IF(M73="","",IF(M73&lt;&gt;C73,"Sim","NÃO"))</f>
        <v/>
      </c>
      <c r="O73" s="16">
        <f>IF(A73="","",IF(AND(B73&lt;&gt;"",C73&lt;&gt;"",D73&lt;&gt;"",E73&lt;&gt;"",G73&lt;&gt;"",LEN(TRIM(H73))=64,I73&lt;&gt;"",J73&lt;&gt;""),IF(COUNTIF(Atas_Comite!$A$2:$A$301,J73)=0,"NÃO – ata não encontrada",IF(D73="Outra (aprovar em ata antes)","Verificar: fonte fora do guia","Sim")),"Incompleto"))</f>
        <v/>
      </c>
    </row>
    <row r="74">
      <c r="A74" s="15" t="n"/>
      <c r="B74" s="20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6">
        <f>IF(M74="","",IF(M74&lt;&gt;C74,"Sim","NÃO"))</f>
        <v/>
      </c>
      <c r="O74" s="16">
        <f>IF(A74="","",IF(AND(B74&lt;&gt;"",C74&lt;&gt;"",D74&lt;&gt;"",E74&lt;&gt;"",G74&lt;&gt;"",LEN(TRIM(H74))=64,I74&lt;&gt;"",J74&lt;&gt;""),IF(COUNTIF(Atas_Comite!$A$2:$A$301,J74)=0,"NÃO – ata não encontrada",IF(D74="Outra (aprovar em ata antes)","Verificar: fonte fora do guia","Sim")),"Incompleto"))</f>
        <v/>
      </c>
    </row>
    <row r="75">
      <c r="A75" s="15" t="n"/>
      <c r="B75" s="20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6">
        <f>IF(M75="","",IF(M75&lt;&gt;C75,"Sim","NÃO"))</f>
        <v/>
      </c>
      <c r="O75" s="16">
        <f>IF(A75="","",IF(AND(B75&lt;&gt;"",C75&lt;&gt;"",D75&lt;&gt;"",E75&lt;&gt;"",G75&lt;&gt;"",LEN(TRIM(H75))=64,I75&lt;&gt;"",J75&lt;&gt;""),IF(COUNTIF(Atas_Comite!$A$2:$A$301,J75)=0,"NÃO – ata não encontrada",IF(D75="Outra (aprovar em ata antes)","Verificar: fonte fora do guia","Sim")),"Incompleto"))</f>
        <v/>
      </c>
    </row>
    <row r="76">
      <c r="A76" s="15" t="n"/>
      <c r="B76" s="20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6">
        <f>IF(M76="","",IF(M76&lt;&gt;C76,"Sim","NÃO"))</f>
        <v/>
      </c>
      <c r="O76" s="16">
        <f>IF(A76="","",IF(AND(B76&lt;&gt;"",C76&lt;&gt;"",D76&lt;&gt;"",E76&lt;&gt;"",G76&lt;&gt;"",LEN(TRIM(H76))=64,I76&lt;&gt;"",J76&lt;&gt;""),IF(COUNTIF(Atas_Comite!$A$2:$A$301,J76)=0,"NÃO – ata não encontrada",IF(D76="Outra (aprovar em ata antes)","Verificar: fonte fora do guia","Sim")),"Incompleto"))</f>
        <v/>
      </c>
    </row>
    <row r="77">
      <c r="A77" s="15" t="n"/>
      <c r="B77" s="20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6">
        <f>IF(M77="","",IF(M77&lt;&gt;C77,"Sim","NÃO"))</f>
        <v/>
      </c>
      <c r="O77" s="16">
        <f>IF(A77="","",IF(AND(B77&lt;&gt;"",C77&lt;&gt;"",D77&lt;&gt;"",E77&lt;&gt;"",G77&lt;&gt;"",LEN(TRIM(H77))=64,I77&lt;&gt;"",J77&lt;&gt;""),IF(COUNTIF(Atas_Comite!$A$2:$A$301,J77)=0,"NÃO – ata não encontrada",IF(D77="Outra (aprovar em ata antes)","Verificar: fonte fora do guia","Sim")),"Incompleto"))</f>
        <v/>
      </c>
    </row>
    <row r="78">
      <c r="A78" s="15" t="n"/>
      <c r="B78" s="20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6">
        <f>IF(M78="","",IF(M78&lt;&gt;C78,"Sim","NÃO"))</f>
        <v/>
      </c>
      <c r="O78" s="16">
        <f>IF(A78="","",IF(AND(B78&lt;&gt;"",C78&lt;&gt;"",D78&lt;&gt;"",E78&lt;&gt;"",G78&lt;&gt;"",LEN(TRIM(H78))=64,I78&lt;&gt;"",J78&lt;&gt;""),IF(COUNTIF(Atas_Comite!$A$2:$A$301,J78)=0,"NÃO – ata não encontrada",IF(D78="Outra (aprovar em ata antes)","Verificar: fonte fora do guia","Sim")),"Incompleto"))</f>
        <v/>
      </c>
    </row>
    <row r="79">
      <c r="A79" s="15" t="n"/>
      <c r="B79" s="20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6">
        <f>IF(M79="","",IF(M79&lt;&gt;C79,"Sim","NÃO"))</f>
        <v/>
      </c>
      <c r="O79" s="16">
        <f>IF(A79="","",IF(AND(B79&lt;&gt;"",C79&lt;&gt;"",D79&lt;&gt;"",E79&lt;&gt;"",G79&lt;&gt;"",LEN(TRIM(H79))=64,I79&lt;&gt;"",J79&lt;&gt;""),IF(COUNTIF(Atas_Comite!$A$2:$A$301,J79)=0,"NÃO – ata não encontrada",IF(D79="Outra (aprovar em ata antes)","Verificar: fonte fora do guia","Sim")),"Incompleto"))</f>
        <v/>
      </c>
    </row>
    <row r="80">
      <c r="A80" s="15" t="n"/>
      <c r="B80" s="20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6">
        <f>IF(M80="","",IF(M80&lt;&gt;C80,"Sim","NÃO"))</f>
        <v/>
      </c>
      <c r="O80" s="16">
        <f>IF(A80="","",IF(AND(B80&lt;&gt;"",C80&lt;&gt;"",D80&lt;&gt;"",E80&lt;&gt;"",G80&lt;&gt;"",LEN(TRIM(H80))=64,I80&lt;&gt;"",J80&lt;&gt;""),IF(COUNTIF(Atas_Comite!$A$2:$A$301,J80)=0,"NÃO – ata não encontrada",IF(D80="Outra (aprovar em ata antes)","Verificar: fonte fora do guia","Sim")),"Incompleto"))</f>
        <v/>
      </c>
    </row>
    <row r="81">
      <c r="A81" s="15" t="n"/>
      <c r="B81" s="20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6">
        <f>IF(M81="","",IF(M81&lt;&gt;C81,"Sim","NÃO"))</f>
        <v/>
      </c>
      <c r="O81" s="16">
        <f>IF(A81="","",IF(AND(B81&lt;&gt;"",C81&lt;&gt;"",D81&lt;&gt;"",E81&lt;&gt;"",G81&lt;&gt;"",LEN(TRIM(H81))=64,I81&lt;&gt;"",J81&lt;&gt;""),IF(COUNTIF(Atas_Comite!$A$2:$A$301,J81)=0,"NÃO – ata não encontrada",IF(D81="Outra (aprovar em ata antes)","Verificar: fonte fora do guia","Sim")),"Incompleto"))</f>
        <v/>
      </c>
    </row>
    <row r="82">
      <c r="A82" s="15" t="n"/>
      <c r="B82" s="20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6">
        <f>IF(M82="","",IF(M82&lt;&gt;C82,"Sim","NÃO"))</f>
        <v/>
      </c>
      <c r="O82" s="16">
        <f>IF(A82="","",IF(AND(B82&lt;&gt;"",C82&lt;&gt;"",D82&lt;&gt;"",E82&lt;&gt;"",G82&lt;&gt;"",LEN(TRIM(H82))=64,I82&lt;&gt;"",J82&lt;&gt;""),IF(COUNTIF(Atas_Comite!$A$2:$A$301,J82)=0,"NÃO – ata não encontrada",IF(D82="Outra (aprovar em ata antes)","Verificar: fonte fora do guia","Sim")),"Incompleto"))</f>
        <v/>
      </c>
    </row>
    <row r="83">
      <c r="A83" s="15" t="n"/>
      <c r="B83" s="20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6">
        <f>IF(M83="","",IF(M83&lt;&gt;C83,"Sim","NÃO"))</f>
        <v/>
      </c>
      <c r="O83" s="16">
        <f>IF(A83="","",IF(AND(B83&lt;&gt;"",C83&lt;&gt;"",D83&lt;&gt;"",E83&lt;&gt;"",G83&lt;&gt;"",LEN(TRIM(H83))=64,I83&lt;&gt;"",J83&lt;&gt;""),IF(COUNTIF(Atas_Comite!$A$2:$A$301,J83)=0,"NÃO – ata não encontrada",IF(D83="Outra (aprovar em ata antes)","Verificar: fonte fora do guia","Sim")),"Incompleto"))</f>
        <v/>
      </c>
    </row>
    <row r="84">
      <c r="A84" s="15" t="n"/>
      <c r="B84" s="20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6">
        <f>IF(M84="","",IF(M84&lt;&gt;C84,"Sim","NÃO"))</f>
        <v/>
      </c>
      <c r="O84" s="16">
        <f>IF(A84="","",IF(AND(B84&lt;&gt;"",C84&lt;&gt;"",D84&lt;&gt;"",E84&lt;&gt;"",G84&lt;&gt;"",LEN(TRIM(H84))=64,I84&lt;&gt;"",J84&lt;&gt;""),IF(COUNTIF(Atas_Comite!$A$2:$A$301,J84)=0,"NÃO – ata não encontrada",IF(D84="Outra (aprovar em ata antes)","Verificar: fonte fora do guia","Sim")),"Incompleto"))</f>
        <v/>
      </c>
    </row>
    <row r="85">
      <c r="A85" s="15" t="n"/>
      <c r="B85" s="20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6">
        <f>IF(M85="","",IF(M85&lt;&gt;C85,"Sim","NÃO"))</f>
        <v/>
      </c>
      <c r="O85" s="16">
        <f>IF(A85="","",IF(AND(B85&lt;&gt;"",C85&lt;&gt;"",D85&lt;&gt;"",E85&lt;&gt;"",G85&lt;&gt;"",LEN(TRIM(H85))=64,I85&lt;&gt;"",J85&lt;&gt;""),IF(COUNTIF(Atas_Comite!$A$2:$A$301,J85)=0,"NÃO – ata não encontrada",IF(D85="Outra (aprovar em ata antes)","Verificar: fonte fora do guia","Sim")),"Incompleto"))</f>
        <v/>
      </c>
    </row>
    <row r="86">
      <c r="A86" s="15" t="n"/>
      <c r="B86" s="20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6">
        <f>IF(M86="","",IF(M86&lt;&gt;C86,"Sim","NÃO"))</f>
        <v/>
      </c>
      <c r="O86" s="16">
        <f>IF(A86="","",IF(AND(B86&lt;&gt;"",C86&lt;&gt;"",D86&lt;&gt;"",E86&lt;&gt;"",G86&lt;&gt;"",LEN(TRIM(H86))=64,I86&lt;&gt;"",J86&lt;&gt;""),IF(COUNTIF(Atas_Comite!$A$2:$A$301,J86)=0,"NÃO – ata não encontrada",IF(D86="Outra (aprovar em ata antes)","Verificar: fonte fora do guia","Sim")),"Incompleto"))</f>
        <v/>
      </c>
    </row>
    <row r="87">
      <c r="A87" s="15" t="n"/>
      <c r="B87" s="20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6">
        <f>IF(M87="","",IF(M87&lt;&gt;C87,"Sim","NÃO"))</f>
        <v/>
      </c>
      <c r="O87" s="16">
        <f>IF(A87="","",IF(AND(B87&lt;&gt;"",C87&lt;&gt;"",D87&lt;&gt;"",E87&lt;&gt;"",G87&lt;&gt;"",LEN(TRIM(H87))=64,I87&lt;&gt;"",J87&lt;&gt;""),IF(COUNTIF(Atas_Comite!$A$2:$A$301,J87)=0,"NÃO – ata não encontrada",IF(D87="Outra (aprovar em ata antes)","Verificar: fonte fora do guia","Sim")),"Incompleto"))</f>
        <v/>
      </c>
    </row>
    <row r="88">
      <c r="A88" s="15" t="n"/>
      <c r="B88" s="20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6">
        <f>IF(M88="","",IF(M88&lt;&gt;C88,"Sim","NÃO"))</f>
        <v/>
      </c>
      <c r="O88" s="16">
        <f>IF(A88="","",IF(AND(B88&lt;&gt;"",C88&lt;&gt;"",D88&lt;&gt;"",E88&lt;&gt;"",G88&lt;&gt;"",LEN(TRIM(H88))=64,I88&lt;&gt;"",J88&lt;&gt;""),IF(COUNTIF(Atas_Comite!$A$2:$A$301,J88)=0,"NÃO – ata não encontrada",IF(D88="Outra (aprovar em ata antes)","Verificar: fonte fora do guia","Sim")),"Incompleto"))</f>
        <v/>
      </c>
    </row>
    <row r="89">
      <c r="A89" s="15" t="n"/>
      <c r="B89" s="20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6">
        <f>IF(M89="","",IF(M89&lt;&gt;C89,"Sim","NÃO"))</f>
        <v/>
      </c>
      <c r="O89" s="16">
        <f>IF(A89="","",IF(AND(B89&lt;&gt;"",C89&lt;&gt;"",D89&lt;&gt;"",E89&lt;&gt;"",G89&lt;&gt;"",LEN(TRIM(H89))=64,I89&lt;&gt;"",J89&lt;&gt;""),IF(COUNTIF(Atas_Comite!$A$2:$A$301,J89)=0,"NÃO – ata não encontrada",IF(D89="Outra (aprovar em ata antes)","Verificar: fonte fora do guia","Sim")),"Incompleto"))</f>
        <v/>
      </c>
    </row>
    <row r="90">
      <c r="A90" s="15" t="n"/>
      <c r="B90" s="20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6">
        <f>IF(M90="","",IF(M90&lt;&gt;C90,"Sim","NÃO"))</f>
        <v/>
      </c>
      <c r="O90" s="16">
        <f>IF(A90="","",IF(AND(B90&lt;&gt;"",C90&lt;&gt;"",D90&lt;&gt;"",E90&lt;&gt;"",G90&lt;&gt;"",LEN(TRIM(H90))=64,I90&lt;&gt;"",J90&lt;&gt;""),IF(COUNTIF(Atas_Comite!$A$2:$A$301,J90)=0,"NÃO – ata não encontrada",IF(D90="Outra (aprovar em ata antes)","Verificar: fonte fora do guia","Sim")),"Incompleto"))</f>
        <v/>
      </c>
    </row>
    <row r="91">
      <c r="A91" s="15" t="n"/>
      <c r="B91" s="20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6">
        <f>IF(M91="","",IF(M91&lt;&gt;C91,"Sim","NÃO"))</f>
        <v/>
      </c>
      <c r="O91" s="16">
        <f>IF(A91="","",IF(AND(B91&lt;&gt;"",C91&lt;&gt;"",D91&lt;&gt;"",E91&lt;&gt;"",G91&lt;&gt;"",LEN(TRIM(H91))=64,I91&lt;&gt;"",J91&lt;&gt;""),IF(COUNTIF(Atas_Comite!$A$2:$A$301,J91)=0,"NÃO – ata não encontrada",IF(D91="Outra (aprovar em ata antes)","Verificar: fonte fora do guia","Sim")),"Incompleto"))</f>
        <v/>
      </c>
    </row>
    <row r="92">
      <c r="A92" s="15" t="n"/>
      <c r="B92" s="20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6">
        <f>IF(M92="","",IF(M92&lt;&gt;C92,"Sim","NÃO"))</f>
        <v/>
      </c>
      <c r="O92" s="16">
        <f>IF(A92="","",IF(AND(B92&lt;&gt;"",C92&lt;&gt;"",D92&lt;&gt;"",E92&lt;&gt;"",G92&lt;&gt;"",LEN(TRIM(H92))=64,I92&lt;&gt;"",J92&lt;&gt;""),IF(COUNTIF(Atas_Comite!$A$2:$A$301,J92)=0,"NÃO – ata não encontrada",IF(D92="Outra (aprovar em ata antes)","Verificar: fonte fora do guia","Sim")),"Incompleto"))</f>
        <v/>
      </c>
    </row>
    <row r="93">
      <c r="A93" s="15" t="n"/>
      <c r="B93" s="20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6">
        <f>IF(M93="","",IF(M93&lt;&gt;C93,"Sim","NÃO"))</f>
        <v/>
      </c>
      <c r="O93" s="16">
        <f>IF(A93="","",IF(AND(B93&lt;&gt;"",C93&lt;&gt;"",D93&lt;&gt;"",E93&lt;&gt;"",G93&lt;&gt;"",LEN(TRIM(H93))=64,I93&lt;&gt;"",J93&lt;&gt;""),IF(COUNTIF(Atas_Comite!$A$2:$A$301,J93)=0,"NÃO – ata não encontrada",IF(D93="Outra (aprovar em ata antes)","Verificar: fonte fora do guia","Sim")),"Incompleto"))</f>
        <v/>
      </c>
    </row>
    <row r="94">
      <c r="A94" s="15" t="n"/>
      <c r="B94" s="20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6">
        <f>IF(M94="","",IF(M94&lt;&gt;C94,"Sim","NÃO"))</f>
        <v/>
      </c>
      <c r="O94" s="16">
        <f>IF(A94="","",IF(AND(B94&lt;&gt;"",C94&lt;&gt;"",D94&lt;&gt;"",E94&lt;&gt;"",G94&lt;&gt;"",LEN(TRIM(H94))=64,I94&lt;&gt;"",J94&lt;&gt;""),IF(COUNTIF(Atas_Comite!$A$2:$A$301,J94)=0,"NÃO – ata não encontrada",IF(D94="Outra (aprovar em ata antes)","Verificar: fonte fora do guia","Sim")),"Incompleto"))</f>
        <v/>
      </c>
    </row>
    <row r="95">
      <c r="A95" s="15" t="n"/>
      <c r="B95" s="20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6">
        <f>IF(M95="","",IF(M95&lt;&gt;C95,"Sim","NÃO"))</f>
        <v/>
      </c>
      <c r="O95" s="16">
        <f>IF(A95="","",IF(AND(B95&lt;&gt;"",C95&lt;&gt;"",D95&lt;&gt;"",E95&lt;&gt;"",G95&lt;&gt;"",LEN(TRIM(H95))=64,I95&lt;&gt;"",J95&lt;&gt;""),IF(COUNTIF(Atas_Comite!$A$2:$A$301,J95)=0,"NÃO – ata não encontrada",IF(D95="Outra (aprovar em ata antes)","Verificar: fonte fora do guia","Sim")),"Incompleto"))</f>
        <v/>
      </c>
    </row>
    <row r="96">
      <c r="A96" s="15" t="n"/>
      <c r="B96" s="20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6">
        <f>IF(M96="","",IF(M96&lt;&gt;C96,"Sim","NÃO"))</f>
        <v/>
      </c>
      <c r="O96" s="16">
        <f>IF(A96="","",IF(AND(B96&lt;&gt;"",C96&lt;&gt;"",D96&lt;&gt;"",E96&lt;&gt;"",G96&lt;&gt;"",LEN(TRIM(H96))=64,I96&lt;&gt;"",J96&lt;&gt;""),IF(COUNTIF(Atas_Comite!$A$2:$A$301,J96)=0,"NÃO – ata não encontrada",IF(D96="Outra (aprovar em ata antes)","Verificar: fonte fora do guia","Sim")),"Incompleto"))</f>
        <v/>
      </c>
    </row>
    <row r="97">
      <c r="A97" s="15" t="n"/>
      <c r="B97" s="20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6">
        <f>IF(M97="","",IF(M97&lt;&gt;C97,"Sim","NÃO"))</f>
        <v/>
      </c>
      <c r="O97" s="16">
        <f>IF(A97="","",IF(AND(B97&lt;&gt;"",C97&lt;&gt;"",D97&lt;&gt;"",E97&lt;&gt;"",G97&lt;&gt;"",LEN(TRIM(H97))=64,I97&lt;&gt;"",J97&lt;&gt;""),IF(COUNTIF(Atas_Comite!$A$2:$A$301,J97)=0,"NÃO – ata não encontrada",IF(D97="Outra (aprovar em ata antes)","Verificar: fonte fora do guia","Sim")),"Incompleto"))</f>
        <v/>
      </c>
    </row>
    <row r="98">
      <c r="A98" s="15" t="n"/>
      <c r="B98" s="20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6">
        <f>IF(M98="","",IF(M98&lt;&gt;C98,"Sim","NÃO"))</f>
        <v/>
      </c>
      <c r="O98" s="16">
        <f>IF(A98="","",IF(AND(B98&lt;&gt;"",C98&lt;&gt;"",D98&lt;&gt;"",E98&lt;&gt;"",G98&lt;&gt;"",LEN(TRIM(H98))=64,I98&lt;&gt;"",J98&lt;&gt;""),IF(COUNTIF(Atas_Comite!$A$2:$A$301,J98)=0,"NÃO – ata não encontrada",IF(D98="Outra (aprovar em ata antes)","Verificar: fonte fora do guia","Sim")),"Incompleto"))</f>
        <v/>
      </c>
    </row>
    <row r="99">
      <c r="A99" s="15" t="n"/>
      <c r="B99" s="20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6">
        <f>IF(M99="","",IF(M99&lt;&gt;C99,"Sim","NÃO"))</f>
        <v/>
      </c>
      <c r="O99" s="16">
        <f>IF(A99="","",IF(AND(B99&lt;&gt;"",C99&lt;&gt;"",D99&lt;&gt;"",E99&lt;&gt;"",G99&lt;&gt;"",LEN(TRIM(H99))=64,I99&lt;&gt;"",J99&lt;&gt;""),IF(COUNTIF(Atas_Comite!$A$2:$A$301,J99)=0,"NÃO – ata não encontrada",IF(D99="Outra (aprovar em ata antes)","Verificar: fonte fora do guia","Sim")),"Incompleto"))</f>
        <v/>
      </c>
    </row>
    <row r="100">
      <c r="A100" s="15" t="n"/>
      <c r="B100" s="20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6">
        <f>IF(M100="","",IF(M100&lt;&gt;C100,"Sim","NÃO"))</f>
        <v/>
      </c>
      <c r="O100" s="16">
        <f>IF(A100="","",IF(AND(B100&lt;&gt;"",C100&lt;&gt;"",D100&lt;&gt;"",E100&lt;&gt;"",G100&lt;&gt;"",LEN(TRIM(H100))=64,I100&lt;&gt;"",J100&lt;&gt;""),IF(COUNTIF(Atas_Comite!$A$2:$A$301,J100)=0,"NÃO – ata não encontrada",IF(D100="Outra (aprovar em ata antes)","Verificar: fonte fora do guia","Sim")),"Incompleto"))</f>
        <v/>
      </c>
    </row>
    <row r="101">
      <c r="A101" s="15" t="n"/>
      <c r="B101" s="20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6">
        <f>IF(M101="","",IF(M101&lt;&gt;C101,"Sim","NÃO"))</f>
        <v/>
      </c>
      <c r="O101" s="16">
        <f>IF(A101="","",IF(AND(B101&lt;&gt;"",C101&lt;&gt;"",D101&lt;&gt;"",E101&lt;&gt;"",G101&lt;&gt;"",LEN(TRIM(H101))=64,I101&lt;&gt;"",J101&lt;&gt;""),IF(COUNTIF(Atas_Comite!$A$2:$A$301,J101)=0,"NÃO – ata não encontrada",IF(D101="Outra (aprovar em ata antes)","Verificar: fonte fora do guia","Sim")),"Incompleto"))</f>
        <v/>
      </c>
    </row>
    <row r="102">
      <c r="A102" s="15" t="n"/>
      <c r="B102" s="20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6">
        <f>IF(M102="","",IF(M102&lt;&gt;C102,"Sim","NÃO"))</f>
        <v/>
      </c>
      <c r="O102" s="16">
        <f>IF(A102="","",IF(AND(B102&lt;&gt;"",C102&lt;&gt;"",D102&lt;&gt;"",E102&lt;&gt;"",G102&lt;&gt;"",LEN(TRIM(H102))=64,I102&lt;&gt;"",J102&lt;&gt;""),IF(COUNTIF(Atas_Comite!$A$2:$A$301,J102)=0,"NÃO – ata não encontrada",IF(D102="Outra (aprovar em ata antes)","Verificar: fonte fora do guia","Sim")),"Incompleto"))</f>
        <v/>
      </c>
    </row>
    <row r="103">
      <c r="A103" s="15" t="n"/>
      <c r="B103" s="20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6">
        <f>IF(M103="","",IF(M103&lt;&gt;C103,"Sim","NÃO"))</f>
        <v/>
      </c>
      <c r="O103" s="16">
        <f>IF(A103="","",IF(AND(B103&lt;&gt;"",C103&lt;&gt;"",D103&lt;&gt;"",E103&lt;&gt;"",G103&lt;&gt;"",LEN(TRIM(H103))=64,I103&lt;&gt;"",J103&lt;&gt;""),IF(COUNTIF(Atas_Comite!$A$2:$A$301,J103)=0,"NÃO – ata não encontrada",IF(D103="Outra (aprovar em ata antes)","Verificar: fonte fora do guia","Sim")),"Incompleto"))</f>
        <v/>
      </c>
    </row>
    <row r="104">
      <c r="A104" s="15" t="n"/>
      <c r="B104" s="20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6">
        <f>IF(M104="","",IF(M104&lt;&gt;C104,"Sim","NÃO"))</f>
        <v/>
      </c>
      <c r="O104" s="16">
        <f>IF(A104="","",IF(AND(B104&lt;&gt;"",C104&lt;&gt;"",D104&lt;&gt;"",E104&lt;&gt;"",G104&lt;&gt;"",LEN(TRIM(H104))=64,I104&lt;&gt;"",J104&lt;&gt;""),IF(COUNTIF(Atas_Comite!$A$2:$A$301,J104)=0,"NÃO – ata não encontrada",IF(D104="Outra (aprovar em ata antes)","Verificar: fonte fora do guia","Sim")),"Incompleto"))</f>
        <v/>
      </c>
    </row>
    <row r="105">
      <c r="A105" s="15" t="n"/>
      <c r="B105" s="20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6">
        <f>IF(M105="","",IF(M105&lt;&gt;C105,"Sim","NÃO"))</f>
        <v/>
      </c>
      <c r="O105" s="16">
        <f>IF(A105="","",IF(AND(B105&lt;&gt;"",C105&lt;&gt;"",D105&lt;&gt;"",E105&lt;&gt;"",G105&lt;&gt;"",LEN(TRIM(H105))=64,I105&lt;&gt;"",J105&lt;&gt;""),IF(COUNTIF(Atas_Comite!$A$2:$A$301,J105)=0,"NÃO – ata não encontrada",IF(D105="Outra (aprovar em ata antes)","Verificar: fonte fora do guia","Sim")),"Incompleto"))</f>
        <v/>
      </c>
    </row>
    <row r="106">
      <c r="A106" s="15" t="n"/>
      <c r="B106" s="20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6">
        <f>IF(M106="","",IF(M106&lt;&gt;C106,"Sim","NÃO"))</f>
        <v/>
      </c>
      <c r="O106" s="16">
        <f>IF(A106="","",IF(AND(B106&lt;&gt;"",C106&lt;&gt;"",D106&lt;&gt;"",E106&lt;&gt;"",G106&lt;&gt;"",LEN(TRIM(H106))=64,I106&lt;&gt;"",J106&lt;&gt;""),IF(COUNTIF(Atas_Comite!$A$2:$A$301,J106)=0,"NÃO – ata não encontrada",IF(D106="Outra (aprovar em ata antes)","Verificar: fonte fora do guia","Sim")),"Incompleto"))</f>
        <v/>
      </c>
    </row>
    <row r="107">
      <c r="A107" s="15" t="n"/>
      <c r="B107" s="20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6">
        <f>IF(M107="","",IF(M107&lt;&gt;C107,"Sim","NÃO"))</f>
        <v/>
      </c>
      <c r="O107" s="16">
        <f>IF(A107="","",IF(AND(B107&lt;&gt;"",C107&lt;&gt;"",D107&lt;&gt;"",E107&lt;&gt;"",G107&lt;&gt;"",LEN(TRIM(H107))=64,I107&lt;&gt;"",J107&lt;&gt;""),IF(COUNTIF(Atas_Comite!$A$2:$A$301,J107)=0,"NÃO – ata não encontrada",IF(D107="Outra (aprovar em ata antes)","Verificar: fonte fora do guia","Sim")),"Incompleto"))</f>
        <v/>
      </c>
    </row>
    <row r="108">
      <c r="A108" s="15" t="n"/>
      <c r="B108" s="20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6">
        <f>IF(M108="","",IF(M108&lt;&gt;C108,"Sim","NÃO"))</f>
        <v/>
      </c>
      <c r="O108" s="16">
        <f>IF(A108="","",IF(AND(B108&lt;&gt;"",C108&lt;&gt;"",D108&lt;&gt;"",E108&lt;&gt;"",G108&lt;&gt;"",LEN(TRIM(H108))=64,I108&lt;&gt;"",J108&lt;&gt;""),IF(COUNTIF(Atas_Comite!$A$2:$A$301,J108)=0,"NÃO – ata não encontrada",IF(D108="Outra (aprovar em ata antes)","Verificar: fonte fora do guia","Sim")),"Incompleto"))</f>
        <v/>
      </c>
    </row>
    <row r="109">
      <c r="A109" s="15" t="n"/>
      <c r="B109" s="20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6">
        <f>IF(M109="","",IF(M109&lt;&gt;C109,"Sim","NÃO"))</f>
        <v/>
      </c>
      <c r="O109" s="16">
        <f>IF(A109="","",IF(AND(B109&lt;&gt;"",C109&lt;&gt;"",D109&lt;&gt;"",E109&lt;&gt;"",G109&lt;&gt;"",LEN(TRIM(H109))=64,I109&lt;&gt;"",J109&lt;&gt;""),IF(COUNTIF(Atas_Comite!$A$2:$A$301,J109)=0,"NÃO – ata não encontrada",IF(D109="Outra (aprovar em ata antes)","Verificar: fonte fora do guia","Sim")),"Incompleto"))</f>
        <v/>
      </c>
    </row>
    <row r="110">
      <c r="A110" s="15" t="n"/>
      <c r="B110" s="20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6">
        <f>IF(M110="","",IF(M110&lt;&gt;C110,"Sim","NÃO"))</f>
        <v/>
      </c>
      <c r="O110" s="16">
        <f>IF(A110="","",IF(AND(B110&lt;&gt;"",C110&lt;&gt;"",D110&lt;&gt;"",E110&lt;&gt;"",G110&lt;&gt;"",LEN(TRIM(H110))=64,I110&lt;&gt;"",J110&lt;&gt;""),IF(COUNTIF(Atas_Comite!$A$2:$A$301,J110)=0,"NÃO – ata não encontrada",IF(D110="Outra (aprovar em ata antes)","Verificar: fonte fora do guia","Sim")),"Incompleto"))</f>
        <v/>
      </c>
    </row>
    <row r="111">
      <c r="A111" s="15" t="n"/>
      <c r="B111" s="20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6">
        <f>IF(M111="","",IF(M111&lt;&gt;C111,"Sim","NÃO"))</f>
        <v/>
      </c>
      <c r="O111" s="16">
        <f>IF(A111="","",IF(AND(B111&lt;&gt;"",C111&lt;&gt;"",D111&lt;&gt;"",E111&lt;&gt;"",G111&lt;&gt;"",LEN(TRIM(H111))=64,I111&lt;&gt;"",J111&lt;&gt;""),IF(COUNTIF(Atas_Comite!$A$2:$A$301,J111)=0,"NÃO – ata não encontrada",IF(D111="Outra (aprovar em ata antes)","Verificar: fonte fora do guia","Sim")),"Incompleto"))</f>
        <v/>
      </c>
    </row>
    <row r="112">
      <c r="A112" s="15" t="n"/>
      <c r="B112" s="20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6">
        <f>IF(M112="","",IF(M112&lt;&gt;C112,"Sim","NÃO"))</f>
        <v/>
      </c>
      <c r="O112" s="16">
        <f>IF(A112="","",IF(AND(B112&lt;&gt;"",C112&lt;&gt;"",D112&lt;&gt;"",E112&lt;&gt;"",G112&lt;&gt;"",LEN(TRIM(H112))=64,I112&lt;&gt;"",J112&lt;&gt;""),IF(COUNTIF(Atas_Comite!$A$2:$A$301,J112)=0,"NÃO – ata não encontrada",IF(D112="Outra (aprovar em ata antes)","Verificar: fonte fora do guia","Sim")),"Incompleto"))</f>
        <v/>
      </c>
    </row>
    <row r="113">
      <c r="A113" s="15" t="n"/>
      <c r="B113" s="20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6">
        <f>IF(M113="","",IF(M113&lt;&gt;C113,"Sim","NÃO"))</f>
        <v/>
      </c>
      <c r="O113" s="16">
        <f>IF(A113="","",IF(AND(B113&lt;&gt;"",C113&lt;&gt;"",D113&lt;&gt;"",E113&lt;&gt;"",G113&lt;&gt;"",LEN(TRIM(H113))=64,I113&lt;&gt;"",J113&lt;&gt;""),IF(COUNTIF(Atas_Comite!$A$2:$A$301,J113)=0,"NÃO – ata não encontrada",IF(D113="Outra (aprovar em ata antes)","Verificar: fonte fora do guia","Sim")),"Incompleto"))</f>
        <v/>
      </c>
    </row>
    <row r="114">
      <c r="A114" s="15" t="n"/>
      <c r="B114" s="20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6">
        <f>IF(M114="","",IF(M114&lt;&gt;C114,"Sim","NÃO"))</f>
        <v/>
      </c>
      <c r="O114" s="16">
        <f>IF(A114="","",IF(AND(B114&lt;&gt;"",C114&lt;&gt;"",D114&lt;&gt;"",E114&lt;&gt;"",G114&lt;&gt;"",LEN(TRIM(H114))=64,I114&lt;&gt;"",J114&lt;&gt;""),IF(COUNTIF(Atas_Comite!$A$2:$A$301,J114)=0,"NÃO – ata não encontrada",IF(D114="Outra (aprovar em ata antes)","Verificar: fonte fora do guia","Sim")),"Incompleto"))</f>
        <v/>
      </c>
    </row>
    <row r="115">
      <c r="A115" s="15" t="n"/>
      <c r="B115" s="20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6">
        <f>IF(M115="","",IF(M115&lt;&gt;C115,"Sim","NÃO"))</f>
        <v/>
      </c>
      <c r="O115" s="16">
        <f>IF(A115="","",IF(AND(B115&lt;&gt;"",C115&lt;&gt;"",D115&lt;&gt;"",E115&lt;&gt;"",G115&lt;&gt;"",LEN(TRIM(H115))=64,I115&lt;&gt;"",J115&lt;&gt;""),IF(COUNTIF(Atas_Comite!$A$2:$A$301,J115)=0,"NÃO – ata não encontrada",IF(D115="Outra (aprovar em ata antes)","Verificar: fonte fora do guia","Sim")),"Incompleto"))</f>
        <v/>
      </c>
    </row>
    <row r="116">
      <c r="A116" s="15" t="n"/>
      <c r="B116" s="20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6">
        <f>IF(M116="","",IF(M116&lt;&gt;C116,"Sim","NÃO"))</f>
        <v/>
      </c>
      <c r="O116" s="16">
        <f>IF(A116="","",IF(AND(B116&lt;&gt;"",C116&lt;&gt;"",D116&lt;&gt;"",E116&lt;&gt;"",G116&lt;&gt;"",LEN(TRIM(H116))=64,I116&lt;&gt;"",J116&lt;&gt;""),IF(COUNTIF(Atas_Comite!$A$2:$A$301,J116)=0,"NÃO – ata não encontrada",IF(D116="Outra (aprovar em ata antes)","Verificar: fonte fora do guia","Sim")),"Incompleto"))</f>
        <v/>
      </c>
    </row>
    <row r="117">
      <c r="A117" s="15" t="n"/>
      <c r="B117" s="20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6">
        <f>IF(M117="","",IF(M117&lt;&gt;C117,"Sim","NÃO"))</f>
        <v/>
      </c>
      <c r="O117" s="16">
        <f>IF(A117="","",IF(AND(B117&lt;&gt;"",C117&lt;&gt;"",D117&lt;&gt;"",E117&lt;&gt;"",G117&lt;&gt;"",LEN(TRIM(H117))=64,I117&lt;&gt;"",J117&lt;&gt;""),IF(COUNTIF(Atas_Comite!$A$2:$A$301,J117)=0,"NÃO – ata não encontrada",IF(D117="Outra (aprovar em ata antes)","Verificar: fonte fora do guia","Sim")),"Incompleto"))</f>
        <v/>
      </c>
    </row>
    <row r="118">
      <c r="A118" s="15" t="n"/>
      <c r="B118" s="20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6">
        <f>IF(M118="","",IF(M118&lt;&gt;C118,"Sim","NÃO"))</f>
        <v/>
      </c>
      <c r="O118" s="16">
        <f>IF(A118="","",IF(AND(B118&lt;&gt;"",C118&lt;&gt;"",D118&lt;&gt;"",E118&lt;&gt;"",G118&lt;&gt;"",LEN(TRIM(H118))=64,I118&lt;&gt;"",J118&lt;&gt;""),IF(COUNTIF(Atas_Comite!$A$2:$A$301,J118)=0,"NÃO – ata não encontrada",IF(D118="Outra (aprovar em ata antes)","Verificar: fonte fora do guia","Sim")),"Incompleto"))</f>
        <v/>
      </c>
    </row>
    <row r="119">
      <c r="A119" s="15" t="n"/>
      <c r="B119" s="20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6">
        <f>IF(M119="","",IF(M119&lt;&gt;C119,"Sim","NÃO"))</f>
        <v/>
      </c>
      <c r="O119" s="16">
        <f>IF(A119="","",IF(AND(B119&lt;&gt;"",C119&lt;&gt;"",D119&lt;&gt;"",E119&lt;&gt;"",G119&lt;&gt;"",LEN(TRIM(H119))=64,I119&lt;&gt;"",J119&lt;&gt;""),IF(COUNTIF(Atas_Comite!$A$2:$A$301,J119)=0,"NÃO – ata não encontrada",IF(D119="Outra (aprovar em ata antes)","Verificar: fonte fora do guia","Sim")),"Incompleto"))</f>
        <v/>
      </c>
    </row>
    <row r="120">
      <c r="A120" s="15" t="n"/>
      <c r="B120" s="20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6">
        <f>IF(M120="","",IF(M120&lt;&gt;C120,"Sim","NÃO"))</f>
        <v/>
      </c>
      <c r="O120" s="16">
        <f>IF(A120="","",IF(AND(B120&lt;&gt;"",C120&lt;&gt;"",D120&lt;&gt;"",E120&lt;&gt;"",G120&lt;&gt;"",LEN(TRIM(H120))=64,I120&lt;&gt;"",J120&lt;&gt;""),IF(COUNTIF(Atas_Comite!$A$2:$A$301,J120)=0,"NÃO – ata não encontrada",IF(D120="Outra (aprovar em ata antes)","Verificar: fonte fora do guia","Sim")),"Incompleto"))</f>
        <v/>
      </c>
    </row>
    <row r="121">
      <c r="A121" s="15" t="n"/>
      <c r="B121" s="20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6">
        <f>IF(M121="","",IF(M121&lt;&gt;C121,"Sim","NÃO"))</f>
        <v/>
      </c>
      <c r="O121" s="16">
        <f>IF(A121="","",IF(AND(B121&lt;&gt;"",C121&lt;&gt;"",D121&lt;&gt;"",E121&lt;&gt;"",G121&lt;&gt;"",LEN(TRIM(H121))=64,I121&lt;&gt;"",J121&lt;&gt;""),IF(COUNTIF(Atas_Comite!$A$2:$A$301,J121)=0,"NÃO – ata não encontrada",IF(D121="Outra (aprovar em ata antes)","Verificar: fonte fora do guia","Sim")),"Incompleto"))</f>
        <v/>
      </c>
    </row>
    <row r="122">
      <c r="A122" s="15" t="n"/>
      <c r="B122" s="20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6">
        <f>IF(M122="","",IF(M122&lt;&gt;C122,"Sim","NÃO"))</f>
        <v/>
      </c>
      <c r="O122" s="16">
        <f>IF(A122="","",IF(AND(B122&lt;&gt;"",C122&lt;&gt;"",D122&lt;&gt;"",E122&lt;&gt;"",G122&lt;&gt;"",LEN(TRIM(H122))=64,I122&lt;&gt;"",J122&lt;&gt;""),IF(COUNTIF(Atas_Comite!$A$2:$A$301,J122)=0,"NÃO – ata não encontrada",IF(D122="Outra (aprovar em ata antes)","Verificar: fonte fora do guia","Sim")),"Incompleto"))</f>
        <v/>
      </c>
    </row>
    <row r="123">
      <c r="A123" s="15" t="n"/>
      <c r="B123" s="20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6">
        <f>IF(M123="","",IF(M123&lt;&gt;C123,"Sim","NÃO"))</f>
        <v/>
      </c>
      <c r="O123" s="16">
        <f>IF(A123="","",IF(AND(B123&lt;&gt;"",C123&lt;&gt;"",D123&lt;&gt;"",E123&lt;&gt;"",G123&lt;&gt;"",LEN(TRIM(H123))=64,I123&lt;&gt;"",J123&lt;&gt;""),IF(COUNTIF(Atas_Comite!$A$2:$A$301,J123)=0,"NÃO – ata não encontrada",IF(D123="Outra (aprovar em ata antes)","Verificar: fonte fora do guia","Sim")),"Incompleto"))</f>
        <v/>
      </c>
    </row>
    <row r="124">
      <c r="A124" s="15" t="n"/>
      <c r="B124" s="20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6">
        <f>IF(M124="","",IF(M124&lt;&gt;C124,"Sim","NÃO"))</f>
        <v/>
      </c>
      <c r="O124" s="16">
        <f>IF(A124="","",IF(AND(B124&lt;&gt;"",C124&lt;&gt;"",D124&lt;&gt;"",E124&lt;&gt;"",G124&lt;&gt;"",LEN(TRIM(H124))=64,I124&lt;&gt;"",J124&lt;&gt;""),IF(COUNTIF(Atas_Comite!$A$2:$A$301,J124)=0,"NÃO – ata não encontrada",IF(D124="Outra (aprovar em ata antes)","Verificar: fonte fora do guia","Sim")),"Incompleto"))</f>
        <v/>
      </c>
    </row>
    <row r="125">
      <c r="A125" s="15" t="n"/>
      <c r="B125" s="20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6">
        <f>IF(M125="","",IF(M125&lt;&gt;C125,"Sim","NÃO"))</f>
        <v/>
      </c>
      <c r="O125" s="16">
        <f>IF(A125="","",IF(AND(B125&lt;&gt;"",C125&lt;&gt;"",D125&lt;&gt;"",E125&lt;&gt;"",G125&lt;&gt;"",LEN(TRIM(H125))=64,I125&lt;&gt;"",J125&lt;&gt;""),IF(COUNTIF(Atas_Comite!$A$2:$A$301,J125)=0,"NÃO – ata não encontrada",IF(D125="Outra (aprovar em ata antes)","Verificar: fonte fora do guia","Sim")),"Incompleto"))</f>
        <v/>
      </c>
    </row>
    <row r="126">
      <c r="A126" s="15" t="n"/>
      <c r="B126" s="20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6">
        <f>IF(M126="","",IF(M126&lt;&gt;C126,"Sim","NÃO"))</f>
        <v/>
      </c>
      <c r="O126" s="16">
        <f>IF(A126="","",IF(AND(B126&lt;&gt;"",C126&lt;&gt;"",D126&lt;&gt;"",E126&lt;&gt;"",G126&lt;&gt;"",LEN(TRIM(H126))=64,I126&lt;&gt;"",J126&lt;&gt;""),IF(COUNTIF(Atas_Comite!$A$2:$A$301,J126)=0,"NÃO – ata não encontrada",IF(D126="Outra (aprovar em ata antes)","Verificar: fonte fora do guia","Sim")),"Incompleto"))</f>
        <v/>
      </c>
    </row>
    <row r="127">
      <c r="A127" s="15" t="n"/>
      <c r="B127" s="20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6">
        <f>IF(M127="","",IF(M127&lt;&gt;C127,"Sim","NÃO"))</f>
        <v/>
      </c>
      <c r="O127" s="16">
        <f>IF(A127="","",IF(AND(B127&lt;&gt;"",C127&lt;&gt;"",D127&lt;&gt;"",E127&lt;&gt;"",G127&lt;&gt;"",LEN(TRIM(H127))=64,I127&lt;&gt;"",J127&lt;&gt;""),IF(COUNTIF(Atas_Comite!$A$2:$A$301,J127)=0,"NÃO – ata não encontrada",IF(D127="Outra (aprovar em ata antes)","Verificar: fonte fora do guia","Sim")),"Incompleto"))</f>
        <v/>
      </c>
    </row>
    <row r="128">
      <c r="A128" s="15" t="n"/>
      <c r="B128" s="20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6">
        <f>IF(M128="","",IF(M128&lt;&gt;C128,"Sim","NÃO"))</f>
        <v/>
      </c>
      <c r="O128" s="16">
        <f>IF(A128="","",IF(AND(B128&lt;&gt;"",C128&lt;&gt;"",D128&lt;&gt;"",E128&lt;&gt;"",G128&lt;&gt;"",LEN(TRIM(H128))=64,I128&lt;&gt;"",J128&lt;&gt;""),IF(COUNTIF(Atas_Comite!$A$2:$A$301,J128)=0,"NÃO – ata não encontrada",IF(D128="Outra (aprovar em ata antes)","Verificar: fonte fora do guia","Sim")),"Incompleto"))</f>
        <v/>
      </c>
    </row>
    <row r="129">
      <c r="A129" s="15" t="n"/>
      <c r="B129" s="20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6">
        <f>IF(M129="","",IF(M129&lt;&gt;C129,"Sim","NÃO"))</f>
        <v/>
      </c>
      <c r="O129" s="16">
        <f>IF(A129="","",IF(AND(B129&lt;&gt;"",C129&lt;&gt;"",D129&lt;&gt;"",E129&lt;&gt;"",G129&lt;&gt;"",LEN(TRIM(H129))=64,I129&lt;&gt;"",J129&lt;&gt;""),IF(COUNTIF(Atas_Comite!$A$2:$A$301,J129)=0,"NÃO – ata não encontrada",IF(D129="Outra (aprovar em ata antes)","Verificar: fonte fora do guia","Sim")),"Incompleto"))</f>
        <v/>
      </c>
    </row>
    <row r="130">
      <c r="A130" s="15" t="n"/>
      <c r="B130" s="20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6">
        <f>IF(M130="","",IF(M130&lt;&gt;C130,"Sim","NÃO"))</f>
        <v/>
      </c>
      <c r="O130" s="16">
        <f>IF(A130="","",IF(AND(B130&lt;&gt;"",C130&lt;&gt;"",D130&lt;&gt;"",E130&lt;&gt;"",G130&lt;&gt;"",LEN(TRIM(H130))=64,I130&lt;&gt;"",J130&lt;&gt;""),IF(COUNTIF(Atas_Comite!$A$2:$A$301,J130)=0,"NÃO – ata não encontrada",IF(D130="Outra (aprovar em ata antes)","Verificar: fonte fora do guia","Sim")),"Incompleto"))</f>
        <v/>
      </c>
    </row>
    <row r="131">
      <c r="A131" s="15" t="n"/>
      <c r="B131" s="20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6">
        <f>IF(M131="","",IF(M131&lt;&gt;C131,"Sim","NÃO"))</f>
        <v/>
      </c>
      <c r="O131" s="16">
        <f>IF(A131="","",IF(AND(B131&lt;&gt;"",C131&lt;&gt;"",D131&lt;&gt;"",E131&lt;&gt;"",G131&lt;&gt;"",LEN(TRIM(H131))=64,I131&lt;&gt;"",J131&lt;&gt;""),IF(COUNTIF(Atas_Comite!$A$2:$A$301,J131)=0,"NÃO – ata não encontrada",IF(D131="Outra (aprovar em ata antes)","Verificar: fonte fora do guia","Sim")),"Incompleto"))</f>
        <v/>
      </c>
    </row>
    <row r="132">
      <c r="A132" s="15" t="n"/>
      <c r="B132" s="20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6">
        <f>IF(M132="","",IF(M132&lt;&gt;C132,"Sim","NÃO"))</f>
        <v/>
      </c>
      <c r="O132" s="16">
        <f>IF(A132="","",IF(AND(B132&lt;&gt;"",C132&lt;&gt;"",D132&lt;&gt;"",E132&lt;&gt;"",G132&lt;&gt;"",LEN(TRIM(H132))=64,I132&lt;&gt;"",J132&lt;&gt;""),IF(COUNTIF(Atas_Comite!$A$2:$A$301,J132)=0,"NÃO – ata não encontrada",IF(D132="Outra (aprovar em ata antes)","Verificar: fonte fora do guia","Sim")),"Incompleto"))</f>
        <v/>
      </c>
    </row>
    <row r="133">
      <c r="A133" s="15" t="n"/>
      <c r="B133" s="20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6">
        <f>IF(M133="","",IF(M133&lt;&gt;C133,"Sim","NÃO"))</f>
        <v/>
      </c>
      <c r="O133" s="16">
        <f>IF(A133="","",IF(AND(B133&lt;&gt;"",C133&lt;&gt;"",D133&lt;&gt;"",E133&lt;&gt;"",G133&lt;&gt;"",LEN(TRIM(H133))=64,I133&lt;&gt;"",J133&lt;&gt;""),IF(COUNTIF(Atas_Comite!$A$2:$A$301,J133)=0,"NÃO – ata não encontrada",IF(D133="Outra (aprovar em ata antes)","Verificar: fonte fora do guia","Sim")),"Incompleto"))</f>
        <v/>
      </c>
    </row>
    <row r="134">
      <c r="A134" s="15" t="n"/>
      <c r="B134" s="20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6">
        <f>IF(M134="","",IF(M134&lt;&gt;C134,"Sim","NÃO"))</f>
        <v/>
      </c>
      <c r="O134" s="16">
        <f>IF(A134="","",IF(AND(B134&lt;&gt;"",C134&lt;&gt;"",D134&lt;&gt;"",E134&lt;&gt;"",G134&lt;&gt;"",LEN(TRIM(H134))=64,I134&lt;&gt;"",J134&lt;&gt;""),IF(COUNTIF(Atas_Comite!$A$2:$A$301,J134)=0,"NÃO – ata não encontrada",IF(D134="Outra (aprovar em ata antes)","Verificar: fonte fora do guia","Sim")),"Incompleto"))</f>
        <v/>
      </c>
    </row>
    <row r="135">
      <c r="A135" s="15" t="n"/>
      <c r="B135" s="20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6">
        <f>IF(M135="","",IF(M135&lt;&gt;C135,"Sim","NÃO"))</f>
        <v/>
      </c>
      <c r="O135" s="16">
        <f>IF(A135="","",IF(AND(B135&lt;&gt;"",C135&lt;&gt;"",D135&lt;&gt;"",E135&lt;&gt;"",G135&lt;&gt;"",LEN(TRIM(H135))=64,I135&lt;&gt;"",J135&lt;&gt;""),IF(COUNTIF(Atas_Comite!$A$2:$A$301,J135)=0,"NÃO – ata não encontrada",IF(D135="Outra (aprovar em ata antes)","Verificar: fonte fora do guia","Sim")),"Incompleto"))</f>
        <v/>
      </c>
    </row>
    <row r="136">
      <c r="A136" s="15" t="n"/>
      <c r="B136" s="20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6">
        <f>IF(M136="","",IF(M136&lt;&gt;C136,"Sim","NÃO"))</f>
        <v/>
      </c>
      <c r="O136" s="16">
        <f>IF(A136="","",IF(AND(B136&lt;&gt;"",C136&lt;&gt;"",D136&lt;&gt;"",E136&lt;&gt;"",G136&lt;&gt;"",LEN(TRIM(H136))=64,I136&lt;&gt;"",J136&lt;&gt;""),IF(COUNTIF(Atas_Comite!$A$2:$A$301,J136)=0,"NÃO – ata não encontrada",IF(D136="Outra (aprovar em ata antes)","Verificar: fonte fora do guia","Sim")),"Incompleto"))</f>
        <v/>
      </c>
    </row>
    <row r="137">
      <c r="A137" s="15" t="n"/>
      <c r="B137" s="20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6">
        <f>IF(M137="","",IF(M137&lt;&gt;C137,"Sim","NÃO"))</f>
        <v/>
      </c>
      <c r="O137" s="16">
        <f>IF(A137="","",IF(AND(B137&lt;&gt;"",C137&lt;&gt;"",D137&lt;&gt;"",E137&lt;&gt;"",G137&lt;&gt;"",LEN(TRIM(H137))=64,I137&lt;&gt;"",J137&lt;&gt;""),IF(COUNTIF(Atas_Comite!$A$2:$A$301,J137)=0,"NÃO – ata não encontrada",IF(D137="Outra (aprovar em ata antes)","Verificar: fonte fora do guia","Sim")),"Incompleto"))</f>
        <v/>
      </c>
    </row>
    <row r="138">
      <c r="A138" s="15" t="n"/>
      <c r="B138" s="20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6">
        <f>IF(M138="","",IF(M138&lt;&gt;C138,"Sim","NÃO"))</f>
        <v/>
      </c>
      <c r="O138" s="16">
        <f>IF(A138="","",IF(AND(B138&lt;&gt;"",C138&lt;&gt;"",D138&lt;&gt;"",E138&lt;&gt;"",G138&lt;&gt;"",LEN(TRIM(H138))=64,I138&lt;&gt;"",J138&lt;&gt;""),IF(COUNTIF(Atas_Comite!$A$2:$A$301,J138)=0,"NÃO – ata não encontrada",IF(D138="Outra (aprovar em ata antes)","Verificar: fonte fora do guia","Sim")),"Incompleto"))</f>
        <v/>
      </c>
    </row>
    <row r="139">
      <c r="A139" s="15" t="n"/>
      <c r="B139" s="20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6">
        <f>IF(M139="","",IF(M139&lt;&gt;C139,"Sim","NÃO"))</f>
        <v/>
      </c>
      <c r="O139" s="16">
        <f>IF(A139="","",IF(AND(B139&lt;&gt;"",C139&lt;&gt;"",D139&lt;&gt;"",E139&lt;&gt;"",G139&lt;&gt;"",LEN(TRIM(H139))=64,I139&lt;&gt;"",J139&lt;&gt;""),IF(COUNTIF(Atas_Comite!$A$2:$A$301,J139)=0,"NÃO – ata não encontrada",IF(D139="Outra (aprovar em ata antes)","Verificar: fonte fora do guia","Sim")),"Incompleto"))</f>
        <v/>
      </c>
    </row>
    <row r="140">
      <c r="A140" s="15" t="n"/>
      <c r="B140" s="20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6">
        <f>IF(M140="","",IF(M140&lt;&gt;C140,"Sim","NÃO"))</f>
        <v/>
      </c>
      <c r="O140" s="16">
        <f>IF(A140="","",IF(AND(B140&lt;&gt;"",C140&lt;&gt;"",D140&lt;&gt;"",E140&lt;&gt;"",G140&lt;&gt;"",LEN(TRIM(H140))=64,I140&lt;&gt;"",J140&lt;&gt;""),IF(COUNTIF(Atas_Comite!$A$2:$A$301,J140)=0,"NÃO – ata não encontrada",IF(D140="Outra (aprovar em ata antes)","Verificar: fonte fora do guia","Sim")),"Incompleto"))</f>
        <v/>
      </c>
    </row>
    <row r="141">
      <c r="A141" s="15" t="n"/>
      <c r="B141" s="20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6">
        <f>IF(M141="","",IF(M141&lt;&gt;C141,"Sim","NÃO"))</f>
        <v/>
      </c>
      <c r="O141" s="16">
        <f>IF(A141="","",IF(AND(B141&lt;&gt;"",C141&lt;&gt;"",D141&lt;&gt;"",E141&lt;&gt;"",G141&lt;&gt;"",LEN(TRIM(H141))=64,I141&lt;&gt;"",J141&lt;&gt;""),IF(COUNTIF(Atas_Comite!$A$2:$A$301,J141)=0,"NÃO – ata não encontrada",IF(D141="Outra (aprovar em ata antes)","Verificar: fonte fora do guia","Sim")),"Incompleto"))</f>
        <v/>
      </c>
    </row>
    <row r="142">
      <c r="A142" s="15" t="n"/>
      <c r="B142" s="20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6">
        <f>IF(M142="","",IF(M142&lt;&gt;C142,"Sim","NÃO"))</f>
        <v/>
      </c>
      <c r="O142" s="16">
        <f>IF(A142="","",IF(AND(B142&lt;&gt;"",C142&lt;&gt;"",D142&lt;&gt;"",E142&lt;&gt;"",G142&lt;&gt;"",LEN(TRIM(H142))=64,I142&lt;&gt;"",J142&lt;&gt;""),IF(COUNTIF(Atas_Comite!$A$2:$A$301,J142)=0,"NÃO – ata não encontrada",IF(D142="Outra (aprovar em ata antes)","Verificar: fonte fora do guia","Sim")),"Incompleto"))</f>
        <v/>
      </c>
    </row>
    <row r="143">
      <c r="A143" s="15" t="n"/>
      <c r="B143" s="20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6">
        <f>IF(M143="","",IF(M143&lt;&gt;C143,"Sim","NÃO"))</f>
        <v/>
      </c>
      <c r="O143" s="16">
        <f>IF(A143="","",IF(AND(B143&lt;&gt;"",C143&lt;&gt;"",D143&lt;&gt;"",E143&lt;&gt;"",G143&lt;&gt;"",LEN(TRIM(H143))=64,I143&lt;&gt;"",J143&lt;&gt;""),IF(COUNTIF(Atas_Comite!$A$2:$A$301,J143)=0,"NÃO – ata não encontrada",IF(D143="Outra (aprovar em ata antes)","Verificar: fonte fora do guia","Sim")),"Incompleto"))</f>
        <v/>
      </c>
    </row>
    <row r="144">
      <c r="A144" s="15" t="n"/>
      <c r="B144" s="20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6">
        <f>IF(M144="","",IF(M144&lt;&gt;C144,"Sim","NÃO"))</f>
        <v/>
      </c>
      <c r="O144" s="16">
        <f>IF(A144="","",IF(AND(B144&lt;&gt;"",C144&lt;&gt;"",D144&lt;&gt;"",E144&lt;&gt;"",G144&lt;&gt;"",LEN(TRIM(H144))=64,I144&lt;&gt;"",J144&lt;&gt;""),IF(COUNTIF(Atas_Comite!$A$2:$A$301,J144)=0,"NÃO – ata não encontrada",IF(D144="Outra (aprovar em ata antes)","Verificar: fonte fora do guia","Sim")),"Incompleto"))</f>
        <v/>
      </c>
    </row>
    <row r="145">
      <c r="A145" s="15" t="n"/>
      <c r="B145" s="20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6">
        <f>IF(M145="","",IF(M145&lt;&gt;C145,"Sim","NÃO"))</f>
        <v/>
      </c>
      <c r="O145" s="16">
        <f>IF(A145="","",IF(AND(B145&lt;&gt;"",C145&lt;&gt;"",D145&lt;&gt;"",E145&lt;&gt;"",G145&lt;&gt;"",LEN(TRIM(H145))=64,I145&lt;&gt;"",J145&lt;&gt;""),IF(COUNTIF(Atas_Comite!$A$2:$A$301,J145)=0,"NÃO – ata não encontrada",IF(D145="Outra (aprovar em ata antes)","Verificar: fonte fora do guia","Sim")),"Incompleto"))</f>
        <v/>
      </c>
    </row>
    <row r="146">
      <c r="A146" s="15" t="n"/>
      <c r="B146" s="20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6">
        <f>IF(M146="","",IF(M146&lt;&gt;C146,"Sim","NÃO"))</f>
        <v/>
      </c>
      <c r="O146" s="16">
        <f>IF(A146="","",IF(AND(B146&lt;&gt;"",C146&lt;&gt;"",D146&lt;&gt;"",E146&lt;&gt;"",G146&lt;&gt;"",LEN(TRIM(H146))=64,I146&lt;&gt;"",J146&lt;&gt;""),IF(COUNTIF(Atas_Comite!$A$2:$A$301,J146)=0,"NÃO – ata não encontrada",IF(D146="Outra (aprovar em ata antes)","Verificar: fonte fora do guia","Sim")),"Incompleto"))</f>
        <v/>
      </c>
    </row>
    <row r="147">
      <c r="A147" s="15" t="n"/>
      <c r="B147" s="20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6">
        <f>IF(M147="","",IF(M147&lt;&gt;C147,"Sim","NÃO"))</f>
        <v/>
      </c>
      <c r="O147" s="16">
        <f>IF(A147="","",IF(AND(B147&lt;&gt;"",C147&lt;&gt;"",D147&lt;&gt;"",E147&lt;&gt;"",G147&lt;&gt;"",LEN(TRIM(H147))=64,I147&lt;&gt;"",J147&lt;&gt;""),IF(COUNTIF(Atas_Comite!$A$2:$A$301,J147)=0,"NÃO – ata não encontrada",IF(D147="Outra (aprovar em ata antes)","Verificar: fonte fora do guia","Sim")),"Incompleto"))</f>
        <v/>
      </c>
    </row>
    <row r="148">
      <c r="A148" s="15" t="n"/>
      <c r="B148" s="20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6">
        <f>IF(M148="","",IF(M148&lt;&gt;C148,"Sim","NÃO"))</f>
        <v/>
      </c>
      <c r="O148" s="16">
        <f>IF(A148="","",IF(AND(B148&lt;&gt;"",C148&lt;&gt;"",D148&lt;&gt;"",E148&lt;&gt;"",G148&lt;&gt;"",LEN(TRIM(H148))=64,I148&lt;&gt;"",J148&lt;&gt;""),IF(COUNTIF(Atas_Comite!$A$2:$A$301,J148)=0,"NÃO – ata não encontrada",IF(D148="Outra (aprovar em ata antes)","Verificar: fonte fora do guia","Sim")),"Incompleto"))</f>
        <v/>
      </c>
    </row>
    <row r="149">
      <c r="A149" s="15" t="n"/>
      <c r="B149" s="20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6">
        <f>IF(M149="","",IF(M149&lt;&gt;C149,"Sim","NÃO"))</f>
        <v/>
      </c>
      <c r="O149" s="16">
        <f>IF(A149="","",IF(AND(B149&lt;&gt;"",C149&lt;&gt;"",D149&lt;&gt;"",E149&lt;&gt;"",G149&lt;&gt;"",LEN(TRIM(H149))=64,I149&lt;&gt;"",J149&lt;&gt;""),IF(COUNTIF(Atas_Comite!$A$2:$A$301,J149)=0,"NÃO – ata não encontrada",IF(D149="Outra (aprovar em ata antes)","Verificar: fonte fora do guia","Sim")),"Incompleto"))</f>
        <v/>
      </c>
    </row>
    <row r="150">
      <c r="A150" s="15" t="n"/>
      <c r="B150" s="20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6">
        <f>IF(M150="","",IF(M150&lt;&gt;C150,"Sim","NÃO"))</f>
        <v/>
      </c>
      <c r="O150" s="16">
        <f>IF(A150="","",IF(AND(B150&lt;&gt;"",C150&lt;&gt;"",D150&lt;&gt;"",E150&lt;&gt;"",G150&lt;&gt;"",LEN(TRIM(H150))=64,I150&lt;&gt;"",J150&lt;&gt;""),IF(COUNTIF(Atas_Comite!$A$2:$A$301,J150)=0,"NÃO – ata não encontrada",IF(D150="Outra (aprovar em ata antes)","Verificar: fonte fora do guia","Sim")),"Incompleto"))</f>
        <v/>
      </c>
    </row>
    <row r="151">
      <c r="A151" s="15" t="n"/>
      <c r="B151" s="20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6">
        <f>IF(M151="","",IF(M151&lt;&gt;C151,"Sim","NÃO"))</f>
        <v/>
      </c>
      <c r="O151" s="16">
        <f>IF(A151="","",IF(AND(B151&lt;&gt;"",C151&lt;&gt;"",D151&lt;&gt;"",E151&lt;&gt;"",G151&lt;&gt;"",LEN(TRIM(H151))=64,I151&lt;&gt;"",J151&lt;&gt;""),IF(COUNTIF(Atas_Comite!$A$2:$A$301,J151)=0,"NÃO – ata não encontrada",IF(D151="Outra (aprovar em ata antes)","Verificar: fonte fora do guia","Sim")),"Incompleto"))</f>
        <v/>
      </c>
    </row>
    <row r="152">
      <c r="A152" s="15" t="n"/>
      <c r="B152" s="20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6">
        <f>IF(M152="","",IF(M152&lt;&gt;C152,"Sim","NÃO"))</f>
        <v/>
      </c>
      <c r="O152" s="16">
        <f>IF(A152="","",IF(AND(B152&lt;&gt;"",C152&lt;&gt;"",D152&lt;&gt;"",E152&lt;&gt;"",G152&lt;&gt;"",LEN(TRIM(H152))=64,I152&lt;&gt;"",J152&lt;&gt;""),IF(COUNTIF(Atas_Comite!$A$2:$A$301,J152)=0,"NÃO – ata não encontrada",IF(D152="Outra (aprovar em ata antes)","Verificar: fonte fora do guia","Sim")),"Incompleto"))</f>
        <v/>
      </c>
    </row>
    <row r="153">
      <c r="A153" s="15" t="n"/>
      <c r="B153" s="20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6">
        <f>IF(M153="","",IF(M153&lt;&gt;C153,"Sim","NÃO"))</f>
        <v/>
      </c>
      <c r="O153" s="16">
        <f>IF(A153="","",IF(AND(B153&lt;&gt;"",C153&lt;&gt;"",D153&lt;&gt;"",E153&lt;&gt;"",G153&lt;&gt;"",LEN(TRIM(H153))=64,I153&lt;&gt;"",J153&lt;&gt;""),IF(COUNTIF(Atas_Comite!$A$2:$A$301,J153)=0,"NÃO – ata não encontrada",IF(D153="Outra (aprovar em ata antes)","Verificar: fonte fora do guia","Sim")),"Incompleto"))</f>
        <v/>
      </c>
    </row>
    <row r="154">
      <c r="A154" s="15" t="n"/>
      <c r="B154" s="20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6">
        <f>IF(M154="","",IF(M154&lt;&gt;C154,"Sim","NÃO"))</f>
        <v/>
      </c>
      <c r="O154" s="16">
        <f>IF(A154="","",IF(AND(B154&lt;&gt;"",C154&lt;&gt;"",D154&lt;&gt;"",E154&lt;&gt;"",G154&lt;&gt;"",LEN(TRIM(H154))=64,I154&lt;&gt;"",J154&lt;&gt;""),IF(COUNTIF(Atas_Comite!$A$2:$A$301,J154)=0,"NÃO – ata não encontrada",IF(D154="Outra (aprovar em ata antes)","Verificar: fonte fora do guia","Sim")),"Incompleto"))</f>
        <v/>
      </c>
    </row>
    <row r="155">
      <c r="A155" s="15" t="n"/>
      <c r="B155" s="20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6">
        <f>IF(M155="","",IF(M155&lt;&gt;C155,"Sim","NÃO"))</f>
        <v/>
      </c>
      <c r="O155" s="16">
        <f>IF(A155="","",IF(AND(B155&lt;&gt;"",C155&lt;&gt;"",D155&lt;&gt;"",E155&lt;&gt;"",G155&lt;&gt;"",LEN(TRIM(H155))=64,I155&lt;&gt;"",J155&lt;&gt;""),IF(COUNTIF(Atas_Comite!$A$2:$A$301,J155)=0,"NÃO – ata não encontrada",IF(D155="Outra (aprovar em ata antes)","Verificar: fonte fora do guia","Sim")),"Incompleto"))</f>
        <v/>
      </c>
    </row>
    <row r="156">
      <c r="A156" s="15" t="n"/>
      <c r="B156" s="20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6">
        <f>IF(M156="","",IF(M156&lt;&gt;C156,"Sim","NÃO"))</f>
        <v/>
      </c>
      <c r="O156" s="16">
        <f>IF(A156="","",IF(AND(B156&lt;&gt;"",C156&lt;&gt;"",D156&lt;&gt;"",E156&lt;&gt;"",G156&lt;&gt;"",LEN(TRIM(H156))=64,I156&lt;&gt;"",J156&lt;&gt;""),IF(COUNTIF(Atas_Comite!$A$2:$A$301,J156)=0,"NÃO – ata não encontrada",IF(D156="Outra (aprovar em ata antes)","Verificar: fonte fora do guia","Sim")),"Incompleto"))</f>
        <v/>
      </c>
    </row>
    <row r="157">
      <c r="A157" s="15" t="n"/>
      <c r="B157" s="20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6">
        <f>IF(M157="","",IF(M157&lt;&gt;C157,"Sim","NÃO"))</f>
        <v/>
      </c>
      <c r="O157" s="16">
        <f>IF(A157="","",IF(AND(B157&lt;&gt;"",C157&lt;&gt;"",D157&lt;&gt;"",E157&lt;&gt;"",G157&lt;&gt;"",LEN(TRIM(H157))=64,I157&lt;&gt;"",J157&lt;&gt;""),IF(COUNTIF(Atas_Comite!$A$2:$A$301,J157)=0,"NÃO – ata não encontrada",IF(D157="Outra (aprovar em ata antes)","Verificar: fonte fora do guia","Sim")),"Incompleto"))</f>
        <v/>
      </c>
    </row>
    <row r="158">
      <c r="A158" s="15" t="n"/>
      <c r="B158" s="20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6">
        <f>IF(M158="","",IF(M158&lt;&gt;C158,"Sim","NÃO"))</f>
        <v/>
      </c>
      <c r="O158" s="16">
        <f>IF(A158="","",IF(AND(B158&lt;&gt;"",C158&lt;&gt;"",D158&lt;&gt;"",E158&lt;&gt;"",G158&lt;&gt;"",LEN(TRIM(H158))=64,I158&lt;&gt;"",J158&lt;&gt;""),IF(COUNTIF(Atas_Comite!$A$2:$A$301,J158)=0,"NÃO – ata não encontrada",IF(D158="Outra (aprovar em ata antes)","Verificar: fonte fora do guia","Sim")),"Incompleto"))</f>
        <v/>
      </c>
    </row>
    <row r="159">
      <c r="A159" s="15" t="n"/>
      <c r="B159" s="20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6">
        <f>IF(M159="","",IF(M159&lt;&gt;C159,"Sim","NÃO"))</f>
        <v/>
      </c>
      <c r="O159" s="16">
        <f>IF(A159="","",IF(AND(B159&lt;&gt;"",C159&lt;&gt;"",D159&lt;&gt;"",E159&lt;&gt;"",G159&lt;&gt;"",LEN(TRIM(H159))=64,I159&lt;&gt;"",J159&lt;&gt;""),IF(COUNTIF(Atas_Comite!$A$2:$A$301,J159)=0,"NÃO – ata não encontrada",IF(D159="Outra (aprovar em ata antes)","Verificar: fonte fora do guia","Sim")),"Incompleto"))</f>
        <v/>
      </c>
    </row>
    <row r="160">
      <c r="A160" s="15" t="n"/>
      <c r="B160" s="20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6">
        <f>IF(M160="","",IF(M160&lt;&gt;C160,"Sim","NÃO"))</f>
        <v/>
      </c>
      <c r="O160" s="16">
        <f>IF(A160="","",IF(AND(B160&lt;&gt;"",C160&lt;&gt;"",D160&lt;&gt;"",E160&lt;&gt;"",G160&lt;&gt;"",LEN(TRIM(H160))=64,I160&lt;&gt;"",J160&lt;&gt;""),IF(COUNTIF(Atas_Comite!$A$2:$A$301,J160)=0,"NÃO – ata não encontrada",IF(D160="Outra (aprovar em ata antes)","Verificar: fonte fora do guia","Sim")),"Incompleto"))</f>
        <v/>
      </c>
    </row>
    <row r="161">
      <c r="A161" s="15" t="n"/>
      <c r="B161" s="20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6">
        <f>IF(M161="","",IF(M161&lt;&gt;C161,"Sim","NÃO"))</f>
        <v/>
      </c>
      <c r="O161" s="16">
        <f>IF(A161="","",IF(AND(B161&lt;&gt;"",C161&lt;&gt;"",D161&lt;&gt;"",E161&lt;&gt;"",G161&lt;&gt;"",LEN(TRIM(H161))=64,I161&lt;&gt;"",J161&lt;&gt;""),IF(COUNTIF(Atas_Comite!$A$2:$A$301,J161)=0,"NÃO – ata não encontrada",IF(D161="Outra (aprovar em ata antes)","Verificar: fonte fora do guia","Sim")),"Incompleto"))</f>
        <v/>
      </c>
    </row>
    <row r="162">
      <c r="A162" s="15" t="n"/>
      <c r="B162" s="20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6">
        <f>IF(M162="","",IF(M162&lt;&gt;C162,"Sim","NÃO"))</f>
        <v/>
      </c>
      <c r="O162" s="16">
        <f>IF(A162="","",IF(AND(B162&lt;&gt;"",C162&lt;&gt;"",D162&lt;&gt;"",E162&lt;&gt;"",G162&lt;&gt;"",LEN(TRIM(H162))=64,I162&lt;&gt;"",J162&lt;&gt;""),IF(COUNTIF(Atas_Comite!$A$2:$A$301,J162)=0,"NÃO – ata não encontrada",IF(D162="Outra (aprovar em ata antes)","Verificar: fonte fora do guia","Sim")),"Incompleto"))</f>
        <v/>
      </c>
    </row>
    <row r="163">
      <c r="A163" s="15" t="n"/>
      <c r="B163" s="20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6">
        <f>IF(M163="","",IF(M163&lt;&gt;C163,"Sim","NÃO"))</f>
        <v/>
      </c>
      <c r="O163" s="16">
        <f>IF(A163="","",IF(AND(B163&lt;&gt;"",C163&lt;&gt;"",D163&lt;&gt;"",E163&lt;&gt;"",G163&lt;&gt;"",LEN(TRIM(H163))=64,I163&lt;&gt;"",J163&lt;&gt;""),IF(COUNTIF(Atas_Comite!$A$2:$A$301,J163)=0,"NÃO – ata não encontrada",IF(D163="Outra (aprovar em ata antes)","Verificar: fonte fora do guia","Sim")),"Incompleto"))</f>
        <v/>
      </c>
    </row>
    <row r="164">
      <c r="A164" s="15" t="n"/>
      <c r="B164" s="20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6">
        <f>IF(M164="","",IF(M164&lt;&gt;C164,"Sim","NÃO"))</f>
        <v/>
      </c>
      <c r="O164" s="16">
        <f>IF(A164="","",IF(AND(B164&lt;&gt;"",C164&lt;&gt;"",D164&lt;&gt;"",E164&lt;&gt;"",G164&lt;&gt;"",LEN(TRIM(H164))=64,I164&lt;&gt;"",J164&lt;&gt;""),IF(COUNTIF(Atas_Comite!$A$2:$A$301,J164)=0,"NÃO – ata não encontrada",IF(D164="Outra (aprovar em ata antes)","Verificar: fonte fora do guia","Sim")),"Incompleto"))</f>
        <v/>
      </c>
    </row>
    <row r="165">
      <c r="A165" s="15" t="n"/>
      <c r="B165" s="20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6">
        <f>IF(M165="","",IF(M165&lt;&gt;C165,"Sim","NÃO"))</f>
        <v/>
      </c>
      <c r="O165" s="16">
        <f>IF(A165="","",IF(AND(B165&lt;&gt;"",C165&lt;&gt;"",D165&lt;&gt;"",E165&lt;&gt;"",G165&lt;&gt;"",LEN(TRIM(H165))=64,I165&lt;&gt;"",J165&lt;&gt;""),IF(COUNTIF(Atas_Comite!$A$2:$A$301,J165)=0,"NÃO – ata não encontrada",IF(D165="Outra (aprovar em ata antes)","Verificar: fonte fora do guia","Sim")),"Incompleto"))</f>
        <v/>
      </c>
    </row>
    <row r="166">
      <c r="A166" s="15" t="n"/>
      <c r="B166" s="20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6">
        <f>IF(M166="","",IF(M166&lt;&gt;C166,"Sim","NÃO"))</f>
        <v/>
      </c>
      <c r="O166" s="16">
        <f>IF(A166="","",IF(AND(B166&lt;&gt;"",C166&lt;&gt;"",D166&lt;&gt;"",E166&lt;&gt;"",G166&lt;&gt;"",LEN(TRIM(H166))=64,I166&lt;&gt;"",J166&lt;&gt;""),IF(COUNTIF(Atas_Comite!$A$2:$A$301,J166)=0,"NÃO – ata não encontrada",IF(D166="Outra (aprovar em ata antes)","Verificar: fonte fora do guia","Sim")),"Incompleto"))</f>
        <v/>
      </c>
    </row>
    <row r="167">
      <c r="A167" s="15" t="n"/>
      <c r="B167" s="20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6">
        <f>IF(M167="","",IF(M167&lt;&gt;C167,"Sim","NÃO"))</f>
        <v/>
      </c>
      <c r="O167" s="16">
        <f>IF(A167="","",IF(AND(B167&lt;&gt;"",C167&lt;&gt;"",D167&lt;&gt;"",E167&lt;&gt;"",G167&lt;&gt;"",LEN(TRIM(H167))=64,I167&lt;&gt;"",J167&lt;&gt;""),IF(COUNTIF(Atas_Comite!$A$2:$A$301,J167)=0,"NÃO – ata não encontrada",IF(D167="Outra (aprovar em ata antes)","Verificar: fonte fora do guia","Sim")),"Incompleto"))</f>
        <v/>
      </c>
    </row>
    <row r="168">
      <c r="A168" s="15" t="n"/>
      <c r="B168" s="20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6">
        <f>IF(M168="","",IF(M168&lt;&gt;C168,"Sim","NÃO"))</f>
        <v/>
      </c>
      <c r="O168" s="16">
        <f>IF(A168="","",IF(AND(B168&lt;&gt;"",C168&lt;&gt;"",D168&lt;&gt;"",E168&lt;&gt;"",G168&lt;&gt;"",LEN(TRIM(H168))=64,I168&lt;&gt;"",J168&lt;&gt;""),IF(COUNTIF(Atas_Comite!$A$2:$A$301,J168)=0,"NÃO – ata não encontrada",IF(D168="Outra (aprovar em ata antes)","Verificar: fonte fora do guia","Sim")),"Incompleto"))</f>
        <v/>
      </c>
    </row>
    <row r="169">
      <c r="A169" s="15" t="n"/>
      <c r="B169" s="20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6">
        <f>IF(M169="","",IF(M169&lt;&gt;C169,"Sim","NÃO"))</f>
        <v/>
      </c>
      <c r="O169" s="16">
        <f>IF(A169="","",IF(AND(B169&lt;&gt;"",C169&lt;&gt;"",D169&lt;&gt;"",E169&lt;&gt;"",G169&lt;&gt;"",LEN(TRIM(H169))=64,I169&lt;&gt;"",J169&lt;&gt;""),IF(COUNTIF(Atas_Comite!$A$2:$A$301,J169)=0,"NÃO – ata não encontrada",IF(D169="Outra (aprovar em ata antes)","Verificar: fonte fora do guia","Sim")),"Incompleto"))</f>
        <v/>
      </c>
    </row>
    <row r="170">
      <c r="A170" s="15" t="n"/>
      <c r="B170" s="20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6">
        <f>IF(M170="","",IF(M170&lt;&gt;C170,"Sim","NÃO"))</f>
        <v/>
      </c>
      <c r="O170" s="16">
        <f>IF(A170="","",IF(AND(B170&lt;&gt;"",C170&lt;&gt;"",D170&lt;&gt;"",E170&lt;&gt;"",G170&lt;&gt;"",LEN(TRIM(H170))=64,I170&lt;&gt;"",J170&lt;&gt;""),IF(COUNTIF(Atas_Comite!$A$2:$A$301,J170)=0,"NÃO – ata não encontrada",IF(D170="Outra (aprovar em ata antes)","Verificar: fonte fora do guia","Sim")),"Incompleto"))</f>
        <v/>
      </c>
    </row>
    <row r="171">
      <c r="A171" s="15" t="n"/>
      <c r="B171" s="20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6">
        <f>IF(M171="","",IF(M171&lt;&gt;C171,"Sim","NÃO"))</f>
        <v/>
      </c>
      <c r="O171" s="16">
        <f>IF(A171="","",IF(AND(B171&lt;&gt;"",C171&lt;&gt;"",D171&lt;&gt;"",E171&lt;&gt;"",G171&lt;&gt;"",LEN(TRIM(H171))=64,I171&lt;&gt;"",J171&lt;&gt;""),IF(COUNTIF(Atas_Comite!$A$2:$A$301,J171)=0,"NÃO – ata não encontrada",IF(D171="Outra (aprovar em ata antes)","Verificar: fonte fora do guia","Sim")),"Incompleto"))</f>
        <v/>
      </c>
    </row>
    <row r="172">
      <c r="A172" s="15" t="n"/>
      <c r="B172" s="20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6">
        <f>IF(M172="","",IF(M172&lt;&gt;C172,"Sim","NÃO"))</f>
        <v/>
      </c>
      <c r="O172" s="16">
        <f>IF(A172="","",IF(AND(B172&lt;&gt;"",C172&lt;&gt;"",D172&lt;&gt;"",E172&lt;&gt;"",G172&lt;&gt;"",LEN(TRIM(H172))=64,I172&lt;&gt;"",J172&lt;&gt;""),IF(COUNTIF(Atas_Comite!$A$2:$A$301,J172)=0,"NÃO – ata não encontrada",IF(D172="Outra (aprovar em ata antes)","Verificar: fonte fora do guia","Sim")),"Incompleto"))</f>
        <v/>
      </c>
    </row>
    <row r="173">
      <c r="A173" s="15" t="n"/>
      <c r="B173" s="20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6">
        <f>IF(M173="","",IF(M173&lt;&gt;C173,"Sim","NÃO"))</f>
        <v/>
      </c>
      <c r="O173" s="16">
        <f>IF(A173="","",IF(AND(B173&lt;&gt;"",C173&lt;&gt;"",D173&lt;&gt;"",E173&lt;&gt;"",G173&lt;&gt;"",LEN(TRIM(H173))=64,I173&lt;&gt;"",J173&lt;&gt;""),IF(COUNTIF(Atas_Comite!$A$2:$A$301,J173)=0,"NÃO – ata não encontrada",IF(D173="Outra (aprovar em ata antes)","Verificar: fonte fora do guia","Sim")),"Incompleto"))</f>
        <v/>
      </c>
    </row>
    <row r="174">
      <c r="A174" s="15" t="n"/>
      <c r="B174" s="20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6">
        <f>IF(M174="","",IF(M174&lt;&gt;C174,"Sim","NÃO"))</f>
        <v/>
      </c>
      <c r="O174" s="16">
        <f>IF(A174="","",IF(AND(B174&lt;&gt;"",C174&lt;&gt;"",D174&lt;&gt;"",E174&lt;&gt;"",G174&lt;&gt;"",LEN(TRIM(H174))=64,I174&lt;&gt;"",J174&lt;&gt;""),IF(COUNTIF(Atas_Comite!$A$2:$A$301,J174)=0,"NÃO – ata não encontrada",IF(D174="Outra (aprovar em ata antes)","Verificar: fonte fora do guia","Sim")),"Incompleto"))</f>
        <v/>
      </c>
    </row>
    <row r="175">
      <c r="A175" s="15" t="n"/>
      <c r="B175" s="20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6">
        <f>IF(M175="","",IF(M175&lt;&gt;C175,"Sim","NÃO"))</f>
        <v/>
      </c>
      <c r="O175" s="16">
        <f>IF(A175="","",IF(AND(B175&lt;&gt;"",C175&lt;&gt;"",D175&lt;&gt;"",E175&lt;&gt;"",G175&lt;&gt;"",LEN(TRIM(H175))=64,I175&lt;&gt;"",J175&lt;&gt;""),IF(COUNTIF(Atas_Comite!$A$2:$A$301,J175)=0,"NÃO – ata não encontrada",IF(D175="Outra (aprovar em ata antes)","Verificar: fonte fora do guia","Sim")),"Incompleto"))</f>
        <v/>
      </c>
    </row>
    <row r="176">
      <c r="A176" s="15" t="n"/>
      <c r="B176" s="20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6">
        <f>IF(M176="","",IF(M176&lt;&gt;C176,"Sim","NÃO"))</f>
        <v/>
      </c>
      <c r="O176" s="16">
        <f>IF(A176="","",IF(AND(B176&lt;&gt;"",C176&lt;&gt;"",D176&lt;&gt;"",E176&lt;&gt;"",G176&lt;&gt;"",LEN(TRIM(H176))=64,I176&lt;&gt;"",J176&lt;&gt;""),IF(COUNTIF(Atas_Comite!$A$2:$A$301,J176)=0,"NÃO – ata não encontrada",IF(D176="Outra (aprovar em ata antes)","Verificar: fonte fora do guia","Sim")),"Incompleto"))</f>
        <v/>
      </c>
    </row>
    <row r="177">
      <c r="A177" s="15" t="n"/>
      <c r="B177" s="20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6">
        <f>IF(M177="","",IF(M177&lt;&gt;C177,"Sim","NÃO"))</f>
        <v/>
      </c>
      <c r="O177" s="16">
        <f>IF(A177="","",IF(AND(B177&lt;&gt;"",C177&lt;&gt;"",D177&lt;&gt;"",E177&lt;&gt;"",G177&lt;&gt;"",LEN(TRIM(H177))=64,I177&lt;&gt;"",J177&lt;&gt;""),IF(COUNTIF(Atas_Comite!$A$2:$A$301,J177)=0,"NÃO – ata não encontrada",IF(D177="Outra (aprovar em ata antes)","Verificar: fonte fora do guia","Sim")),"Incompleto"))</f>
        <v/>
      </c>
    </row>
    <row r="178">
      <c r="A178" s="15" t="n"/>
      <c r="B178" s="20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6">
        <f>IF(M178="","",IF(M178&lt;&gt;C178,"Sim","NÃO"))</f>
        <v/>
      </c>
      <c r="O178" s="16">
        <f>IF(A178="","",IF(AND(B178&lt;&gt;"",C178&lt;&gt;"",D178&lt;&gt;"",E178&lt;&gt;"",G178&lt;&gt;"",LEN(TRIM(H178))=64,I178&lt;&gt;"",J178&lt;&gt;""),IF(COUNTIF(Atas_Comite!$A$2:$A$301,J178)=0,"NÃO – ata não encontrada",IF(D178="Outra (aprovar em ata antes)","Verificar: fonte fora do guia","Sim")),"Incompleto"))</f>
        <v/>
      </c>
    </row>
    <row r="179">
      <c r="A179" s="15" t="n"/>
      <c r="B179" s="20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6">
        <f>IF(M179="","",IF(M179&lt;&gt;C179,"Sim","NÃO"))</f>
        <v/>
      </c>
      <c r="O179" s="16">
        <f>IF(A179="","",IF(AND(B179&lt;&gt;"",C179&lt;&gt;"",D179&lt;&gt;"",E179&lt;&gt;"",G179&lt;&gt;"",LEN(TRIM(H179))=64,I179&lt;&gt;"",J179&lt;&gt;""),IF(COUNTIF(Atas_Comite!$A$2:$A$301,J179)=0,"NÃO – ata não encontrada",IF(D179="Outra (aprovar em ata antes)","Verificar: fonte fora do guia","Sim")),"Incompleto"))</f>
        <v/>
      </c>
    </row>
    <row r="180">
      <c r="A180" s="15" t="n"/>
      <c r="B180" s="20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6">
        <f>IF(M180="","",IF(M180&lt;&gt;C180,"Sim","NÃO"))</f>
        <v/>
      </c>
      <c r="O180" s="16">
        <f>IF(A180="","",IF(AND(B180&lt;&gt;"",C180&lt;&gt;"",D180&lt;&gt;"",E180&lt;&gt;"",G180&lt;&gt;"",LEN(TRIM(H180))=64,I180&lt;&gt;"",J180&lt;&gt;""),IF(COUNTIF(Atas_Comite!$A$2:$A$301,J180)=0,"NÃO – ata não encontrada",IF(D180="Outra (aprovar em ata antes)","Verificar: fonte fora do guia","Sim")),"Incompleto"))</f>
        <v/>
      </c>
    </row>
    <row r="181">
      <c r="A181" s="15" t="n"/>
      <c r="B181" s="20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6">
        <f>IF(M181="","",IF(M181&lt;&gt;C181,"Sim","NÃO"))</f>
        <v/>
      </c>
      <c r="O181" s="16">
        <f>IF(A181="","",IF(AND(B181&lt;&gt;"",C181&lt;&gt;"",D181&lt;&gt;"",E181&lt;&gt;"",G181&lt;&gt;"",LEN(TRIM(H181))=64,I181&lt;&gt;"",J181&lt;&gt;""),IF(COUNTIF(Atas_Comite!$A$2:$A$301,J181)=0,"NÃO – ata não encontrada",IF(D181="Outra (aprovar em ata antes)","Verificar: fonte fora do guia","Sim")),"Incompleto"))</f>
        <v/>
      </c>
    </row>
    <row r="182">
      <c r="A182" s="15" t="n"/>
      <c r="B182" s="20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6">
        <f>IF(M182="","",IF(M182&lt;&gt;C182,"Sim","NÃO"))</f>
        <v/>
      </c>
      <c r="O182" s="16">
        <f>IF(A182="","",IF(AND(B182&lt;&gt;"",C182&lt;&gt;"",D182&lt;&gt;"",E182&lt;&gt;"",G182&lt;&gt;"",LEN(TRIM(H182))=64,I182&lt;&gt;"",J182&lt;&gt;""),IF(COUNTIF(Atas_Comite!$A$2:$A$301,J182)=0,"NÃO – ata não encontrada",IF(D182="Outra (aprovar em ata antes)","Verificar: fonte fora do guia","Sim")),"Incompleto"))</f>
        <v/>
      </c>
    </row>
    <row r="183">
      <c r="A183" s="15" t="n"/>
      <c r="B183" s="20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6">
        <f>IF(M183="","",IF(M183&lt;&gt;C183,"Sim","NÃO"))</f>
        <v/>
      </c>
      <c r="O183" s="16">
        <f>IF(A183="","",IF(AND(B183&lt;&gt;"",C183&lt;&gt;"",D183&lt;&gt;"",E183&lt;&gt;"",G183&lt;&gt;"",LEN(TRIM(H183))=64,I183&lt;&gt;"",J183&lt;&gt;""),IF(COUNTIF(Atas_Comite!$A$2:$A$301,J183)=0,"NÃO – ata não encontrada",IF(D183="Outra (aprovar em ata antes)","Verificar: fonte fora do guia","Sim")),"Incompleto"))</f>
        <v/>
      </c>
    </row>
    <row r="184">
      <c r="A184" s="15" t="n"/>
      <c r="B184" s="20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6">
        <f>IF(M184="","",IF(M184&lt;&gt;C184,"Sim","NÃO"))</f>
        <v/>
      </c>
      <c r="O184" s="16">
        <f>IF(A184="","",IF(AND(B184&lt;&gt;"",C184&lt;&gt;"",D184&lt;&gt;"",E184&lt;&gt;"",G184&lt;&gt;"",LEN(TRIM(H184))=64,I184&lt;&gt;"",J184&lt;&gt;""),IF(COUNTIF(Atas_Comite!$A$2:$A$301,J184)=0,"NÃO – ata não encontrada",IF(D184="Outra (aprovar em ata antes)","Verificar: fonte fora do guia","Sim")),"Incompleto"))</f>
        <v/>
      </c>
    </row>
    <row r="185">
      <c r="A185" s="15" t="n"/>
      <c r="B185" s="20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6">
        <f>IF(M185="","",IF(M185&lt;&gt;C185,"Sim","NÃO"))</f>
        <v/>
      </c>
      <c r="O185" s="16">
        <f>IF(A185="","",IF(AND(B185&lt;&gt;"",C185&lt;&gt;"",D185&lt;&gt;"",E185&lt;&gt;"",G185&lt;&gt;"",LEN(TRIM(H185))=64,I185&lt;&gt;"",J185&lt;&gt;""),IF(COUNTIF(Atas_Comite!$A$2:$A$301,J185)=0,"NÃO – ata não encontrada",IF(D185="Outra (aprovar em ata antes)","Verificar: fonte fora do guia","Sim")),"Incompleto"))</f>
        <v/>
      </c>
    </row>
    <row r="186">
      <c r="A186" s="15" t="n"/>
      <c r="B186" s="20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6">
        <f>IF(M186="","",IF(M186&lt;&gt;C186,"Sim","NÃO"))</f>
        <v/>
      </c>
      <c r="O186" s="16">
        <f>IF(A186="","",IF(AND(B186&lt;&gt;"",C186&lt;&gt;"",D186&lt;&gt;"",E186&lt;&gt;"",G186&lt;&gt;"",LEN(TRIM(H186))=64,I186&lt;&gt;"",J186&lt;&gt;""),IF(COUNTIF(Atas_Comite!$A$2:$A$301,J186)=0,"NÃO – ata não encontrada",IF(D186="Outra (aprovar em ata antes)","Verificar: fonte fora do guia","Sim")),"Incompleto"))</f>
        <v/>
      </c>
    </row>
    <row r="187">
      <c r="A187" s="15" t="n"/>
      <c r="B187" s="20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6">
        <f>IF(M187="","",IF(M187&lt;&gt;C187,"Sim","NÃO"))</f>
        <v/>
      </c>
      <c r="O187" s="16">
        <f>IF(A187="","",IF(AND(B187&lt;&gt;"",C187&lt;&gt;"",D187&lt;&gt;"",E187&lt;&gt;"",G187&lt;&gt;"",LEN(TRIM(H187))=64,I187&lt;&gt;"",J187&lt;&gt;""),IF(COUNTIF(Atas_Comite!$A$2:$A$301,J187)=0,"NÃO – ata não encontrada",IF(D187="Outra (aprovar em ata antes)","Verificar: fonte fora do guia","Sim")),"Incompleto"))</f>
        <v/>
      </c>
    </row>
    <row r="188">
      <c r="A188" s="15" t="n"/>
      <c r="B188" s="20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6">
        <f>IF(M188="","",IF(M188&lt;&gt;C188,"Sim","NÃO"))</f>
        <v/>
      </c>
      <c r="O188" s="16">
        <f>IF(A188="","",IF(AND(B188&lt;&gt;"",C188&lt;&gt;"",D188&lt;&gt;"",E188&lt;&gt;"",G188&lt;&gt;"",LEN(TRIM(H188))=64,I188&lt;&gt;"",J188&lt;&gt;""),IF(COUNTIF(Atas_Comite!$A$2:$A$301,J188)=0,"NÃO – ata não encontrada",IF(D188="Outra (aprovar em ata antes)","Verificar: fonte fora do guia","Sim")),"Incompleto"))</f>
        <v/>
      </c>
    </row>
    <row r="189">
      <c r="A189" s="15" t="n"/>
      <c r="B189" s="20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6">
        <f>IF(M189="","",IF(M189&lt;&gt;C189,"Sim","NÃO"))</f>
        <v/>
      </c>
      <c r="O189" s="16">
        <f>IF(A189="","",IF(AND(B189&lt;&gt;"",C189&lt;&gt;"",D189&lt;&gt;"",E189&lt;&gt;"",G189&lt;&gt;"",LEN(TRIM(H189))=64,I189&lt;&gt;"",J189&lt;&gt;""),IF(COUNTIF(Atas_Comite!$A$2:$A$301,J189)=0,"NÃO – ata não encontrada",IF(D189="Outra (aprovar em ata antes)","Verificar: fonte fora do guia","Sim")),"Incompleto"))</f>
        <v/>
      </c>
    </row>
    <row r="190">
      <c r="A190" s="15" t="n"/>
      <c r="B190" s="20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6">
        <f>IF(M190="","",IF(M190&lt;&gt;C190,"Sim","NÃO"))</f>
        <v/>
      </c>
      <c r="O190" s="16">
        <f>IF(A190="","",IF(AND(B190&lt;&gt;"",C190&lt;&gt;"",D190&lt;&gt;"",E190&lt;&gt;"",G190&lt;&gt;"",LEN(TRIM(H190))=64,I190&lt;&gt;"",J190&lt;&gt;""),IF(COUNTIF(Atas_Comite!$A$2:$A$301,J190)=0,"NÃO – ata não encontrada",IF(D190="Outra (aprovar em ata antes)","Verificar: fonte fora do guia","Sim")),"Incompleto"))</f>
        <v/>
      </c>
    </row>
    <row r="191">
      <c r="A191" s="15" t="n"/>
      <c r="B191" s="20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6">
        <f>IF(M191="","",IF(M191&lt;&gt;C191,"Sim","NÃO"))</f>
        <v/>
      </c>
      <c r="O191" s="16">
        <f>IF(A191="","",IF(AND(B191&lt;&gt;"",C191&lt;&gt;"",D191&lt;&gt;"",E191&lt;&gt;"",G191&lt;&gt;"",LEN(TRIM(H191))=64,I191&lt;&gt;"",J191&lt;&gt;""),IF(COUNTIF(Atas_Comite!$A$2:$A$301,J191)=0,"NÃO – ata não encontrada",IF(D191="Outra (aprovar em ata antes)","Verificar: fonte fora do guia","Sim")),"Incompleto"))</f>
        <v/>
      </c>
    </row>
    <row r="192">
      <c r="A192" s="15" t="n"/>
      <c r="B192" s="20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6">
        <f>IF(M192="","",IF(M192&lt;&gt;C192,"Sim","NÃO"))</f>
        <v/>
      </c>
      <c r="O192" s="16">
        <f>IF(A192="","",IF(AND(B192&lt;&gt;"",C192&lt;&gt;"",D192&lt;&gt;"",E192&lt;&gt;"",G192&lt;&gt;"",LEN(TRIM(H192))=64,I192&lt;&gt;"",J192&lt;&gt;""),IF(COUNTIF(Atas_Comite!$A$2:$A$301,J192)=0,"NÃO – ata não encontrada",IF(D192="Outra (aprovar em ata antes)","Verificar: fonte fora do guia","Sim")),"Incompleto"))</f>
        <v/>
      </c>
    </row>
    <row r="193">
      <c r="A193" s="15" t="n"/>
      <c r="B193" s="20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6">
        <f>IF(M193="","",IF(M193&lt;&gt;C193,"Sim","NÃO"))</f>
        <v/>
      </c>
      <c r="O193" s="16">
        <f>IF(A193="","",IF(AND(B193&lt;&gt;"",C193&lt;&gt;"",D193&lt;&gt;"",E193&lt;&gt;"",G193&lt;&gt;"",LEN(TRIM(H193))=64,I193&lt;&gt;"",J193&lt;&gt;""),IF(COUNTIF(Atas_Comite!$A$2:$A$301,J193)=0,"NÃO – ata não encontrada",IF(D193="Outra (aprovar em ata antes)","Verificar: fonte fora do guia","Sim")),"Incompleto"))</f>
        <v/>
      </c>
    </row>
    <row r="194">
      <c r="A194" s="15" t="n"/>
      <c r="B194" s="20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6">
        <f>IF(M194="","",IF(M194&lt;&gt;C194,"Sim","NÃO"))</f>
        <v/>
      </c>
      <c r="O194" s="16">
        <f>IF(A194="","",IF(AND(B194&lt;&gt;"",C194&lt;&gt;"",D194&lt;&gt;"",E194&lt;&gt;"",G194&lt;&gt;"",LEN(TRIM(H194))=64,I194&lt;&gt;"",J194&lt;&gt;""),IF(COUNTIF(Atas_Comite!$A$2:$A$301,J194)=0,"NÃO – ata não encontrada",IF(D194="Outra (aprovar em ata antes)","Verificar: fonte fora do guia","Sim")),"Incompleto"))</f>
        <v/>
      </c>
    </row>
    <row r="195">
      <c r="A195" s="15" t="n"/>
      <c r="B195" s="20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6">
        <f>IF(M195="","",IF(M195&lt;&gt;C195,"Sim","NÃO"))</f>
        <v/>
      </c>
      <c r="O195" s="16">
        <f>IF(A195="","",IF(AND(B195&lt;&gt;"",C195&lt;&gt;"",D195&lt;&gt;"",E195&lt;&gt;"",G195&lt;&gt;"",LEN(TRIM(H195))=64,I195&lt;&gt;"",J195&lt;&gt;""),IF(COUNTIF(Atas_Comite!$A$2:$A$301,J195)=0,"NÃO – ata não encontrada",IF(D195="Outra (aprovar em ata antes)","Verificar: fonte fora do guia","Sim")),"Incompleto"))</f>
        <v/>
      </c>
    </row>
    <row r="196">
      <c r="A196" s="15" t="n"/>
      <c r="B196" s="20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6">
        <f>IF(M196="","",IF(M196&lt;&gt;C196,"Sim","NÃO"))</f>
        <v/>
      </c>
      <c r="O196" s="16">
        <f>IF(A196="","",IF(AND(B196&lt;&gt;"",C196&lt;&gt;"",D196&lt;&gt;"",E196&lt;&gt;"",G196&lt;&gt;"",LEN(TRIM(H196))=64,I196&lt;&gt;"",J196&lt;&gt;""),IF(COUNTIF(Atas_Comite!$A$2:$A$301,J196)=0,"NÃO – ata não encontrada",IF(D196="Outra (aprovar em ata antes)","Verificar: fonte fora do guia","Sim")),"Incompleto"))</f>
        <v/>
      </c>
    </row>
    <row r="197">
      <c r="A197" s="15" t="n"/>
      <c r="B197" s="20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6">
        <f>IF(M197="","",IF(M197&lt;&gt;C197,"Sim","NÃO"))</f>
        <v/>
      </c>
      <c r="O197" s="16">
        <f>IF(A197="","",IF(AND(B197&lt;&gt;"",C197&lt;&gt;"",D197&lt;&gt;"",E197&lt;&gt;"",G197&lt;&gt;"",LEN(TRIM(H197))=64,I197&lt;&gt;"",J197&lt;&gt;""),IF(COUNTIF(Atas_Comite!$A$2:$A$301,J197)=0,"NÃO – ata não encontrada",IF(D197="Outra (aprovar em ata antes)","Verificar: fonte fora do guia","Sim")),"Incompleto"))</f>
        <v/>
      </c>
    </row>
    <row r="198">
      <c r="A198" s="15" t="n"/>
      <c r="B198" s="20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6">
        <f>IF(M198="","",IF(M198&lt;&gt;C198,"Sim","NÃO"))</f>
        <v/>
      </c>
      <c r="O198" s="16">
        <f>IF(A198="","",IF(AND(B198&lt;&gt;"",C198&lt;&gt;"",D198&lt;&gt;"",E198&lt;&gt;"",G198&lt;&gt;"",LEN(TRIM(H198))=64,I198&lt;&gt;"",J198&lt;&gt;""),IF(COUNTIF(Atas_Comite!$A$2:$A$301,J198)=0,"NÃO – ata não encontrada",IF(D198="Outra (aprovar em ata antes)","Verificar: fonte fora do guia","Sim")),"Incompleto"))</f>
        <v/>
      </c>
    </row>
    <row r="199">
      <c r="A199" s="15" t="n"/>
      <c r="B199" s="20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6">
        <f>IF(M199="","",IF(M199&lt;&gt;C199,"Sim","NÃO"))</f>
        <v/>
      </c>
      <c r="O199" s="16">
        <f>IF(A199="","",IF(AND(B199&lt;&gt;"",C199&lt;&gt;"",D199&lt;&gt;"",E199&lt;&gt;"",G199&lt;&gt;"",LEN(TRIM(H199))=64,I199&lt;&gt;"",J199&lt;&gt;""),IF(COUNTIF(Atas_Comite!$A$2:$A$301,J199)=0,"NÃO – ata não encontrada",IF(D199="Outra (aprovar em ata antes)","Verificar: fonte fora do guia","Sim")),"Incompleto"))</f>
        <v/>
      </c>
    </row>
    <row r="200">
      <c r="A200" s="15" t="n"/>
      <c r="B200" s="20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6">
        <f>IF(M200="","",IF(M200&lt;&gt;C200,"Sim","NÃO"))</f>
        <v/>
      </c>
      <c r="O200" s="16">
        <f>IF(A200="","",IF(AND(B200&lt;&gt;"",C200&lt;&gt;"",D200&lt;&gt;"",E200&lt;&gt;"",G200&lt;&gt;"",LEN(TRIM(H200))=64,I200&lt;&gt;"",J200&lt;&gt;""),IF(COUNTIF(Atas_Comite!$A$2:$A$301,J200)=0,"NÃO – ata não encontrada",IF(D200="Outra (aprovar em ata antes)","Verificar: fonte fora do guia","Sim")),"Incompleto"))</f>
        <v/>
      </c>
    </row>
    <row r="201">
      <c r="A201" s="15" t="n"/>
      <c r="B201" s="20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6">
        <f>IF(M201="","",IF(M201&lt;&gt;C201,"Sim","NÃO"))</f>
        <v/>
      </c>
      <c r="O201" s="16">
        <f>IF(A201="","",IF(AND(B201&lt;&gt;"",C201&lt;&gt;"",D201&lt;&gt;"",E201&lt;&gt;"",G201&lt;&gt;"",LEN(TRIM(H201))=64,I201&lt;&gt;"",J201&lt;&gt;""),IF(COUNTIF(Atas_Comite!$A$2:$A$301,J201)=0,"NÃO – ata não encontrada",IF(D201="Outra (aprovar em ata antes)","Verificar: fonte fora do guia","Sim")),"Incompleto"))</f>
        <v/>
      </c>
    </row>
    <row r="202">
      <c r="A202" s="15" t="n"/>
      <c r="B202" s="20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6">
        <f>IF(M202="","",IF(M202&lt;&gt;C202,"Sim","NÃO"))</f>
        <v/>
      </c>
      <c r="O202" s="16">
        <f>IF(A202="","",IF(AND(B202&lt;&gt;"",C202&lt;&gt;"",D202&lt;&gt;"",E202&lt;&gt;"",G202&lt;&gt;"",LEN(TRIM(H202))=64,I202&lt;&gt;"",J202&lt;&gt;""),IF(COUNTIF(Atas_Comite!$A$2:$A$301,J202)=0,"NÃO – ata não encontrada",IF(D202="Outra (aprovar em ata antes)","Verificar: fonte fora do guia","Sim")),"Incompleto"))</f>
        <v/>
      </c>
    </row>
    <row r="203">
      <c r="A203" s="15" t="n"/>
      <c r="B203" s="20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6">
        <f>IF(M203="","",IF(M203&lt;&gt;C203,"Sim","NÃO"))</f>
        <v/>
      </c>
      <c r="O203" s="16">
        <f>IF(A203="","",IF(AND(B203&lt;&gt;"",C203&lt;&gt;"",D203&lt;&gt;"",E203&lt;&gt;"",G203&lt;&gt;"",LEN(TRIM(H203))=64,I203&lt;&gt;"",J203&lt;&gt;""),IF(COUNTIF(Atas_Comite!$A$2:$A$301,J203)=0,"NÃO – ata não encontrada",IF(D203="Outra (aprovar em ata antes)","Verificar: fonte fora do guia","Sim")),"Incompleto"))</f>
        <v/>
      </c>
    </row>
    <row r="204">
      <c r="A204" s="15" t="n"/>
      <c r="B204" s="20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6">
        <f>IF(M204="","",IF(M204&lt;&gt;C204,"Sim","NÃO"))</f>
        <v/>
      </c>
      <c r="O204" s="16">
        <f>IF(A204="","",IF(AND(B204&lt;&gt;"",C204&lt;&gt;"",D204&lt;&gt;"",E204&lt;&gt;"",G204&lt;&gt;"",LEN(TRIM(H204))=64,I204&lt;&gt;"",J204&lt;&gt;""),IF(COUNTIF(Atas_Comite!$A$2:$A$301,J204)=0,"NÃO – ata não encontrada",IF(D204="Outra (aprovar em ata antes)","Verificar: fonte fora do guia","Sim")),"Incompleto"))</f>
        <v/>
      </c>
    </row>
    <row r="205">
      <c r="A205" s="15" t="n"/>
      <c r="B205" s="20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6">
        <f>IF(M205="","",IF(M205&lt;&gt;C205,"Sim","NÃO"))</f>
        <v/>
      </c>
      <c r="O205" s="16">
        <f>IF(A205="","",IF(AND(B205&lt;&gt;"",C205&lt;&gt;"",D205&lt;&gt;"",E205&lt;&gt;"",G205&lt;&gt;"",LEN(TRIM(H205))=64,I205&lt;&gt;"",J205&lt;&gt;""),IF(COUNTIF(Atas_Comite!$A$2:$A$301,J205)=0,"NÃO – ata não encontrada",IF(D205="Outra (aprovar em ata antes)","Verificar: fonte fora do guia","Sim")),"Incompleto"))</f>
        <v/>
      </c>
    </row>
    <row r="206">
      <c r="A206" s="15" t="n"/>
      <c r="B206" s="20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6">
        <f>IF(M206="","",IF(M206&lt;&gt;C206,"Sim","NÃO"))</f>
        <v/>
      </c>
      <c r="O206" s="16">
        <f>IF(A206="","",IF(AND(B206&lt;&gt;"",C206&lt;&gt;"",D206&lt;&gt;"",E206&lt;&gt;"",G206&lt;&gt;"",LEN(TRIM(H206))=64,I206&lt;&gt;"",J206&lt;&gt;""),IF(COUNTIF(Atas_Comite!$A$2:$A$301,J206)=0,"NÃO – ata não encontrada",IF(D206="Outra (aprovar em ata antes)","Verificar: fonte fora do guia","Sim")),"Incompleto"))</f>
        <v/>
      </c>
    </row>
    <row r="207">
      <c r="A207" s="15" t="n"/>
      <c r="B207" s="20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6">
        <f>IF(M207="","",IF(M207&lt;&gt;C207,"Sim","NÃO"))</f>
        <v/>
      </c>
      <c r="O207" s="16">
        <f>IF(A207="","",IF(AND(B207&lt;&gt;"",C207&lt;&gt;"",D207&lt;&gt;"",E207&lt;&gt;"",G207&lt;&gt;"",LEN(TRIM(H207))=64,I207&lt;&gt;"",J207&lt;&gt;""),IF(COUNTIF(Atas_Comite!$A$2:$A$301,J207)=0,"NÃO – ata não encontrada",IF(D207="Outra (aprovar em ata antes)","Verificar: fonte fora do guia","Sim")),"Incompleto"))</f>
        <v/>
      </c>
    </row>
    <row r="208">
      <c r="A208" s="15" t="n"/>
      <c r="B208" s="20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6">
        <f>IF(M208="","",IF(M208&lt;&gt;C208,"Sim","NÃO"))</f>
        <v/>
      </c>
      <c r="O208" s="16">
        <f>IF(A208="","",IF(AND(B208&lt;&gt;"",C208&lt;&gt;"",D208&lt;&gt;"",E208&lt;&gt;"",G208&lt;&gt;"",LEN(TRIM(H208))=64,I208&lt;&gt;"",J208&lt;&gt;""),IF(COUNTIF(Atas_Comite!$A$2:$A$301,J208)=0,"NÃO – ata não encontrada",IF(D208="Outra (aprovar em ata antes)","Verificar: fonte fora do guia","Sim")),"Incompleto"))</f>
        <v/>
      </c>
    </row>
    <row r="209">
      <c r="A209" s="15" t="n"/>
      <c r="B209" s="20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6">
        <f>IF(M209="","",IF(M209&lt;&gt;C209,"Sim","NÃO"))</f>
        <v/>
      </c>
      <c r="O209" s="16">
        <f>IF(A209="","",IF(AND(B209&lt;&gt;"",C209&lt;&gt;"",D209&lt;&gt;"",E209&lt;&gt;"",G209&lt;&gt;"",LEN(TRIM(H209))=64,I209&lt;&gt;"",J209&lt;&gt;""),IF(COUNTIF(Atas_Comite!$A$2:$A$301,J209)=0,"NÃO – ata não encontrada",IF(D209="Outra (aprovar em ata antes)","Verificar: fonte fora do guia","Sim")),"Incompleto"))</f>
        <v/>
      </c>
    </row>
    <row r="210">
      <c r="A210" s="15" t="n"/>
      <c r="B210" s="20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6">
        <f>IF(M210="","",IF(M210&lt;&gt;C210,"Sim","NÃO"))</f>
        <v/>
      </c>
      <c r="O210" s="16">
        <f>IF(A210="","",IF(AND(B210&lt;&gt;"",C210&lt;&gt;"",D210&lt;&gt;"",E210&lt;&gt;"",G210&lt;&gt;"",LEN(TRIM(H210))=64,I210&lt;&gt;"",J210&lt;&gt;""),IF(COUNTIF(Atas_Comite!$A$2:$A$301,J210)=0,"NÃO – ata não encontrada",IF(D210="Outra (aprovar em ata antes)","Verificar: fonte fora do guia","Sim")),"Incompleto"))</f>
        <v/>
      </c>
    </row>
    <row r="211">
      <c r="A211" s="15" t="n"/>
      <c r="B211" s="20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6">
        <f>IF(M211="","",IF(M211&lt;&gt;C211,"Sim","NÃO"))</f>
        <v/>
      </c>
      <c r="O211" s="16">
        <f>IF(A211="","",IF(AND(B211&lt;&gt;"",C211&lt;&gt;"",D211&lt;&gt;"",E211&lt;&gt;"",G211&lt;&gt;"",LEN(TRIM(H211))=64,I211&lt;&gt;"",J211&lt;&gt;""),IF(COUNTIF(Atas_Comite!$A$2:$A$301,J211)=0,"NÃO – ata não encontrada",IF(D211="Outra (aprovar em ata antes)","Verificar: fonte fora do guia","Sim")),"Incompleto"))</f>
        <v/>
      </c>
    </row>
    <row r="212">
      <c r="A212" s="15" t="n"/>
      <c r="B212" s="20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6">
        <f>IF(M212="","",IF(M212&lt;&gt;C212,"Sim","NÃO"))</f>
        <v/>
      </c>
      <c r="O212" s="16">
        <f>IF(A212="","",IF(AND(B212&lt;&gt;"",C212&lt;&gt;"",D212&lt;&gt;"",E212&lt;&gt;"",G212&lt;&gt;"",LEN(TRIM(H212))=64,I212&lt;&gt;"",J212&lt;&gt;""),IF(COUNTIF(Atas_Comite!$A$2:$A$301,J212)=0,"NÃO – ata não encontrada",IF(D212="Outra (aprovar em ata antes)","Verificar: fonte fora do guia","Sim")),"Incompleto"))</f>
        <v/>
      </c>
    </row>
    <row r="213">
      <c r="A213" s="15" t="n"/>
      <c r="B213" s="20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6">
        <f>IF(M213="","",IF(M213&lt;&gt;C213,"Sim","NÃO"))</f>
        <v/>
      </c>
      <c r="O213" s="16">
        <f>IF(A213="","",IF(AND(B213&lt;&gt;"",C213&lt;&gt;"",D213&lt;&gt;"",E213&lt;&gt;"",G213&lt;&gt;"",LEN(TRIM(H213))=64,I213&lt;&gt;"",J213&lt;&gt;""),IF(COUNTIF(Atas_Comite!$A$2:$A$301,J213)=0,"NÃO – ata não encontrada",IF(D213="Outra (aprovar em ata antes)","Verificar: fonte fora do guia","Sim")),"Incompleto"))</f>
        <v/>
      </c>
    </row>
    <row r="214">
      <c r="A214" s="15" t="n"/>
      <c r="B214" s="20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6">
        <f>IF(M214="","",IF(M214&lt;&gt;C214,"Sim","NÃO"))</f>
        <v/>
      </c>
      <c r="O214" s="16">
        <f>IF(A214="","",IF(AND(B214&lt;&gt;"",C214&lt;&gt;"",D214&lt;&gt;"",E214&lt;&gt;"",G214&lt;&gt;"",LEN(TRIM(H214))=64,I214&lt;&gt;"",J214&lt;&gt;""),IF(COUNTIF(Atas_Comite!$A$2:$A$301,J214)=0,"NÃO – ata não encontrada",IF(D214="Outra (aprovar em ata antes)","Verificar: fonte fora do guia","Sim")),"Incompleto"))</f>
        <v/>
      </c>
    </row>
    <row r="215">
      <c r="A215" s="15" t="n"/>
      <c r="B215" s="20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6">
        <f>IF(M215="","",IF(M215&lt;&gt;C215,"Sim","NÃO"))</f>
        <v/>
      </c>
      <c r="O215" s="16">
        <f>IF(A215="","",IF(AND(B215&lt;&gt;"",C215&lt;&gt;"",D215&lt;&gt;"",E215&lt;&gt;"",G215&lt;&gt;"",LEN(TRIM(H215))=64,I215&lt;&gt;"",J215&lt;&gt;""),IF(COUNTIF(Atas_Comite!$A$2:$A$301,J215)=0,"NÃO – ata não encontrada",IF(D215="Outra (aprovar em ata antes)","Verificar: fonte fora do guia","Sim")),"Incompleto"))</f>
        <v/>
      </c>
    </row>
    <row r="216">
      <c r="A216" s="15" t="n"/>
      <c r="B216" s="20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6">
        <f>IF(M216="","",IF(M216&lt;&gt;C216,"Sim","NÃO"))</f>
        <v/>
      </c>
      <c r="O216" s="16">
        <f>IF(A216="","",IF(AND(B216&lt;&gt;"",C216&lt;&gt;"",D216&lt;&gt;"",E216&lt;&gt;"",G216&lt;&gt;"",LEN(TRIM(H216))=64,I216&lt;&gt;"",J216&lt;&gt;""),IF(COUNTIF(Atas_Comite!$A$2:$A$301,J216)=0,"NÃO – ata não encontrada",IF(D216="Outra (aprovar em ata antes)","Verificar: fonte fora do guia","Sim")),"Incompleto"))</f>
        <v/>
      </c>
    </row>
    <row r="217">
      <c r="A217" s="15" t="n"/>
      <c r="B217" s="20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6">
        <f>IF(M217="","",IF(M217&lt;&gt;C217,"Sim","NÃO"))</f>
        <v/>
      </c>
      <c r="O217" s="16">
        <f>IF(A217="","",IF(AND(B217&lt;&gt;"",C217&lt;&gt;"",D217&lt;&gt;"",E217&lt;&gt;"",G217&lt;&gt;"",LEN(TRIM(H217))=64,I217&lt;&gt;"",J217&lt;&gt;""),IF(COUNTIF(Atas_Comite!$A$2:$A$301,J217)=0,"NÃO – ata não encontrada",IF(D217="Outra (aprovar em ata antes)","Verificar: fonte fora do guia","Sim")),"Incompleto"))</f>
        <v/>
      </c>
    </row>
    <row r="218">
      <c r="A218" s="15" t="n"/>
      <c r="B218" s="20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6">
        <f>IF(M218="","",IF(M218&lt;&gt;C218,"Sim","NÃO"))</f>
        <v/>
      </c>
      <c r="O218" s="16">
        <f>IF(A218="","",IF(AND(B218&lt;&gt;"",C218&lt;&gt;"",D218&lt;&gt;"",E218&lt;&gt;"",G218&lt;&gt;"",LEN(TRIM(H218))=64,I218&lt;&gt;"",J218&lt;&gt;""),IF(COUNTIF(Atas_Comite!$A$2:$A$301,J218)=0,"NÃO – ata não encontrada",IF(D218="Outra (aprovar em ata antes)","Verificar: fonte fora do guia","Sim")),"Incompleto"))</f>
        <v/>
      </c>
    </row>
    <row r="219">
      <c r="A219" s="15" t="n"/>
      <c r="B219" s="20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6">
        <f>IF(M219="","",IF(M219&lt;&gt;C219,"Sim","NÃO"))</f>
        <v/>
      </c>
      <c r="O219" s="16">
        <f>IF(A219="","",IF(AND(B219&lt;&gt;"",C219&lt;&gt;"",D219&lt;&gt;"",E219&lt;&gt;"",G219&lt;&gt;"",LEN(TRIM(H219))=64,I219&lt;&gt;"",J219&lt;&gt;""),IF(COUNTIF(Atas_Comite!$A$2:$A$301,J219)=0,"NÃO – ata não encontrada",IF(D219="Outra (aprovar em ata antes)","Verificar: fonte fora do guia","Sim")),"Incompleto"))</f>
        <v/>
      </c>
    </row>
    <row r="220">
      <c r="A220" s="15" t="n"/>
      <c r="B220" s="20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6">
        <f>IF(M220="","",IF(M220&lt;&gt;C220,"Sim","NÃO"))</f>
        <v/>
      </c>
      <c r="O220" s="16">
        <f>IF(A220="","",IF(AND(B220&lt;&gt;"",C220&lt;&gt;"",D220&lt;&gt;"",E220&lt;&gt;"",G220&lt;&gt;"",LEN(TRIM(H220))=64,I220&lt;&gt;"",J220&lt;&gt;""),IF(COUNTIF(Atas_Comite!$A$2:$A$301,J220)=0,"NÃO – ata não encontrada",IF(D220="Outra (aprovar em ata antes)","Verificar: fonte fora do guia","Sim")),"Incompleto"))</f>
        <v/>
      </c>
    </row>
    <row r="221">
      <c r="A221" s="15" t="n"/>
      <c r="B221" s="20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6">
        <f>IF(M221="","",IF(M221&lt;&gt;C221,"Sim","NÃO"))</f>
        <v/>
      </c>
      <c r="O221" s="16">
        <f>IF(A221="","",IF(AND(B221&lt;&gt;"",C221&lt;&gt;"",D221&lt;&gt;"",E221&lt;&gt;"",G221&lt;&gt;"",LEN(TRIM(H221))=64,I221&lt;&gt;"",J221&lt;&gt;""),IF(COUNTIF(Atas_Comite!$A$2:$A$301,J221)=0,"NÃO – ata não encontrada",IF(D221="Outra (aprovar em ata antes)","Verificar: fonte fora do guia","Sim")),"Incompleto"))</f>
        <v/>
      </c>
    </row>
    <row r="222">
      <c r="A222" s="15" t="n"/>
      <c r="B222" s="20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6">
        <f>IF(M222="","",IF(M222&lt;&gt;C222,"Sim","NÃO"))</f>
        <v/>
      </c>
      <c r="O222" s="16">
        <f>IF(A222="","",IF(AND(B222&lt;&gt;"",C222&lt;&gt;"",D222&lt;&gt;"",E222&lt;&gt;"",G222&lt;&gt;"",LEN(TRIM(H222))=64,I222&lt;&gt;"",J222&lt;&gt;""),IF(COUNTIF(Atas_Comite!$A$2:$A$301,J222)=0,"NÃO – ata não encontrada",IF(D222="Outra (aprovar em ata antes)","Verificar: fonte fora do guia","Sim")),"Incompleto"))</f>
        <v/>
      </c>
    </row>
    <row r="223">
      <c r="A223" s="15" t="n"/>
      <c r="B223" s="20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6">
        <f>IF(M223="","",IF(M223&lt;&gt;C223,"Sim","NÃO"))</f>
        <v/>
      </c>
      <c r="O223" s="16">
        <f>IF(A223="","",IF(AND(B223&lt;&gt;"",C223&lt;&gt;"",D223&lt;&gt;"",E223&lt;&gt;"",G223&lt;&gt;"",LEN(TRIM(H223))=64,I223&lt;&gt;"",J223&lt;&gt;""),IF(COUNTIF(Atas_Comite!$A$2:$A$301,J223)=0,"NÃO – ata não encontrada",IF(D223="Outra (aprovar em ata antes)","Verificar: fonte fora do guia","Sim")),"Incompleto"))</f>
        <v/>
      </c>
    </row>
    <row r="224">
      <c r="A224" s="15" t="n"/>
      <c r="B224" s="20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6">
        <f>IF(M224="","",IF(M224&lt;&gt;C224,"Sim","NÃO"))</f>
        <v/>
      </c>
      <c r="O224" s="16">
        <f>IF(A224="","",IF(AND(B224&lt;&gt;"",C224&lt;&gt;"",D224&lt;&gt;"",E224&lt;&gt;"",G224&lt;&gt;"",LEN(TRIM(H224))=64,I224&lt;&gt;"",J224&lt;&gt;""),IF(COUNTIF(Atas_Comite!$A$2:$A$301,J224)=0,"NÃO – ata não encontrada",IF(D224="Outra (aprovar em ata antes)","Verificar: fonte fora do guia","Sim")),"Incompleto"))</f>
        <v/>
      </c>
    </row>
    <row r="225">
      <c r="A225" s="15" t="n"/>
      <c r="B225" s="20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6">
        <f>IF(M225="","",IF(M225&lt;&gt;C225,"Sim","NÃO"))</f>
        <v/>
      </c>
      <c r="O225" s="16">
        <f>IF(A225="","",IF(AND(B225&lt;&gt;"",C225&lt;&gt;"",D225&lt;&gt;"",E225&lt;&gt;"",G225&lt;&gt;"",LEN(TRIM(H225))=64,I225&lt;&gt;"",J225&lt;&gt;""),IF(COUNTIF(Atas_Comite!$A$2:$A$301,J225)=0,"NÃO – ata não encontrada",IF(D225="Outra (aprovar em ata antes)","Verificar: fonte fora do guia","Sim")),"Incompleto"))</f>
        <v/>
      </c>
    </row>
    <row r="226">
      <c r="A226" s="15" t="n"/>
      <c r="B226" s="20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6">
        <f>IF(M226="","",IF(M226&lt;&gt;C226,"Sim","NÃO"))</f>
        <v/>
      </c>
      <c r="O226" s="16">
        <f>IF(A226="","",IF(AND(B226&lt;&gt;"",C226&lt;&gt;"",D226&lt;&gt;"",E226&lt;&gt;"",G226&lt;&gt;"",LEN(TRIM(H226))=64,I226&lt;&gt;"",J226&lt;&gt;""),IF(COUNTIF(Atas_Comite!$A$2:$A$301,J226)=0,"NÃO – ata não encontrada",IF(D226="Outra (aprovar em ata antes)","Verificar: fonte fora do guia","Sim")),"Incompleto"))</f>
        <v/>
      </c>
    </row>
    <row r="227">
      <c r="A227" s="15" t="n"/>
      <c r="B227" s="20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6">
        <f>IF(M227="","",IF(M227&lt;&gt;C227,"Sim","NÃO"))</f>
        <v/>
      </c>
      <c r="O227" s="16">
        <f>IF(A227="","",IF(AND(B227&lt;&gt;"",C227&lt;&gt;"",D227&lt;&gt;"",E227&lt;&gt;"",G227&lt;&gt;"",LEN(TRIM(H227))=64,I227&lt;&gt;"",J227&lt;&gt;""),IF(COUNTIF(Atas_Comite!$A$2:$A$301,J227)=0,"NÃO – ata não encontrada",IF(D227="Outra (aprovar em ata antes)","Verificar: fonte fora do guia","Sim")),"Incompleto"))</f>
        <v/>
      </c>
    </row>
    <row r="228">
      <c r="A228" s="15" t="n"/>
      <c r="B228" s="20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6">
        <f>IF(M228="","",IF(M228&lt;&gt;C228,"Sim","NÃO"))</f>
        <v/>
      </c>
      <c r="O228" s="16">
        <f>IF(A228="","",IF(AND(B228&lt;&gt;"",C228&lt;&gt;"",D228&lt;&gt;"",E228&lt;&gt;"",G228&lt;&gt;"",LEN(TRIM(H228))=64,I228&lt;&gt;"",J228&lt;&gt;""),IF(COUNTIF(Atas_Comite!$A$2:$A$301,J228)=0,"NÃO – ata não encontrada",IF(D228="Outra (aprovar em ata antes)","Verificar: fonte fora do guia","Sim")),"Incompleto"))</f>
        <v/>
      </c>
    </row>
    <row r="229">
      <c r="A229" s="15" t="n"/>
      <c r="B229" s="20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6">
        <f>IF(M229="","",IF(M229&lt;&gt;C229,"Sim","NÃO"))</f>
        <v/>
      </c>
      <c r="O229" s="16">
        <f>IF(A229="","",IF(AND(B229&lt;&gt;"",C229&lt;&gt;"",D229&lt;&gt;"",E229&lt;&gt;"",G229&lt;&gt;"",LEN(TRIM(H229))=64,I229&lt;&gt;"",J229&lt;&gt;""),IF(COUNTIF(Atas_Comite!$A$2:$A$301,J229)=0,"NÃO – ata não encontrada",IF(D229="Outra (aprovar em ata antes)","Verificar: fonte fora do guia","Sim")),"Incompleto"))</f>
        <v/>
      </c>
    </row>
    <row r="230">
      <c r="A230" s="15" t="n"/>
      <c r="B230" s="20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6">
        <f>IF(M230="","",IF(M230&lt;&gt;C230,"Sim","NÃO"))</f>
        <v/>
      </c>
      <c r="O230" s="16">
        <f>IF(A230="","",IF(AND(B230&lt;&gt;"",C230&lt;&gt;"",D230&lt;&gt;"",E230&lt;&gt;"",G230&lt;&gt;"",LEN(TRIM(H230))=64,I230&lt;&gt;"",J230&lt;&gt;""),IF(COUNTIF(Atas_Comite!$A$2:$A$301,J230)=0,"NÃO – ata não encontrada",IF(D230="Outra (aprovar em ata antes)","Verificar: fonte fora do guia","Sim")),"Incompleto"))</f>
        <v/>
      </c>
    </row>
    <row r="231">
      <c r="A231" s="15" t="n"/>
      <c r="B231" s="20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6">
        <f>IF(M231="","",IF(M231&lt;&gt;C231,"Sim","NÃO"))</f>
        <v/>
      </c>
      <c r="O231" s="16">
        <f>IF(A231="","",IF(AND(B231&lt;&gt;"",C231&lt;&gt;"",D231&lt;&gt;"",E231&lt;&gt;"",G231&lt;&gt;"",LEN(TRIM(H231))=64,I231&lt;&gt;"",J231&lt;&gt;""),IF(COUNTIF(Atas_Comite!$A$2:$A$301,J231)=0,"NÃO – ata não encontrada",IF(D231="Outra (aprovar em ata antes)","Verificar: fonte fora do guia","Sim")),"Incompleto"))</f>
        <v/>
      </c>
    </row>
    <row r="232">
      <c r="A232" s="15" t="n"/>
      <c r="B232" s="20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6">
        <f>IF(M232="","",IF(M232&lt;&gt;C232,"Sim","NÃO"))</f>
        <v/>
      </c>
      <c r="O232" s="16">
        <f>IF(A232="","",IF(AND(B232&lt;&gt;"",C232&lt;&gt;"",D232&lt;&gt;"",E232&lt;&gt;"",G232&lt;&gt;"",LEN(TRIM(H232))=64,I232&lt;&gt;"",J232&lt;&gt;""),IF(COUNTIF(Atas_Comite!$A$2:$A$301,J232)=0,"NÃO – ata não encontrada",IF(D232="Outra (aprovar em ata antes)","Verificar: fonte fora do guia","Sim")),"Incompleto"))</f>
        <v/>
      </c>
    </row>
    <row r="233">
      <c r="A233" s="15" t="n"/>
      <c r="B233" s="20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6">
        <f>IF(M233="","",IF(M233&lt;&gt;C233,"Sim","NÃO"))</f>
        <v/>
      </c>
      <c r="O233" s="16">
        <f>IF(A233="","",IF(AND(B233&lt;&gt;"",C233&lt;&gt;"",D233&lt;&gt;"",E233&lt;&gt;"",G233&lt;&gt;"",LEN(TRIM(H233))=64,I233&lt;&gt;"",J233&lt;&gt;""),IF(COUNTIF(Atas_Comite!$A$2:$A$301,J233)=0,"NÃO – ata não encontrada",IF(D233="Outra (aprovar em ata antes)","Verificar: fonte fora do guia","Sim")),"Incompleto"))</f>
        <v/>
      </c>
    </row>
    <row r="234">
      <c r="A234" s="15" t="n"/>
      <c r="B234" s="20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6">
        <f>IF(M234="","",IF(M234&lt;&gt;C234,"Sim","NÃO"))</f>
        <v/>
      </c>
      <c r="O234" s="16">
        <f>IF(A234="","",IF(AND(B234&lt;&gt;"",C234&lt;&gt;"",D234&lt;&gt;"",E234&lt;&gt;"",G234&lt;&gt;"",LEN(TRIM(H234))=64,I234&lt;&gt;"",J234&lt;&gt;""),IF(COUNTIF(Atas_Comite!$A$2:$A$301,J234)=0,"NÃO – ata não encontrada",IF(D234="Outra (aprovar em ata antes)","Verificar: fonte fora do guia","Sim")),"Incompleto"))</f>
        <v/>
      </c>
    </row>
    <row r="235">
      <c r="A235" s="15" t="n"/>
      <c r="B235" s="20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6">
        <f>IF(M235="","",IF(M235&lt;&gt;C235,"Sim","NÃO"))</f>
        <v/>
      </c>
      <c r="O235" s="16">
        <f>IF(A235="","",IF(AND(B235&lt;&gt;"",C235&lt;&gt;"",D235&lt;&gt;"",E235&lt;&gt;"",G235&lt;&gt;"",LEN(TRIM(H235))=64,I235&lt;&gt;"",J235&lt;&gt;""),IF(COUNTIF(Atas_Comite!$A$2:$A$301,J235)=0,"NÃO – ata não encontrada",IF(D235="Outra (aprovar em ata antes)","Verificar: fonte fora do guia","Sim")),"Incompleto"))</f>
        <v/>
      </c>
    </row>
    <row r="236">
      <c r="A236" s="15" t="n"/>
      <c r="B236" s="20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6">
        <f>IF(M236="","",IF(M236&lt;&gt;C236,"Sim","NÃO"))</f>
        <v/>
      </c>
      <c r="O236" s="16">
        <f>IF(A236="","",IF(AND(B236&lt;&gt;"",C236&lt;&gt;"",D236&lt;&gt;"",E236&lt;&gt;"",G236&lt;&gt;"",LEN(TRIM(H236))=64,I236&lt;&gt;"",J236&lt;&gt;""),IF(COUNTIF(Atas_Comite!$A$2:$A$301,J236)=0,"NÃO – ata não encontrada",IF(D236="Outra (aprovar em ata antes)","Verificar: fonte fora do guia","Sim")),"Incompleto"))</f>
        <v/>
      </c>
    </row>
    <row r="237">
      <c r="A237" s="15" t="n"/>
      <c r="B237" s="20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6">
        <f>IF(M237="","",IF(M237&lt;&gt;C237,"Sim","NÃO"))</f>
        <v/>
      </c>
      <c r="O237" s="16">
        <f>IF(A237="","",IF(AND(B237&lt;&gt;"",C237&lt;&gt;"",D237&lt;&gt;"",E237&lt;&gt;"",G237&lt;&gt;"",LEN(TRIM(H237))=64,I237&lt;&gt;"",J237&lt;&gt;""),IF(COUNTIF(Atas_Comite!$A$2:$A$301,J237)=0,"NÃO – ata não encontrada",IF(D237="Outra (aprovar em ata antes)","Verificar: fonte fora do guia","Sim")),"Incompleto"))</f>
        <v/>
      </c>
    </row>
    <row r="238">
      <c r="A238" s="15" t="n"/>
      <c r="B238" s="20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6">
        <f>IF(M238="","",IF(M238&lt;&gt;C238,"Sim","NÃO"))</f>
        <v/>
      </c>
      <c r="O238" s="16">
        <f>IF(A238="","",IF(AND(B238&lt;&gt;"",C238&lt;&gt;"",D238&lt;&gt;"",E238&lt;&gt;"",G238&lt;&gt;"",LEN(TRIM(H238))=64,I238&lt;&gt;"",J238&lt;&gt;""),IF(COUNTIF(Atas_Comite!$A$2:$A$301,J238)=0,"NÃO – ata não encontrada",IF(D238="Outra (aprovar em ata antes)","Verificar: fonte fora do guia","Sim")),"Incompleto"))</f>
        <v/>
      </c>
    </row>
    <row r="239">
      <c r="A239" s="15" t="n"/>
      <c r="B239" s="20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6">
        <f>IF(M239="","",IF(M239&lt;&gt;C239,"Sim","NÃO"))</f>
        <v/>
      </c>
      <c r="O239" s="16">
        <f>IF(A239="","",IF(AND(B239&lt;&gt;"",C239&lt;&gt;"",D239&lt;&gt;"",E239&lt;&gt;"",G239&lt;&gt;"",LEN(TRIM(H239))=64,I239&lt;&gt;"",J239&lt;&gt;""),IF(COUNTIF(Atas_Comite!$A$2:$A$301,J239)=0,"NÃO – ata não encontrada",IF(D239="Outra (aprovar em ata antes)","Verificar: fonte fora do guia","Sim")),"Incompleto"))</f>
        <v/>
      </c>
    </row>
    <row r="240">
      <c r="A240" s="15" t="n"/>
      <c r="B240" s="20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6">
        <f>IF(M240="","",IF(M240&lt;&gt;C240,"Sim","NÃO"))</f>
        <v/>
      </c>
      <c r="O240" s="16">
        <f>IF(A240="","",IF(AND(B240&lt;&gt;"",C240&lt;&gt;"",D240&lt;&gt;"",E240&lt;&gt;"",G240&lt;&gt;"",LEN(TRIM(H240))=64,I240&lt;&gt;"",J240&lt;&gt;""),IF(COUNTIF(Atas_Comite!$A$2:$A$301,J240)=0,"NÃO – ata não encontrada",IF(D240="Outra (aprovar em ata antes)","Verificar: fonte fora do guia","Sim")),"Incompleto"))</f>
        <v/>
      </c>
    </row>
    <row r="241">
      <c r="A241" s="15" t="n"/>
      <c r="B241" s="20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6">
        <f>IF(M241="","",IF(M241&lt;&gt;C241,"Sim","NÃO"))</f>
        <v/>
      </c>
      <c r="O241" s="16">
        <f>IF(A241="","",IF(AND(B241&lt;&gt;"",C241&lt;&gt;"",D241&lt;&gt;"",E241&lt;&gt;"",G241&lt;&gt;"",LEN(TRIM(H241))=64,I241&lt;&gt;"",J241&lt;&gt;""),IF(COUNTIF(Atas_Comite!$A$2:$A$301,J241)=0,"NÃO – ata não encontrada",IF(D241="Outra (aprovar em ata antes)","Verificar: fonte fora do guia","Sim")),"Incompleto"))</f>
        <v/>
      </c>
    </row>
    <row r="242">
      <c r="A242" s="15" t="n"/>
      <c r="B242" s="20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6">
        <f>IF(M242="","",IF(M242&lt;&gt;C242,"Sim","NÃO"))</f>
        <v/>
      </c>
      <c r="O242" s="16">
        <f>IF(A242="","",IF(AND(B242&lt;&gt;"",C242&lt;&gt;"",D242&lt;&gt;"",E242&lt;&gt;"",G242&lt;&gt;"",LEN(TRIM(H242))=64,I242&lt;&gt;"",J242&lt;&gt;""),IF(COUNTIF(Atas_Comite!$A$2:$A$301,J242)=0,"NÃO – ata não encontrada",IF(D242="Outra (aprovar em ata antes)","Verificar: fonte fora do guia","Sim")),"Incompleto"))</f>
        <v/>
      </c>
    </row>
    <row r="243">
      <c r="A243" s="15" t="n"/>
      <c r="B243" s="20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6">
        <f>IF(M243="","",IF(M243&lt;&gt;C243,"Sim","NÃO"))</f>
        <v/>
      </c>
      <c r="O243" s="16">
        <f>IF(A243="","",IF(AND(B243&lt;&gt;"",C243&lt;&gt;"",D243&lt;&gt;"",E243&lt;&gt;"",G243&lt;&gt;"",LEN(TRIM(H243))=64,I243&lt;&gt;"",J243&lt;&gt;""),IF(COUNTIF(Atas_Comite!$A$2:$A$301,J243)=0,"NÃO – ata não encontrada",IF(D243="Outra (aprovar em ata antes)","Verificar: fonte fora do guia","Sim")),"Incompleto"))</f>
        <v/>
      </c>
    </row>
    <row r="244">
      <c r="A244" s="15" t="n"/>
      <c r="B244" s="20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6">
        <f>IF(M244="","",IF(M244&lt;&gt;C244,"Sim","NÃO"))</f>
        <v/>
      </c>
      <c r="O244" s="16">
        <f>IF(A244="","",IF(AND(B244&lt;&gt;"",C244&lt;&gt;"",D244&lt;&gt;"",E244&lt;&gt;"",G244&lt;&gt;"",LEN(TRIM(H244))=64,I244&lt;&gt;"",J244&lt;&gt;""),IF(COUNTIF(Atas_Comite!$A$2:$A$301,J244)=0,"NÃO – ata não encontrada",IF(D244="Outra (aprovar em ata antes)","Verificar: fonte fora do guia","Sim")),"Incompleto"))</f>
        <v/>
      </c>
    </row>
    <row r="245">
      <c r="A245" s="15" t="n"/>
      <c r="B245" s="20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6">
        <f>IF(M245="","",IF(M245&lt;&gt;C245,"Sim","NÃO"))</f>
        <v/>
      </c>
      <c r="O245" s="16">
        <f>IF(A245="","",IF(AND(B245&lt;&gt;"",C245&lt;&gt;"",D245&lt;&gt;"",E245&lt;&gt;"",G245&lt;&gt;"",LEN(TRIM(H245))=64,I245&lt;&gt;"",J245&lt;&gt;""),IF(COUNTIF(Atas_Comite!$A$2:$A$301,J245)=0,"NÃO – ata não encontrada",IF(D245="Outra (aprovar em ata antes)","Verificar: fonte fora do guia","Sim")),"Incompleto"))</f>
        <v/>
      </c>
    </row>
    <row r="246">
      <c r="A246" s="15" t="n"/>
      <c r="B246" s="20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6">
        <f>IF(M246="","",IF(M246&lt;&gt;C246,"Sim","NÃO"))</f>
        <v/>
      </c>
      <c r="O246" s="16">
        <f>IF(A246="","",IF(AND(B246&lt;&gt;"",C246&lt;&gt;"",D246&lt;&gt;"",E246&lt;&gt;"",G246&lt;&gt;"",LEN(TRIM(H246))=64,I246&lt;&gt;"",J246&lt;&gt;""),IF(COUNTIF(Atas_Comite!$A$2:$A$301,J246)=0,"NÃO – ata não encontrada",IF(D246="Outra (aprovar em ata antes)","Verificar: fonte fora do guia","Sim")),"Incompleto"))</f>
        <v/>
      </c>
    </row>
    <row r="247">
      <c r="A247" s="15" t="n"/>
      <c r="B247" s="20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6">
        <f>IF(M247="","",IF(M247&lt;&gt;C247,"Sim","NÃO"))</f>
        <v/>
      </c>
      <c r="O247" s="16">
        <f>IF(A247="","",IF(AND(B247&lt;&gt;"",C247&lt;&gt;"",D247&lt;&gt;"",E247&lt;&gt;"",G247&lt;&gt;"",LEN(TRIM(H247))=64,I247&lt;&gt;"",J247&lt;&gt;""),IF(COUNTIF(Atas_Comite!$A$2:$A$301,J247)=0,"NÃO – ata não encontrada",IF(D247="Outra (aprovar em ata antes)","Verificar: fonte fora do guia","Sim")),"Incompleto"))</f>
        <v/>
      </c>
    </row>
    <row r="248">
      <c r="A248" s="15" t="n"/>
      <c r="B248" s="20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6">
        <f>IF(M248="","",IF(M248&lt;&gt;C248,"Sim","NÃO"))</f>
        <v/>
      </c>
      <c r="O248" s="16">
        <f>IF(A248="","",IF(AND(B248&lt;&gt;"",C248&lt;&gt;"",D248&lt;&gt;"",E248&lt;&gt;"",G248&lt;&gt;"",LEN(TRIM(H248))=64,I248&lt;&gt;"",J248&lt;&gt;""),IF(COUNTIF(Atas_Comite!$A$2:$A$301,J248)=0,"NÃO – ata não encontrada",IF(D248="Outra (aprovar em ata antes)","Verificar: fonte fora do guia","Sim")),"Incompleto"))</f>
        <v/>
      </c>
    </row>
    <row r="249">
      <c r="A249" s="15" t="n"/>
      <c r="B249" s="20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6">
        <f>IF(M249="","",IF(M249&lt;&gt;C249,"Sim","NÃO"))</f>
        <v/>
      </c>
      <c r="O249" s="16">
        <f>IF(A249="","",IF(AND(B249&lt;&gt;"",C249&lt;&gt;"",D249&lt;&gt;"",E249&lt;&gt;"",G249&lt;&gt;"",LEN(TRIM(H249))=64,I249&lt;&gt;"",J249&lt;&gt;""),IF(COUNTIF(Atas_Comite!$A$2:$A$301,J249)=0,"NÃO – ata não encontrada",IF(D249="Outra (aprovar em ata antes)","Verificar: fonte fora do guia","Sim")),"Incompleto"))</f>
        <v/>
      </c>
    </row>
    <row r="250">
      <c r="A250" s="15" t="n"/>
      <c r="B250" s="20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6">
        <f>IF(M250="","",IF(M250&lt;&gt;C250,"Sim","NÃO"))</f>
        <v/>
      </c>
      <c r="O250" s="16">
        <f>IF(A250="","",IF(AND(B250&lt;&gt;"",C250&lt;&gt;"",D250&lt;&gt;"",E250&lt;&gt;"",G250&lt;&gt;"",LEN(TRIM(H250))=64,I250&lt;&gt;"",J250&lt;&gt;""),IF(COUNTIF(Atas_Comite!$A$2:$A$301,J250)=0,"NÃO – ata não encontrada",IF(D250="Outra (aprovar em ata antes)","Verificar: fonte fora do guia","Sim")),"Incompleto"))</f>
        <v/>
      </c>
    </row>
    <row r="251">
      <c r="A251" s="15" t="n"/>
      <c r="B251" s="20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6">
        <f>IF(M251="","",IF(M251&lt;&gt;C251,"Sim","NÃO"))</f>
        <v/>
      </c>
      <c r="O251" s="16">
        <f>IF(A251="","",IF(AND(B251&lt;&gt;"",C251&lt;&gt;"",D251&lt;&gt;"",E251&lt;&gt;"",G251&lt;&gt;"",LEN(TRIM(H251))=64,I251&lt;&gt;"",J251&lt;&gt;""),IF(COUNTIF(Atas_Comite!$A$2:$A$301,J251)=0,"NÃO – ata não encontrada",IF(D251="Outra (aprovar em ata antes)","Verificar: fonte fora do guia","Sim")),"Incompleto"))</f>
        <v/>
      </c>
    </row>
    <row r="252">
      <c r="A252" s="15" t="n"/>
      <c r="B252" s="20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6">
        <f>IF(M252="","",IF(M252&lt;&gt;C252,"Sim","NÃO"))</f>
        <v/>
      </c>
      <c r="O252" s="16">
        <f>IF(A252="","",IF(AND(B252&lt;&gt;"",C252&lt;&gt;"",D252&lt;&gt;"",E252&lt;&gt;"",G252&lt;&gt;"",LEN(TRIM(H252))=64,I252&lt;&gt;"",J252&lt;&gt;""),IF(COUNTIF(Atas_Comite!$A$2:$A$301,J252)=0,"NÃO – ata não encontrada",IF(D252="Outra (aprovar em ata antes)","Verificar: fonte fora do guia","Sim")),"Incompleto"))</f>
        <v/>
      </c>
    </row>
    <row r="253">
      <c r="A253" s="15" t="n"/>
      <c r="B253" s="20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6">
        <f>IF(M253="","",IF(M253&lt;&gt;C253,"Sim","NÃO"))</f>
        <v/>
      </c>
      <c r="O253" s="16">
        <f>IF(A253="","",IF(AND(B253&lt;&gt;"",C253&lt;&gt;"",D253&lt;&gt;"",E253&lt;&gt;"",G253&lt;&gt;"",LEN(TRIM(H253))=64,I253&lt;&gt;"",J253&lt;&gt;""),IF(COUNTIF(Atas_Comite!$A$2:$A$301,J253)=0,"NÃO – ata não encontrada",IF(D253="Outra (aprovar em ata antes)","Verificar: fonte fora do guia","Sim")),"Incompleto"))</f>
        <v/>
      </c>
    </row>
    <row r="254">
      <c r="A254" s="15" t="n"/>
      <c r="B254" s="20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6">
        <f>IF(M254="","",IF(M254&lt;&gt;C254,"Sim","NÃO"))</f>
        <v/>
      </c>
      <c r="O254" s="16">
        <f>IF(A254="","",IF(AND(B254&lt;&gt;"",C254&lt;&gt;"",D254&lt;&gt;"",E254&lt;&gt;"",G254&lt;&gt;"",LEN(TRIM(H254))=64,I254&lt;&gt;"",J254&lt;&gt;""),IF(COUNTIF(Atas_Comite!$A$2:$A$301,J254)=0,"NÃO – ata não encontrada",IF(D254="Outra (aprovar em ata antes)","Verificar: fonte fora do guia","Sim")),"Incompleto"))</f>
        <v/>
      </c>
    </row>
    <row r="255">
      <c r="A255" s="15" t="n"/>
      <c r="B255" s="20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6">
        <f>IF(M255="","",IF(M255&lt;&gt;C255,"Sim","NÃO"))</f>
        <v/>
      </c>
      <c r="O255" s="16">
        <f>IF(A255="","",IF(AND(B255&lt;&gt;"",C255&lt;&gt;"",D255&lt;&gt;"",E255&lt;&gt;"",G255&lt;&gt;"",LEN(TRIM(H255))=64,I255&lt;&gt;"",J255&lt;&gt;""),IF(COUNTIF(Atas_Comite!$A$2:$A$301,J255)=0,"NÃO – ata não encontrada",IF(D255="Outra (aprovar em ata antes)","Verificar: fonte fora do guia","Sim")),"Incompleto"))</f>
        <v/>
      </c>
    </row>
    <row r="256">
      <c r="A256" s="15" t="n"/>
      <c r="B256" s="20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6">
        <f>IF(M256="","",IF(M256&lt;&gt;C256,"Sim","NÃO"))</f>
        <v/>
      </c>
      <c r="O256" s="16">
        <f>IF(A256="","",IF(AND(B256&lt;&gt;"",C256&lt;&gt;"",D256&lt;&gt;"",E256&lt;&gt;"",G256&lt;&gt;"",LEN(TRIM(H256))=64,I256&lt;&gt;"",J256&lt;&gt;""),IF(COUNTIF(Atas_Comite!$A$2:$A$301,J256)=0,"NÃO – ata não encontrada",IF(D256="Outra (aprovar em ata antes)","Verificar: fonte fora do guia","Sim")),"Incompleto"))</f>
        <v/>
      </c>
    </row>
    <row r="257">
      <c r="A257" s="15" t="n"/>
      <c r="B257" s="20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6">
        <f>IF(M257="","",IF(M257&lt;&gt;C257,"Sim","NÃO"))</f>
        <v/>
      </c>
      <c r="O257" s="16">
        <f>IF(A257="","",IF(AND(B257&lt;&gt;"",C257&lt;&gt;"",D257&lt;&gt;"",E257&lt;&gt;"",G257&lt;&gt;"",LEN(TRIM(H257))=64,I257&lt;&gt;"",J257&lt;&gt;""),IF(COUNTIF(Atas_Comite!$A$2:$A$301,J257)=0,"NÃO – ata não encontrada",IF(D257="Outra (aprovar em ata antes)","Verificar: fonte fora do guia","Sim")),"Incompleto"))</f>
        <v/>
      </c>
    </row>
    <row r="258">
      <c r="A258" s="15" t="n"/>
      <c r="B258" s="20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6">
        <f>IF(M258="","",IF(M258&lt;&gt;C258,"Sim","NÃO"))</f>
        <v/>
      </c>
      <c r="O258" s="16">
        <f>IF(A258="","",IF(AND(B258&lt;&gt;"",C258&lt;&gt;"",D258&lt;&gt;"",E258&lt;&gt;"",G258&lt;&gt;"",LEN(TRIM(H258))=64,I258&lt;&gt;"",J258&lt;&gt;""),IF(COUNTIF(Atas_Comite!$A$2:$A$301,J258)=0,"NÃO – ata não encontrada",IF(D258="Outra (aprovar em ata antes)","Verificar: fonte fora do guia","Sim")),"Incompleto"))</f>
        <v/>
      </c>
    </row>
    <row r="259">
      <c r="A259" s="15" t="n"/>
      <c r="B259" s="20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6">
        <f>IF(M259="","",IF(M259&lt;&gt;C259,"Sim","NÃO"))</f>
        <v/>
      </c>
      <c r="O259" s="16">
        <f>IF(A259="","",IF(AND(B259&lt;&gt;"",C259&lt;&gt;"",D259&lt;&gt;"",E259&lt;&gt;"",G259&lt;&gt;"",LEN(TRIM(H259))=64,I259&lt;&gt;"",J259&lt;&gt;""),IF(COUNTIF(Atas_Comite!$A$2:$A$301,J259)=0,"NÃO – ata não encontrada",IF(D259="Outra (aprovar em ata antes)","Verificar: fonte fora do guia","Sim")),"Incompleto"))</f>
        <v/>
      </c>
    </row>
    <row r="260">
      <c r="A260" s="15" t="n"/>
      <c r="B260" s="20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6">
        <f>IF(M260="","",IF(M260&lt;&gt;C260,"Sim","NÃO"))</f>
        <v/>
      </c>
      <c r="O260" s="16">
        <f>IF(A260="","",IF(AND(B260&lt;&gt;"",C260&lt;&gt;"",D260&lt;&gt;"",E260&lt;&gt;"",G260&lt;&gt;"",LEN(TRIM(H260))=64,I260&lt;&gt;"",J260&lt;&gt;""),IF(COUNTIF(Atas_Comite!$A$2:$A$301,J260)=0,"NÃO – ata não encontrada",IF(D260="Outra (aprovar em ata antes)","Verificar: fonte fora do guia","Sim")),"Incompleto"))</f>
        <v/>
      </c>
    </row>
    <row r="261">
      <c r="A261" s="15" t="n"/>
      <c r="B261" s="20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6">
        <f>IF(M261="","",IF(M261&lt;&gt;C261,"Sim","NÃO"))</f>
        <v/>
      </c>
      <c r="O261" s="16">
        <f>IF(A261="","",IF(AND(B261&lt;&gt;"",C261&lt;&gt;"",D261&lt;&gt;"",E261&lt;&gt;"",G261&lt;&gt;"",LEN(TRIM(H261))=64,I261&lt;&gt;"",J261&lt;&gt;""),IF(COUNTIF(Atas_Comite!$A$2:$A$301,J261)=0,"NÃO – ata não encontrada",IF(D261="Outra (aprovar em ata antes)","Verificar: fonte fora do guia","Sim")),"Incompleto"))</f>
        <v/>
      </c>
    </row>
    <row r="262">
      <c r="A262" s="15" t="n"/>
      <c r="B262" s="20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6">
        <f>IF(M262="","",IF(M262&lt;&gt;C262,"Sim","NÃO"))</f>
        <v/>
      </c>
      <c r="O262" s="16">
        <f>IF(A262="","",IF(AND(B262&lt;&gt;"",C262&lt;&gt;"",D262&lt;&gt;"",E262&lt;&gt;"",G262&lt;&gt;"",LEN(TRIM(H262))=64,I262&lt;&gt;"",J262&lt;&gt;""),IF(COUNTIF(Atas_Comite!$A$2:$A$301,J262)=0,"NÃO – ata não encontrada",IF(D262="Outra (aprovar em ata antes)","Verificar: fonte fora do guia","Sim")),"Incompleto"))</f>
        <v/>
      </c>
    </row>
    <row r="263">
      <c r="A263" s="15" t="n"/>
      <c r="B263" s="20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6">
        <f>IF(M263="","",IF(M263&lt;&gt;C263,"Sim","NÃO"))</f>
        <v/>
      </c>
      <c r="O263" s="16">
        <f>IF(A263="","",IF(AND(B263&lt;&gt;"",C263&lt;&gt;"",D263&lt;&gt;"",E263&lt;&gt;"",G263&lt;&gt;"",LEN(TRIM(H263))=64,I263&lt;&gt;"",J263&lt;&gt;""),IF(COUNTIF(Atas_Comite!$A$2:$A$301,J263)=0,"NÃO – ata não encontrada",IF(D263="Outra (aprovar em ata antes)","Verificar: fonte fora do guia","Sim")),"Incompleto"))</f>
        <v/>
      </c>
    </row>
    <row r="264">
      <c r="A264" s="15" t="n"/>
      <c r="B264" s="20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6">
        <f>IF(M264="","",IF(M264&lt;&gt;C264,"Sim","NÃO"))</f>
        <v/>
      </c>
      <c r="O264" s="16">
        <f>IF(A264="","",IF(AND(B264&lt;&gt;"",C264&lt;&gt;"",D264&lt;&gt;"",E264&lt;&gt;"",G264&lt;&gt;"",LEN(TRIM(H264))=64,I264&lt;&gt;"",J264&lt;&gt;""),IF(COUNTIF(Atas_Comite!$A$2:$A$301,J264)=0,"NÃO – ata não encontrada",IF(D264="Outra (aprovar em ata antes)","Verificar: fonte fora do guia","Sim")),"Incompleto"))</f>
        <v/>
      </c>
    </row>
    <row r="265">
      <c r="A265" s="15" t="n"/>
      <c r="B265" s="20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6">
        <f>IF(M265="","",IF(M265&lt;&gt;C265,"Sim","NÃO"))</f>
        <v/>
      </c>
      <c r="O265" s="16">
        <f>IF(A265="","",IF(AND(B265&lt;&gt;"",C265&lt;&gt;"",D265&lt;&gt;"",E265&lt;&gt;"",G265&lt;&gt;"",LEN(TRIM(H265))=64,I265&lt;&gt;"",J265&lt;&gt;""),IF(COUNTIF(Atas_Comite!$A$2:$A$301,J265)=0,"NÃO – ata não encontrada",IF(D265="Outra (aprovar em ata antes)","Verificar: fonte fora do guia","Sim")),"Incompleto"))</f>
        <v/>
      </c>
    </row>
    <row r="266">
      <c r="A266" s="15" t="n"/>
      <c r="B266" s="20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6">
        <f>IF(M266="","",IF(M266&lt;&gt;C266,"Sim","NÃO"))</f>
        <v/>
      </c>
      <c r="O266" s="16">
        <f>IF(A266="","",IF(AND(B266&lt;&gt;"",C266&lt;&gt;"",D266&lt;&gt;"",E266&lt;&gt;"",G266&lt;&gt;"",LEN(TRIM(H266))=64,I266&lt;&gt;"",J266&lt;&gt;""),IF(COUNTIF(Atas_Comite!$A$2:$A$301,J266)=0,"NÃO – ata não encontrada",IF(D266="Outra (aprovar em ata antes)","Verificar: fonte fora do guia","Sim")),"Incompleto"))</f>
        <v/>
      </c>
    </row>
    <row r="267">
      <c r="A267" s="15" t="n"/>
      <c r="B267" s="20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6">
        <f>IF(M267="","",IF(M267&lt;&gt;C267,"Sim","NÃO"))</f>
        <v/>
      </c>
      <c r="O267" s="16">
        <f>IF(A267="","",IF(AND(B267&lt;&gt;"",C267&lt;&gt;"",D267&lt;&gt;"",E267&lt;&gt;"",G267&lt;&gt;"",LEN(TRIM(H267))=64,I267&lt;&gt;"",J267&lt;&gt;""),IF(COUNTIF(Atas_Comite!$A$2:$A$301,J267)=0,"NÃO – ata não encontrada",IF(D267="Outra (aprovar em ata antes)","Verificar: fonte fora do guia","Sim")),"Incompleto"))</f>
        <v/>
      </c>
    </row>
    <row r="268">
      <c r="A268" s="15" t="n"/>
      <c r="B268" s="20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6">
        <f>IF(M268="","",IF(M268&lt;&gt;C268,"Sim","NÃO"))</f>
        <v/>
      </c>
      <c r="O268" s="16">
        <f>IF(A268="","",IF(AND(B268&lt;&gt;"",C268&lt;&gt;"",D268&lt;&gt;"",E268&lt;&gt;"",G268&lt;&gt;"",LEN(TRIM(H268))=64,I268&lt;&gt;"",J268&lt;&gt;""),IF(COUNTIF(Atas_Comite!$A$2:$A$301,J268)=0,"NÃO – ata não encontrada",IF(D268="Outra (aprovar em ata antes)","Verificar: fonte fora do guia","Sim")),"Incompleto"))</f>
        <v/>
      </c>
    </row>
    <row r="269">
      <c r="A269" s="15" t="n"/>
      <c r="B269" s="20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6">
        <f>IF(M269="","",IF(M269&lt;&gt;C269,"Sim","NÃO"))</f>
        <v/>
      </c>
      <c r="O269" s="16">
        <f>IF(A269="","",IF(AND(B269&lt;&gt;"",C269&lt;&gt;"",D269&lt;&gt;"",E269&lt;&gt;"",G269&lt;&gt;"",LEN(TRIM(H269))=64,I269&lt;&gt;"",J269&lt;&gt;""),IF(COUNTIF(Atas_Comite!$A$2:$A$301,J269)=0,"NÃO – ata não encontrada",IF(D269="Outra (aprovar em ata antes)","Verificar: fonte fora do guia","Sim")),"Incompleto"))</f>
        <v/>
      </c>
    </row>
    <row r="270">
      <c r="A270" s="15" t="n"/>
      <c r="B270" s="20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6">
        <f>IF(M270="","",IF(M270&lt;&gt;C270,"Sim","NÃO"))</f>
        <v/>
      </c>
      <c r="O270" s="16">
        <f>IF(A270="","",IF(AND(B270&lt;&gt;"",C270&lt;&gt;"",D270&lt;&gt;"",E270&lt;&gt;"",G270&lt;&gt;"",LEN(TRIM(H270))=64,I270&lt;&gt;"",J270&lt;&gt;""),IF(COUNTIF(Atas_Comite!$A$2:$A$301,J270)=0,"NÃO – ata não encontrada",IF(D270="Outra (aprovar em ata antes)","Verificar: fonte fora do guia","Sim")),"Incompleto"))</f>
        <v/>
      </c>
    </row>
    <row r="271">
      <c r="A271" s="15" t="n"/>
      <c r="B271" s="20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6">
        <f>IF(M271="","",IF(M271&lt;&gt;C271,"Sim","NÃO"))</f>
        <v/>
      </c>
      <c r="O271" s="16">
        <f>IF(A271="","",IF(AND(B271&lt;&gt;"",C271&lt;&gt;"",D271&lt;&gt;"",E271&lt;&gt;"",G271&lt;&gt;"",LEN(TRIM(H271))=64,I271&lt;&gt;"",J271&lt;&gt;""),IF(COUNTIF(Atas_Comite!$A$2:$A$301,J271)=0,"NÃO – ata não encontrada",IF(D271="Outra (aprovar em ata antes)","Verificar: fonte fora do guia","Sim")),"Incompleto"))</f>
        <v/>
      </c>
    </row>
    <row r="272">
      <c r="A272" s="15" t="n"/>
      <c r="B272" s="20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6">
        <f>IF(M272="","",IF(M272&lt;&gt;C272,"Sim","NÃO"))</f>
        <v/>
      </c>
      <c r="O272" s="16">
        <f>IF(A272="","",IF(AND(B272&lt;&gt;"",C272&lt;&gt;"",D272&lt;&gt;"",E272&lt;&gt;"",G272&lt;&gt;"",LEN(TRIM(H272))=64,I272&lt;&gt;"",J272&lt;&gt;""),IF(COUNTIF(Atas_Comite!$A$2:$A$301,J272)=0,"NÃO – ata não encontrada",IF(D272="Outra (aprovar em ata antes)","Verificar: fonte fora do guia","Sim")),"Incompleto"))</f>
        <v/>
      </c>
    </row>
    <row r="273">
      <c r="A273" s="15" t="n"/>
      <c r="B273" s="20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6">
        <f>IF(M273="","",IF(M273&lt;&gt;C273,"Sim","NÃO"))</f>
        <v/>
      </c>
      <c r="O273" s="16">
        <f>IF(A273="","",IF(AND(B273&lt;&gt;"",C273&lt;&gt;"",D273&lt;&gt;"",E273&lt;&gt;"",G273&lt;&gt;"",LEN(TRIM(H273))=64,I273&lt;&gt;"",J273&lt;&gt;""),IF(COUNTIF(Atas_Comite!$A$2:$A$301,J273)=0,"NÃO – ata não encontrada",IF(D273="Outra (aprovar em ata antes)","Verificar: fonte fora do guia","Sim")),"Incompleto"))</f>
        <v/>
      </c>
    </row>
    <row r="274">
      <c r="A274" s="15" t="n"/>
      <c r="B274" s="20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6">
        <f>IF(M274="","",IF(M274&lt;&gt;C274,"Sim","NÃO"))</f>
        <v/>
      </c>
      <c r="O274" s="16">
        <f>IF(A274="","",IF(AND(B274&lt;&gt;"",C274&lt;&gt;"",D274&lt;&gt;"",E274&lt;&gt;"",G274&lt;&gt;"",LEN(TRIM(H274))=64,I274&lt;&gt;"",J274&lt;&gt;""),IF(COUNTIF(Atas_Comite!$A$2:$A$301,J274)=0,"NÃO – ata não encontrada",IF(D274="Outra (aprovar em ata antes)","Verificar: fonte fora do guia","Sim")),"Incompleto"))</f>
        <v/>
      </c>
    </row>
    <row r="275">
      <c r="A275" s="15" t="n"/>
      <c r="B275" s="20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6">
        <f>IF(M275="","",IF(M275&lt;&gt;C275,"Sim","NÃO"))</f>
        <v/>
      </c>
      <c r="O275" s="16">
        <f>IF(A275="","",IF(AND(B275&lt;&gt;"",C275&lt;&gt;"",D275&lt;&gt;"",E275&lt;&gt;"",G275&lt;&gt;"",LEN(TRIM(H275))=64,I275&lt;&gt;"",J275&lt;&gt;""),IF(COUNTIF(Atas_Comite!$A$2:$A$301,J275)=0,"NÃO – ata não encontrada",IF(D275="Outra (aprovar em ata antes)","Verificar: fonte fora do guia","Sim")),"Incompleto"))</f>
        <v/>
      </c>
    </row>
    <row r="276">
      <c r="A276" s="15" t="n"/>
      <c r="B276" s="20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6">
        <f>IF(M276="","",IF(M276&lt;&gt;C276,"Sim","NÃO"))</f>
        <v/>
      </c>
      <c r="O276" s="16">
        <f>IF(A276="","",IF(AND(B276&lt;&gt;"",C276&lt;&gt;"",D276&lt;&gt;"",E276&lt;&gt;"",G276&lt;&gt;"",LEN(TRIM(H276))=64,I276&lt;&gt;"",J276&lt;&gt;""),IF(COUNTIF(Atas_Comite!$A$2:$A$301,J276)=0,"NÃO – ata não encontrada",IF(D276="Outra (aprovar em ata antes)","Verificar: fonte fora do guia","Sim")),"Incompleto"))</f>
        <v/>
      </c>
    </row>
    <row r="277">
      <c r="A277" s="15" t="n"/>
      <c r="B277" s="20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6">
        <f>IF(M277="","",IF(M277&lt;&gt;C277,"Sim","NÃO"))</f>
        <v/>
      </c>
      <c r="O277" s="16">
        <f>IF(A277="","",IF(AND(B277&lt;&gt;"",C277&lt;&gt;"",D277&lt;&gt;"",E277&lt;&gt;"",G277&lt;&gt;"",LEN(TRIM(H277))=64,I277&lt;&gt;"",J277&lt;&gt;""),IF(COUNTIF(Atas_Comite!$A$2:$A$301,J277)=0,"NÃO – ata não encontrada",IF(D277="Outra (aprovar em ata antes)","Verificar: fonte fora do guia","Sim")),"Incompleto"))</f>
        <v/>
      </c>
    </row>
    <row r="278">
      <c r="A278" s="15" t="n"/>
      <c r="B278" s="20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6">
        <f>IF(M278="","",IF(M278&lt;&gt;C278,"Sim","NÃO"))</f>
        <v/>
      </c>
      <c r="O278" s="16">
        <f>IF(A278="","",IF(AND(B278&lt;&gt;"",C278&lt;&gt;"",D278&lt;&gt;"",E278&lt;&gt;"",G278&lt;&gt;"",LEN(TRIM(H278))=64,I278&lt;&gt;"",J278&lt;&gt;""),IF(COUNTIF(Atas_Comite!$A$2:$A$301,J278)=0,"NÃO – ata não encontrada",IF(D278="Outra (aprovar em ata antes)","Verificar: fonte fora do guia","Sim")),"Incompleto"))</f>
        <v/>
      </c>
    </row>
    <row r="279">
      <c r="A279" s="15" t="n"/>
      <c r="B279" s="20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6">
        <f>IF(M279="","",IF(M279&lt;&gt;C279,"Sim","NÃO"))</f>
        <v/>
      </c>
      <c r="O279" s="16">
        <f>IF(A279="","",IF(AND(B279&lt;&gt;"",C279&lt;&gt;"",D279&lt;&gt;"",E279&lt;&gt;"",G279&lt;&gt;"",LEN(TRIM(H279))=64,I279&lt;&gt;"",J279&lt;&gt;""),IF(COUNTIF(Atas_Comite!$A$2:$A$301,J279)=0,"NÃO – ata não encontrada",IF(D279="Outra (aprovar em ata antes)","Verificar: fonte fora do guia","Sim")),"Incompleto"))</f>
        <v/>
      </c>
    </row>
    <row r="280">
      <c r="A280" s="15" t="n"/>
      <c r="B280" s="20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6">
        <f>IF(M280="","",IF(M280&lt;&gt;C280,"Sim","NÃO"))</f>
        <v/>
      </c>
      <c r="O280" s="16">
        <f>IF(A280="","",IF(AND(B280&lt;&gt;"",C280&lt;&gt;"",D280&lt;&gt;"",E280&lt;&gt;"",G280&lt;&gt;"",LEN(TRIM(H280))=64,I280&lt;&gt;"",J280&lt;&gt;""),IF(COUNTIF(Atas_Comite!$A$2:$A$301,J280)=0,"NÃO – ata não encontrada",IF(D280="Outra (aprovar em ata antes)","Verificar: fonte fora do guia","Sim")),"Incompleto"))</f>
        <v/>
      </c>
    </row>
    <row r="281">
      <c r="A281" s="15" t="n"/>
      <c r="B281" s="20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6">
        <f>IF(M281="","",IF(M281&lt;&gt;C281,"Sim","NÃO"))</f>
        <v/>
      </c>
      <c r="O281" s="16">
        <f>IF(A281="","",IF(AND(B281&lt;&gt;"",C281&lt;&gt;"",D281&lt;&gt;"",E281&lt;&gt;"",G281&lt;&gt;"",LEN(TRIM(H281))=64,I281&lt;&gt;"",J281&lt;&gt;""),IF(COUNTIF(Atas_Comite!$A$2:$A$301,J281)=0,"NÃO – ata não encontrada",IF(D281="Outra (aprovar em ata antes)","Verificar: fonte fora do guia","Sim")),"Incompleto"))</f>
        <v/>
      </c>
    </row>
    <row r="282">
      <c r="A282" s="15" t="n"/>
      <c r="B282" s="20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6">
        <f>IF(M282="","",IF(M282&lt;&gt;C282,"Sim","NÃO"))</f>
        <v/>
      </c>
      <c r="O282" s="16">
        <f>IF(A282="","",IF(AND(B282&lt;&gt;"",C282&lt;&gt;"",D282&lt;&gt;"",E282&lt;&gt;"",G282&lt;&gt;"",LEN(TRIM(H282))=64,I282&lt;&gt;"",J282&lt;&gt;""),IF(COUNTIF(Atas_Comite!$A$2:$A$301,J282)=0,"NÃO – ata não encontrada",IF(D282="Outra (aprovar em ata antes)","Verificar: fonte fora do guia","Sim")),"Incompleto"))</f>
        <v/>
      </c>
    </row>
    <row r="283">
      <c r="A283" s="15" t="n"/>
      <c r="B283" s="20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6">
        <f>IF(M283="","",IF(M283&lt;&gt;C283,"Sim","NÃO"))</f>
        <v/>
      </c>
      <c r="O283" s="16">
        <f>IF(A283="","",IF(AND(B283&lt;&gt;"",C283&lt;&gt;"",D283&lt;&gt;"",E283&lt;&gt;"",G283&lt;&gt;"",LEN(TRIM(H283))=64,I283&lt;&gt;"",J283&lt;&gt;""),IF(COUNTIF(Atas_Comite!$A$2:$A$301,J283)=0,"NÃO – ata não encontrada",IF(D283="Outra (aprovar em ata antes)","Verificar: fonte fora do guia","Sim")),"Incompleto"))</f>
        <v/>
      </c>
    </row>
    <row r="284">
      <c r="A284" s="15" t="n"/>
      <c r="B284" s="20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6">
        <f>IF(M284="","",IF(M284&lt;&gt;C284,"Sim","NÃO"))</f>
        <v/>
      </c>
      <c r="O284" s="16">
        <f>IF(A284="","",IF(AND(B284&lt;&gt;"",C284&lt;&gt;"",D284&lt;&gt;"",E284&lt;&gt;"",G284&lt;&gt;"",LEN(TRIM(H284))=64,I284&lt;&gt;"",J284&lt;&gt;""),IF(COUNTIF(Atas_Comite!$A$2:$A$301,J284)=0,"NÃO – ata não encontrada",IF(D284="Outra (aprovar em ata antes)","Verificar: fonte fora do guia","Sim")),"Incompleto"))</f>
        <v/>
      </c>
    </row>
    <row r="285">
      <c r="A285" s="15" t="n"/>
      <c r="B285" s="20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6">
        <f>IF(M285="","",IF(M285&lt;&gt;C285,"Sim","NÃO"))</f>
        <v/>
      </c>
      <c r="O285" s="16">
        <f>IF(A285="","",IF(AND(B285&lt;&gt;"",C285&lt;&gt;"",D285&lt;&gt;"",E285&lt;&gt;"",G285&lt;&gt;"",LEN(TRIM(H285))=64,I285&lt;&gt;"",J285&lt;&gt;""),IF(COUNTIF(Atas_Comite!$A$2:$A$301,J285)=0,"NÃO – ata não encontrada",IF(D285="Outra (aprovar em ata antes)","Verificar: fonte fora do guia","Sim")),"Incompleto"))</f>
        <v/>
      </c>
    </row>
    <row r="286">
      <c r="A286" s="15" t="n"/>
      <c r="B286" s="20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6">
        <f>IF(M286="","",IF(M286&lt;&gt;C286,"Sim","NÃO"))</f>
        <v/>
      </c>
      <c r="O286" s="16">
        <f>IF(A286="","",IF(AND(B286&lt;&gt;"",C286&lt;&gt;"",D286&lt;&gt;"",E286&lt;&gt;"",G286&lt;&gt;"",LEN(TRIM(H286))=64,I286&lt;&gt;"",J286&lt;&gt;""),IF(COUNTIF(Atas_Comite!$A$2:$A$301,J286)=0,"NÃO – ata não encontrada",IF(D286="Outra (aprovar em ata antes)","Verificar: fonte fora do guia","Sim")),"Incompleto"))</f>
        <v/>
      </c>
    </row>
    <row r="287">
      <c r="A287" s="15" t="n"/>
      <c r="B287" s="20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6">
        <f>IF(M287="","",IF(M287&lt;&gt;C287,"Sim","NÃO"))</f>
        <v/>
      </c>
      <c r="O287" s="16">
        <f>IF(A287="","",IF(AND(B287&lt;&gt;"",C287&lt;&gt;"",D287&lt;&gt;"",E287&lt;&gt;"",G287&lt;&gt;"",LEN(TRIM(H287))=64,I287&lt;&gt;"",J287&lt;&gt;""),IF(COUNTIF(Atas_Comite!$A$2:$A$301,J287)=0,"NÃO – ata não encontrada",IF(D287="Outra (aprovar em ata antes)","Verificar: fonte fora do guia","Sim")),"Incompleto"))</f>
        <v/>
      </c>
    </row>
    <row r="288">
      <c r="A288" s="15" t="n"/>
      <c r="B288" s="20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6">
        <f>IF(M288="","",IF(M288&lt;&gt;C288,"Sim","NÃO"))</f>
        <v/>
      </c>
      <c r="O288" s="16">
        <f>IF(A288="","",IF(AND(B288&lt;&gt;"",C288&lt;&gt;"",D288&lt;&gt;"",E288&lt;&gt;"",G288&lt;&gt;"",LEN(TRIM(H288))=64,I288&lt;&gt;"",J288&lt;&gt;""),IF(COUNTIF(Atas_Comite!$A$2:$A$301,J288)=0,"NÃO – ata não encontrada",IF(D288="Outra (aprovar em ata antes)","Verificar: fonte fora do guia","Sim")),"Incompleto"))</f>
        <v/>
      </c>
    </row>
    <row r="289">
      <c r="A289" s="15" t="n"/>
      <c r="B289" s="20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6">
        <f>IF(M289="","",IF(M289&lt;&gt;C289,"Sim","NÃO"))</f>
        <v/>
      </c>
      <c r="O289" s="16">
        <f>IF(A289="","",IF(AND(B289&lt;&gt;"",C289&lt;&gt;"",D289&lt;&gt;"",E289&lt;&gt;"",G289&lt;&gt;"",LEN(TRIM(H289))=64,I289&lt;&gt;"",J289&lt;&gt;""),IF(COUNTIF(Atas_Comite!$A$2:$A$301,J289)=0,"NÃO – ata não encontrada",IF(D289="Outra (aprovar em ata antes)","Verificar: fonte fora do guia","Sim")),"Incompleto"))</f>
        <v/>
      </c>
    </row>
    <row r="290">
      <c r="A290" s="15" t="n"/>
      <c r="B290" s="20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6">
        <f>IF(M290="","",IF(M290&lt;&gt;C290,"Sim","NÃO"))</f>
        <v/>
      </c>
      <c r="O290" s="16">
        <f>IF(A290="","",IF(AND(B290&lt;&gt;"",C290&lt;&gt;"",D290&lt;&gt;"",E290&lt;&gt;"",G290&lt;&gt;"",LEN(TRIM(H290))=64,I290&lt;&gt;"",J290&lt;&gt;""),IF(COUNTIF(Atas_Comite!$A$2:$A$301,J290)=0,"NÃO – ata não encontrada",IF(D290="Outra (aprovar em ata antes)","Verificar: fonte fora do guia","Sim")),"Incompleto"))</f>
        <v/>
      </c>
    </row>
    <row r="291">
      <c r="A291" s="15" t="n"/>
      <c r="B291" s="20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6">
        <f>IF(M291="","",IF(M291&lt;&gt;C291,"Sim","NÃO"))</f>
        <v/>
      </c>
      <c r="O291" s="16">
        <f>IF(A291="","",IF(AND(B291&lt;&gt;"",C291&lt;&gt;"",D291&lt;&gt;"",E291&lt;&gt;"",G291&lt;&gt;"",LEN(TRIM(H291))=64,I291&lt;&gt;"",J291&lt;&gt;""),IF(COUNTIF(Atas_Comite!$A$2:$A$301,J291)=0,"NÃO – ata não encontrada",IF(D291="Outra (aprovar em ata antes)","Verificar: fonte fora do guia","Sim")),"Incompleto"))</f>
        <v/>
      </c>
    </row>
    <row r="292">
      <c r="A292" s="15" t="n"/>
      <c r="B292" s="20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6">
        <f>IF(M292="","",IF(M292&lt;&gt;C292,"Sim","NÃO"))</f>
        <v/>
      </c>
      <c r="O292" s="16">
        <f>IF(A292="","",IF(AND(B292&lt;&gt;"",C292&lt;&gt;"",D292&lt;&gt;"",E292&lt;&gt;"",G292&lt;&gt;"",LEN(TRIM(H292))=64,I292&lt;&gt;"",J292&lt;&gt;""),IF(COUNTIF(Atas_Comite!$A$2:$A$301,J292)=0,"NÃO – ata não encontrada",IF(D292="Outra (aprovar em ata antes)","Verificar: fonte fora do guia","Sim")),"Incompleto"))</f>
        <v/>
      </c>
    </row>
    <row r="293">
      <c r="A293" s="15" t="n"/>
      <c r="B293" s="20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6">
        <f>IF(M293="","",IF(M293&lt;&gt;C293,"Sim","NÃO"))</f>
        <v/>
      </c>
      <c r="O293" s="16">
        <f>IF(A293="","",IF(AND(B293&lt;&gt;"",C293&lt;&gt;"",D293&lt;&gt;"",E293&lt;&gt;"",G293&lt;&gt;"",LEN(TRIM(H293))=64,I293&lt;&gt;"",J293&lt;&gt;""),IF(COUNTIF(Atas_Comite!$A$2:$A$301,J293)=0,"NÃO – ata não encontrada",IF(D293="Outra (aprovar em ata antes)","Verificar: fonte fora do guia","Sim")),"Incompleto"))</f>
        <v/>
      </c>
    </row>
    <row r="294">
      <c r="A294" s="15" t="n"/>
      <c r="B294" s="20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6">
        <f>IF(M294="","",IF(M294&lt;&gt;C294,"Sim","NÃO"))</f>
        <v/>
      </c>
      <c r="O294" s="16">
        <f>IF(A294="","",IF(AND(B294&lt;&gt;"",C294&lt;&gt;"",D294&lt;&gt;"",E294&lt;&gt;"",G294&lt;&gt;"",LEN(TRIM(H294))=64,I294&lt;&gt;"",J294&lt;&gt;""),IF(COUNTIF(Atas_Comite!$A$2:$A$301,J294)=0,"NÃO – ata não encontrada",IF(D294="Outra (aprovar em ata antes)","Verificar: fonte fora do guia","Sim")),"Incompleto"))</f>
        <v/>
      </c>
    </row>
    <row r="295">
      <c r="A295" s="15" t="n"/>
      <c r="B295" s="20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6">
        <f>IF(M295="","",IF(M295&lt;&gt;C295,"Sim","NÃO"))</f>
        <v/>
      </c>
      <c r="O295" s="16">
        <f>IF(A295="","",IF(AND(B295&lt;&gt;"",C295&lt;&gt;"",D295&lt;&gt;"",E295&lt;&gt;"",G295&lt;&gt;"",LEN(TRIM(H295))=64,I295&lt;&gt;"",J295&lt;&gt;""),IF(COUNTIF(Atas_Comite!$A$2:$A$301,J295)=0,"NÃO – ata não encontrada",IF(D295="Outra (aprovar em ata antes)","Verificar: fonte fora do guia","Sim")),"Incompleto"))</f>
        <v/>
      </c>
    </row>
    <row r="296">
      <c r="A296" s="15" t="n"/>
      <c r="B296" s="20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6">
        <f>IF(M296="","",IF(M296&lt;&gt;C296,"Sim","NÃO"))</f>
        <v/>
      </c>
      <c r="O296" s="16">
        <f>IF(A296="","",IF(AND(B296&lt;&gt;"",C296&lt;&gt;"",D296&lt;&gt;"",E296&lt;&gt;"",G296&lt;&gt;"",LEN(TRIM(H296))=64,I296&lt;&gt;"",J296&lt;&gt;""),IF(COUNTIF(Atas_Comite!$A$2:$A$301,J296)=0,"NÃO – ata não encontrada",IF(D296="Outra (aprovar em ata antes)","Verificar: fonte fora do guia","Sim")),"Incompleto"))</f>
        <v/>
      </c>
    </row>
    <row r="297">
      <c r="A297" s="15" t="n"/>
      <c r="B297" s="20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6">
        <f>IF(M297="","",IF(M297&lt;&gt;C297,"Sim","NÃO"))</f>
        <v/>
      </c>
      <c r="O297" s="16">
        <f>IF(A297="","",IF(AND(B297&lt;&gt;"",C297&lt;&gt;"",D297&lt;&gt;"",E297&lt;&gt;"",G297&lt;&gt;"",LEN(TRIM(H297))=64,I297&lt;&gt;"",J297&lt;&gt;""),IF(COUNTIF(Atas_Comite!$A$2:$A$301,J297)=0,"NÃO – ata não encontrada",IF(D297="Outra (aprovar em ata antes)","Verificar: fonte fora do guia","Sim")),"Incompleto"))</f>
        <v/>
      </c>
    </row>
    <row r="298">
      <c r="A298" s="15" t="n"/>
      <c r="B298" s="20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6">
        <f>IF(M298="","",IF(M298&lt;&gt;C298,"Sim","NÃO"))</f>
        <v/>
      </c>
      <c r="O298" s="16">
        <f>IF(A298="","",IF(AND(B298&lt;&gt;"",C298&lt;&gt;"",D298&lt;&gt;"",E298&lt;&gt;"",G298&lt;&gt;"",LEN(TRIM(H298))=64,I298&lt;&gt;"",J298&lt;&gt;""),IF(COUNTIF(Atas_Comite!$A$2:$A$301,J298)=0,"NÃO – ata não encontrada",IF(D298="Outra (aprovar em ata antes)","Verificar: fonte fora do guia","Sim")),"Incompleto"))</f>
        <v/>
      </c>
    </row>
    <row r="299">
      <c r="A299" s="15" t="n"/>
      <c r="B299" s="20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6">
        <f>IF(M299="","",IF(M299&lt;&gt;C299,"Sim","NÃO"))</f>
        <v/>
      </c>
      <c r="O299" s="16">
        <f>IF(A299="","",IF(AND(B299&lt;&gt;"",C299&lt;&gt;"",D299&lt;&gt;"",E299&lt;&gt;"",G299&lt;&gt;"",LEN(TRIM(H299))=64,I299&lt;&gt;"",J299&lt;&gt;""),IF(COUNTIF(Atas_Comite!$A$2:$A$301,J299)=0,"NÃO – ata não encontrada",IF(D299="Outra (aprovar em ata antes)","Verificar: fonte fora do guia","Sim")),"Incompleto"))</f>
        <v/>
      </c>
    </row>
    <row r="300">
      <c r="A300" s="15" t="n"/>
      <c r="B300" s="20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6">
        <f>IF(M300="","",IF(M300&lt;&gt;C300,"Sim","NÃO"))</f>
        <v/>
      </c>
      <c r="O300" s="16">
        <f>IF(A300="","",IF(AND(B300&lt;&gt;"",C300&lt;&gt;"",D300&lt;&gt;"",E300&lt;&gt;"",G300&lt;&gt;"",LEN(TRIM(H300))=64,I300&lt;&gt;"",J300&lt;&gt;""),IF(COUNTIF(Atas_Comite!$A$2:$A$301,J300)=0,"NÃO – ata não encontrada",IF(D300="Outra (aprovar em ata antes)","Verificar: fonte fora do guia","Sim")),"Incompleto"))</f>
        <v/>
      </c>
    </row>
    <row r="301">
      <c r="A301" s="15" t="n"/>
      <c r="B301" s="20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6">
        <f>IF(M301="","",IF(M301&lt;&gt;C301,"Sim","NÃO"))</f>
        <v/>
      </c>
      <c r="O301" s="16">
        <f>IF(A301="","",IF(AND(B301&lt;&gt;"",C301&lt;&gt;"",D301&lt;&gt;"",E301&lt;&gt;"",G301&lt;&gt;"",LEN(TRIM(H301))=64,I301&lt;&gt;"",J301&lt;&gt;""),IF(COUNTIF(Atas_Comite!$A$2:$A$301,J301)=0,"NÃO – ata não encontrada",IF(D301="Outra (aprovar em ata antes)","Verificar: fonte fora do guia","Sim")),"Incompleto"))</f>
        <v/>
      </c>
    </row>
  </sheetData>
  <autoFilter ref="A1:O301"/>
  <conditionalFormatting sqref="O2:O301">
    <cfRule type="expression" priority="1" dxfId="1">
      <formula>OR(LEFT(O2,3)="NÃO",O2="Incompleto")</formula>
    </cfRule>
    <cfRule type="expression" priority="2" dxfId="0">
      <formula>O2="Sim"</formula>
    </cfRule>
  </conditionalFormatting>
  <conditionalFormatting sqref="N2:N301">
    <cfRule type="expression" priority="3" dxfId="1">
      <formula>N2="NÃO"</formula>
    </cfRule>
  </conditionalFormatting>
  <dataValidations count="1">
    <dataValidation sqref="D2:D301" showDropDown="0" showInputMessage="0" showErrorMessage="0" allowBlank="1" errorTitle="Valor inválido" error="Escolha um valor da lista." type="list">
      <formula1>Listas!$N$2:$N$12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70" customWidth="1" min="3" max="3"/>
  </cols>
  <sheetData>
    <row r="1">
      <c r="A1" s="26" t="inlineStr">
        <is>
          <t>Parâmetros do protocolo: altere apenas a coluna Valor, e só conforme a versão congelada do protocolo</t>
        </is>
      </c>
    </row>
    <row r="2">
      <c r="A2" s="27" t="inlineStr">
        <is>
          <t>Parâmetro</t>
        </is>
      </c>
      <c r="B2" s="27" t="inlineStr">
        <is>
          <t>Valor</t>
        </is>
      </c>
      <c r="C2" s="27" t="inlineStr">
        <is>
          <t>Referência</t>
        </is>
      </c>
    </row>
    <row r="3">
      <c r="A3" s="28" t="inlineStr">
        <is>
          <t>Tolerância de arredondamento por campo (R$)</t>
        </is>
      </c>
      <c r="B3" s="29" t="n">
        <v>1</v>
      </c>
      <c r="C3" s="28" t="inlineStr">
        <is>
          <t>Protocolo v2.0, seção 8.2, regra V1. Diferenças com valor absoluto menor ou igual a este não entram na matriz.</t>
        </is>
      </c>
    </row>
  </sheetData>
  <dataValidations count="1">
    <dataValidation sqref="B3" showDropDown="0" showInputMessage="0" showErrorMessage="0" allowBlank="0" errorTitle="Valor inválido" error="Informe um valor maior ou igual a zero." type="decimal" operator="greaterThanOrEqual">
      <formula1>0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  <col width="34" customWidth="1" min="16" max="16"/>
  </cols>
  <sheetData>
    <row r="1">
      <c r="A1" s="30" t="inlineStr">
        <is>
          <t>Celula</t>
        </is>
      </c>
      <c r="B1" s="30" t="inlineStr">
        <is>
          <t>SimNao</t>
        </is>
      </c>
      <c r="C1" s="30" t="inlineStr">
        <is>
          <t>TipoDoc</t>
        </is>
      </c>
      <c r="D1" s="30" t="inlineStr">
        <is>
          <t>Canal</t>
        </is>
      </c>
      <c r="E1" s="30" t="inlineStr">
        <is>
          <t>Fase</t>
        </is>
      </c>
      <c r="F1" s="30" t="inlineStr">
        <is>
          <t>Resultado</t>
        </is>
      </c>
      <c r="G1" s="30" t="inlineStr">
        <is>
          <t>Gravidade</t>
        </is>
      </c>
      <c r="H1" s="30" t="inlineStr">
        <is>
          <t>Veredito</t>
        </is>
      </c>
      <c r="I1" s="30" t="inlineStr">
        <is>
          <t>Classe</t>
        </is>
      </c>
      <c r="J1" s="30" t="inlineStr">
        <is>
          <t>Conjunto</t>
        </is>
      </c>
      <c r="K1" s="30" t="inlineStr">
        <is>
          <t>Situacao</t>
        </is>
      </c>
      <c r="L1" s="30" t="inlineStr">
        <is>
          <t>Explicacao</t>
        </is>
      </c>
      <c r="M1" s="30" t="inlineStr">
        <is>
          <t>Escala</t>
        </is>
      </c>
      <c r="N1" s="30" t="inlineStr">
        <is>
          <t>FonteGuia</t>
        </is>
      </c>
      <c r="O1" s="30" t="inlineStr">
        <is>
          <t>Voto</t>
        </is>
      </c>
      <c r="P1" s="30" t="inlineStr">
        <is>
          <t>StatusObj</t>
        </is>
      </c>
    </row>
    <row r="2">
      <c r="A2" s="31" t="inlineStr">
        <is>
          <t>Coordenação</t>
        </is>
      </c>
      <c r="B2" s="31" t="inlineStr">
        <is>
          <t>Sim</t>
        </is>
      </c>
      <c r="C2" s="31" t="inlineStr">
        <is>
          <t>IRPF – PDF</t>
        </is>
      </c>
      <c r="D2" s="31" t="inlineStr">
        <is>
          <t>Site oficial</t>
        </is>
      </c>
      <c r="E2" s="31" t="inlineStr">
        <is>
          <t>F4.1 Criptográfica</t>
        </is>
      </c>
      <c r="F2" s="31" t="inlineStr">
        <is>
          <t>Conforme</t>
        </is>
      </c>
      <c r="G2" s="31" t="inlineStr">
        <is>
          <t>Baixa</t>
        </is>
      </c>
      <c r="H2" s="31" t="inlineStr">
        <is>
          <t>Autenticidade confirmada</t>
        </is>
      </c>
      <c r="I2" s="31" t="inlineStr">
        <is>
          <t>A – Institucional</t>
        </is>
      </c>
      <c r="J2" s="31" t="inlineStr">
        <is>
          <t>bancário</t>
        </is>
      </c>
      <c r="K2" s="31" t="inlineStr">
        <is>
          <t>ok</t>
        </is>
      </c>
      <c r="L2" s="31" t="inlineStr">
        <is>
          <t>Sem lacuna (verificado)</t>
        </is>
      </c>
      <c r="M2" s="31" t="inlineStr">
        <is>
          <t>Completo</t>
        </is>
      </c>
      <c r="N2" s="31" t="inlineStr">
        <is>
          <t>3.1 TSE – bens de candidatos</t>
        </is>
      </c>
      <c r="O2" s="31" t="inlineStr">
        <is>
          <t>A favor</t>
        </is>
      </c>
      <c r="P2" s="31" t="inlineStr">
        <is>
          <t>Aberta</t>
        </is>
      </c>
    </row>
    <row r="3">
      <c r="A3" s="31" t="inlineStr">
        <is>
          <t>Comitê de Método</t>
        </is>
      </c>
      <c r="B3" s="31" t="inlineStr">
        <is>
          <t>Não</t>
        </is>
      </c>
      <c r="C3" s="31" t="inlineStr">
        <is>
          <t>IRPF – .DEC</t>
        </is>
      </c>
      <c r="D3" s="31" t="inlineStr">
        <is>
          <t>Rede social oficial</t>
        </is>
      </c>
      <c r="E3" s="31" t="inlineStr">
        <is>
          <t>F4.2 Referência</t>
        </is>
      </c>
      <c r="F3" s="31" t="inlineStr">
        <is>
          <t>Observação</t>
        </is>
      </c>
      <c r="G3" s="31" t="inlineStr">
        <is>
          <t>Média</t>
        </is>
      </c>
      <c r="H3" s="31" t="inlineStr">
        <is>
          <t>Autenticidade confirmada (origem institucional)</t>
        </is>
      </c>
      <c r="I3" s="31" t="inlineStr">
        <is>
          <t>B – Juntado pelo titular</t>
        </is>
      </c>
      <c r="J3" s="31" t="inlineStr">
        <is>
          <t>fiscal</t>
        </is>
      </c>
      <c r="K3" s="31" t="inlineStr">
        <is>
          <t>lacuna</t>
        </is>
      </c>
      <c r="L3" s="31" t="inlineStr">
        <is>
          <t>L1 – fora do escopo da autorização</t>
        </is>
      </c>
      <c r="M3" s="31" t="inlineStr">
        <is>
          <t>Lacunas explicadas</t>
        </is>
      </c>
      <c r="N3" s="31" t="inlineStr">
        <is>
          <t>3.2 Senado – remuneração</t>
        </is>
      </c>
      <c r="O3" s="31" t="inlineStr">
        <is>
          <t>Contra</t>
        </is>
      </c>
      <c r="P3" s="31" t="inlineStr">
        <is>
          <t>Respondida – aceita</t>
        </is>
      </c>
    </row>
    <row r="4">
      <c r="A4" s="31" t="inlineStr">
        <is>
          <t>Custódia</t>
        </is>
      </c>
      <c r="C4" s="31" t="inlineStr">
        <is>
          <t>IRPF – .REC</t>
        </is>
      </c>
      <c r="D4" s="31" t="inlineStr">
        <is>
          <t>Envio à imprensa</t>
        </is>
      </c>
      <c r="E4" s="31" t="inlineStr">
        <is>
          <t>F4.3 Estrutural</t>
        </is>
      </c>
      <c r="F4" s="31" t="inlineStr">
        <is>
          <t>Não conforme</t>
        </is>
      </c>
      <c r="G4" s="31" t="inlineStr">
        <is>
          <t>Alta</t>
        </is>
      </c>
      <c r="H4" s="31" t="inlineStr">
        <is>
          <t>Íntegro e consistente</t>
        </is>
      </c>
      <c r="I4" s="31" t="inlineStr">
        <is>
          <t>C – Produzido pela defesa</t>
        </is>
      </c>
      <c r="K4" s="31" t="inlineStr">
        <is>
          <t>verificar</t>
        </is>
      </c>
      <c r="L4" s="31" t="inlineStr">
        <is>
          <t>L2 – conta encerrada, inexistente ou sem movimento</t>
        </is>
      </c>
      <c r="M4" s="31" t="inlineStr">
        <is>
          <t>Lacunas não explicadas</t>
        </is>
      </c>
      <c r="N4" s="31" t="inlineStr">
        <is>
          <t>3.3 Senado – cota e benefícios</t>
        </is>
      </c>
      <c r="O4" s="31" t="inlineStr">
        <is>
          <t>Abstenção</t>
        </is>
      </c>
      <c r="P4" s="31" t="inlineStr">
        <is>
          <t>Respondida – rejeitada</t>
        </is>
      </c>
    </row>
    <row r="5">
      <c r="A5" s="31" t="inlineStr">
        <is>
          <t>Perícia técnica</t>
        </is>
      </c>
      <c r="C5" s="31" t="inlineStr">
        <is>
          <t>Recibo de entrega</t>
        </is>
      </c>
      <c r="D5" s="31" t="inlineStr">
        <is>
          <t>Processo judicial</t>
        </is>
      </c>
      <c r="E5" s="31" t="inlineStr">
        <is>
          <t>F5.1 Coerência interna</t>
        </is>
      </c>
      <c r="F5" s="31" t="inlineStr">
        <is>
          <t>Inconclusivo</t>
        </is>
      </c>
      <c r="H5" s="31" t="inlineStr">
        <is>
          <t>Sem sinais de adulteração, não confirmável</t>
        </is>
      </c>
      <c r="K5" s="31" t="inlineStr">
        <is>
          <t>fora do escopo</t>
        </is>
      </c>
      <c r="L5" s="31" t="inlineStr">
        <is>
          <t>L3 – falha da instituição ou do juízo</t>
        </is>
      </c>
      <c r="M5" s="31" t="inlineStr">
        <is>
          <t>Não avaliável</t>
        </is>
      </c>
      <c r="N5" s="31" t="inlineStr">
        <is>
          <t>3.4 ALERJ</t>
        </is>
      </c>
    </row>
    <row r="6">
      <c r="A6" s="31" t="inlineStr">
        <is>
          <t>Conteúdo fiscal</t>
        </is>
      </c>
      <c r="C6" s="31" t="inlineStr">
        <is>
          <t>Informe de rendimentos</t>
        </is>
      </c>
      <c r="D6" s="31" t="inlineStr">
        <is>
          <t>Entrevista/coletiva</t>
        </is>
      </c>
      <c r="E6" s="31" t="inlineStr">
        <is>
          <t>F5.2 Cruzamento</t>
        </is>
      </c>
      <c r="F6" s="31" t="inlineStr">
        <is>
          <t>Não aplicável</t>
        </is>
      </c>
      <c r="H6" s="31" t="inlineStr">
        <is>
          <t>Inconsistências relevantes</t>
        </is>
      </c>
      <c r="K6" s="31" t="inlineStr">
        <is>
          <t>não avaliável</t>
        </is>
      </c>
      <c r="L6" s="31" t="inlineStr">
        <is>
          <t>Nenhuma explicação documentada</t>
        </is>
      </c>
      <c r="N6" s="31" t="inlineStr">
        <is>
          <t>3.5 Receita – CNPJ e sócios</t>
        </is>
      </c>
    </row>
    <row r="7">
      <c r="A7" s="31" t="inlineStr">
        <is>
          <t>Red Team</t>
        </is>
      </c>
      <c r="C7" s="31" t="inlineStr">
        <is>
          <t>Certidão</t>
        </is>
      </c>
      <c r="D7" s="31" t="inlineStr">
        <is>
          <t>WhatsApp/Telegram</t>
        </is>
      </c>
      <c r="H7" s="31" t="inlineStr">
        <is>
          <t>Indícios técnicos de alteração</t>
        </is>
      </c>
      <c r="N7" s="31" t="inlineStr">
        <is>
          <t>3.6 Junta Comercial</t>
        </is>
      </c>
    </row>
    <row r="8">
      <c r="A8" s="31" t="inlineStr">
        <is>
          <t>Jurídico</t>
        </is>
      </c>
      <c r="C8" s="31" t="inlineStr">
        <is>
          <t>Documento assinado digitalmente</t>
        </is>
      </c>
      <c r="D8" s="31" t="inlineStr">
        <is>
          <t>Outro</t>
        </is>
      </c>
      <c r="H8" s="31" t="inlineStr">
        <is>
          <t>Não verificável</t>
        </is>
      </c>
      <c r="N8" s="31" t="inlineStr">
        <is>
          <t>3.7 Registro de imóveis (ONR)</t>
        </is>
      </c>
    </row>
    <row r="9">
      <c r="C9" s="31" t="inlineStr">
        <is>
          <t>Extrato bancário – PDF</t>
        </is>
      </c>
      <c r="H9" s="31" t="inlineStr">
        <is>
          <t>Alegação da defesa (classe C)</t>
        </is>
      </c>
      <c r="N9" s="31" t="inlineStr">
        <is>
          <t>3.8 Diários oficiais</t>
        </is>
      </c>
    </row>
    <row r="10">
      <c r="C10" s="31" t="inlineStr">
        <is>
          <t>Extrato bancário – SIMBA (.txt)</t>
        </is>
      </c>
      <c r="N10" s="31" t="inlineStr">
        <is>
          <t>3.9 Processos judiciais / DataJud</t>
        </is>
      </c>
    </row>
    <row r="11">
      <c r="C11" s="31" t="inlineStr">
        <is>
          <t>Peça judicial</t>
        </is>
      </c>
      <c r="N11" s="31" t="inlineStr">
        <is>
          <t>3.10 Resposta a pedido LAI</t>
        </is>
      </c>
    </row>
    <row r="12">
      <c r="C12" s="31" t="inlineStr">
        <is>
          <t>Planilha/parecer da defesa</t>
        </is>
      </c>
      <c r="N12" s="31" t="inlineStr">
        <is>
          <t>Outra (aprovar em ata antes)</t>
        </is>
      </c>
    </row>
    <row r="13">
      <c r="C13" s="31" t="inlineStr">
        <is>
          <t>Print/foto</t>
        </is>
      </c>
    </row>
    <row r="14">
      <c r="C14" s="31" t="inlineStr">
        <is>
          <t>Outro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2026-10-22T19:18:15Z</dcterms:created>
  <dcterms:modified xsi:type="dcterms:W3CDTF">2026-10-22T19:18:16Z</dcterms:modified>
</cp:coreProperties>
</file>